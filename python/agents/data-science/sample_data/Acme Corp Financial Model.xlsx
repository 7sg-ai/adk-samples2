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Debt Schedule" sheetId="3" state="visible" r:id="rId5"/>
    <sheet name="Income Statement" sheetId="4" state="visible" r:id="rId6"/>
    <sheet name="Balance Sheet" sheetId="5" state="visible" r:id="rId7"/>
    <sheet name="Cash Flow" sheetId="6" state="visible" r:id="rId8"/>
    <sheet name="DCF" sheetId="7" state="visible" r:id="rId9"/>
    <sheet name="Check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<sst xmlns="http://schemas.openxmlformats.org/spreadsheetml/2006/main" count="326" uniqueCount="241">
  <si>
    <t xml:space="preserve">Acme Corp — Model Summary &amp; Dashboard</t>
  </si>
  <si>
    <t xml:space="preserve">($ in millions, except per-share data; illustrative inputs)</t>
  </si>
  <si>
    <t xml:space="preserve">Active Scenario (change toggles on the Assumptions tab, cells C6:C9)</t>
  </si>
  <si>
    <t xml:space="preserve">Revenue growth case</t>
  </si>
  <si>
    <t xml:space="preserve">Discount rate (WACC) case</t>
  </si>
  <si>
    <t xml:space="preserve">Terminal value method</t>
  </si>
  <si>
    <t xml:space="preserve">Mid-year convention</t>
  </si>
  <si>
    <t xml:space="preserve">Valuation Output</t>
  </si>
  <si>
    <t xml:space="preserve">WACC</t>
  </si>
  <si>
    <t xml:space="preserve">Terminal growth rate</t>
  </si>
  <si>
    <t xml:space="preserve">Enterprise value ($mm)</t>
  </si>
  <si>
    <t xml:space="preserve">Equity value ($mm)</t>
  </si>
  <si>
    <t xml:space="preserve">Implied share price ($)</t>
  </si>
  <si>
    <t xml:space="preserve">Current share price ($)</t>
  </si>
  <si>
    <t xml:space="preserve">Implied upside / (downside)</t>
  </si>
  <si>
    <t xml:space="preserve">Revenue CAGR 2025A–2030E</t>
  </si>
  <si>
    <t xml:space="preserve">Model integrity</t>
  </si>
  <si>
    <t xml:space="preserve">Financial Snapshot</t>
  </si>
  <si>
    <t xml:space="preserve">Fiscal Year Ending Dec-31</t>
  </si>
  <si>
    <t xml:space="preserve">2025A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</si>
  <si>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</si>
  <si>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</si>
  <si>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</si>
  <si>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</si>
  <si>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</si>
  <si>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Revenue</t>
  </si>
  <si>
    <t xml:space="preserve">EBITDA</t>
  </si>
  <si>
    <t xml:space="preserve">EBITDA margin %</t>
  </si>
  <si>
    <t xml:space="preserve">Net income</t>
  </si>
  <si>
    <t xml:space="preserve">Diluted EPS ($)</t>
  </si>
  <si>
    <t xml:space="preserve">Unlevered free cash flow</t>
  </si>
  <si>
    <t xml:space="preserve">Ending cash</t>
  </si>
  <si>
    <t xml:space="preserve">Total debt</t>
  </si>
  <si>
    <t xml:space="preserve">Tab Guide</t>
  </si>
  <si>
    <t xml:space="preserve">Assumptions</t>
  </si>
  <si>
    <t xml:space="preserve">Scenario toggles (growth &amp; WACC cases, TV method, mid-year), operating drivers, financing &amp; valuation inputs</t>
  </si>
  <si>
    <t xml:space="preserve">Income Statement</t>
  </si>
  <si>
    <t xml:space="preserve">Revenue build through EPS; interest from Debt Schedule, interest income on opening cash</t>
  </si>
  <si>
    <t xml:space="preserve">Balance Sheet</t>
  </si>
  <si>
    <t xml:space="preserve">Working capital from days/percent drivers; cash from Cash Flow; debt from Debt Schedule</t>
  </si>
  <si>
    <t xml:space="preserve">Cash Flow</t>
  </si>
  <si>
    <t xml:space="preserve">Indirect method; ending cash links to Balance Sheet</t>
  </si>
  <si>
    <t xml:space="preserve">Debt Schedule</t>
  </si>
  <si>
    <t xml:space="preserve">Level-payment term loan amortization (PMT), annual roll-up via SUMIFS, current vs. long-term split</t>
  </si>
  <si>
    <t xml:space="preserve">DCF</t>
  </si>
  <si>
    <t xml:space="preserve">UFCF, perpetuity &amp; exit-multiple terminal values, EV-to-equity bridge, two sensitivity grids</t>
  </si>
  <si>
    <t xml:space="preserve">Checks</t>
  </si>
  <si>
    <t xml:space="preserve">Balance, cash tie-out, debt tie-out, retained earnings roll-forward, WACC &gt; g</t>
  </si>
  <si>
    <t xml:space="preserve">Acme Corp — Assumptions &amp; Scenario Toggles</t>
  </si>
  <si>
    <t xml:space="preserve">Scenario Toggles</t>
  </si>
  <si>
    <t xml:space="preserve">Selection</t>
  </si>
  <si>
    <t xml:space="preserve">Index</t>
  </si>
  <si>
    <t xml:space="preserve">Base</t>
  </si>
  <si>
    <t xml:space="preserve">Perpetuity Growth</t>
  </si>
  <si>
    <t xml:space="preserve">Mid-year discounting convention</t>
  </si>
  <si>
    <t xml:space="preserve">Yes</t>
  </si>
  <si>
    <t xml:space="preserve">Revenue Growth Scenarios (YoY %)</t>
  </si>
  <si>
    <t xml:space="preserve">Case</t>
  </si>
  <si>
    <t xml:space="preserve">Terminal g</t>
  </si>
  <si>
    <t xml:space="preserve">Downside</t>
  </si>
  <si>
    <t xml:space="preserve">Upside</t>
  </si>
  <si>
    <t xml:space="preserve">Live revenue growth (selected case)</t>
  </si>
  <si>
    <t xml:space="preserve">Discount Rate (WACC) Scenarios — CAPM Build</t>
  </si>
  <si>
    <t xml:space="preserve">Component</t>
  </si>
  <si>
    <t xml:space="preserve">Low</t>
  </si>
  <si>
    <t xml:space="preserve">High</t>
  </si>
  <si>
    <t xml:space="preserve">Live</t>
  </si>
  <si>
    <t xml:space="preserve">Risk-free rate</t>
  </si>
  <si>
    <t xml:space="preserve">Levered beta</t>
  </si>
  <si>
    <t xml:space="preserve">Equity risk premium</t>
  </si>
  <si>
    <t xml:space="preserve">Size / company-specific premium</t>
  </si>
  <si>
    <t xml:space="preserve">Pre-tax cost of debt</t>
  </si>
  <si>
    <t xml:space="preserve">Target debt / total capital</t>
  </si>
  <si>
    <t xml:space="preserve">Cost of equity (Rf + β × ERP + premium)</t>
  </si>
  <si>
    <t xml:space="preserve">After-tax cost of debt</t>
  </si>
  <si>
    <t xml:space="preserve">Operating Assumptions (projection years)</t>
  </si>
  <si>
    <t xml:space="preserve">Driver</t>
  </si>
  <si>
    <t xml:space="preserve">COGS (% of revenue)</t>
  </si>
  <si>
    <t xml:space="preserve">SG&amp;A (% of revenue)</t>
  </si>
  <si>
    <t xml:space="preserve">R&amp;D (% of revenue)</t>
  </si>
  <si>
    <t xml:space="preserve">D&amp;A (% of revenue)</t>
  </si>
  <si>
    <t xml:space="preserve">Capital expenditures (% of revenue)</t>
  </si>
  <si>
    <t xml:space="preserve">Effective tax rate</t>
  </si>
  <si>
    <t xml:space="preserve">Days sales outstanding (DSO)</t>
  </si>
  <si>
    <t xml:space="preserve">Days inventory outstanding (DIO, on COGS)</t>
  </si>
  <si>
    <t xml:space="preserve">Days payable outstanding (DPO, on COGS)</t>
  </si>
  <si>
    <t xml:space="preserve">Prepaid &amp; other current assets (% of revenue)</t>
  </si>
  <si>
    <t xml:space="preserve">Accrued liabilities (% of revenue)</t>
  </si>
  <si>
    <t xml:space="preserve">Dividend payout (% of net income)</t>
  </si>
  <si>
    <t xml:space="preserve">Interest rate earned on cash (on opening balance)</t>
  </si>
  <si>
    <t xml:space="preserve">Equity issuance / (buyback) ($mm)</t>
  </si>
  <si>
    <t xml:space="preserve">Financing &amp; Valuation Inputs</t>
  </si>
  <si>
    <t xml:space="preserve">Term loan principal ($mm)</t>
  </si>
  <si>
    <t xml:space="preserve">Term loan annual interest rate</t>
  </si>
  <si>
    <t xml:space="preserve">Term loan tenor (years)</t>
  </si>
  <si>
    <t xml:space="preserve">Payments per year</t>
  </si>
  <si>
    <t xml:space="preserve">First payment date</t>
  </si>
  <si>
    <t xml:space="preserve">Diluted shares outstanding (mm)</t>
  </si>
  <si>
    <t xml:space="preserve">Marginal tax rate (DCF &amp; WACC)</t>
  </si>
  <si>
    <t xml:space="preserve">Exit EV / EBITDA multiple</t>
  </si>
  <si>
    <t xml:space="preserve">Valuation date</t>
  </si>
  <si>
    <t xml:space="preserve">Colour key: blue = hard-coded input; black = calculation; green = direct link to another sheet; yellow fill = key toggle / assumption.</t>
  </si>
  <si>
    <t xml:space="preserve">All figures are illustrative placeholders for Acme Corp — replace with actuals and management guidance.</t>
  </si>
  <si>
    <t xml:space="preserve">Acme Corp — Term Loan Amortization Schedule</t>
  </si>
  <si>
    <t xml:space="preserve">Loan Terms</t>
  </si>
  <si>
    <t xml:space="preserve">Principal ($mm)</t>
  </si>
  <si>
    <t xml:space="preserve">Annual interest rate</t>
  </si>
  <si>
    <t xml:space="preserve">Tenor (years)</t>
  </si>
  <si>
    <t xml:space="preserve">Total number of payments</t>
  </si>
  <si>
    <t xml:space="preserve">Periodic interest rate</t>
  </si>
  <si>
    <t xml:space="preserve">Level periodic payment (PMT)</t>
  </si>
  <si>
    <t xml:space="preserve">Annual debt service</t>
  </si>
  <si>
    <t xml:space="preserve">Annual Summary</t>
  </si>
  <si>
    <t xml:space="preserve">Calendar year (helper)</t>
  </si>
  <si>
    <t xml:space="preserve">Beginning balance</t>
  </si>
  <si>
    <t xml:space="preserve">Interest expense</t>
  </si>
  <si>
    <t xml:space="preserve">Scheduled principal repayment</t>
  </si>
  <si>
    <t xml:space="preserve">Total debt service</t>
  </si>
  <si>
    <t xml:space="preserve">Ending balance</t>
  </si>
  <si>
    <t xml:space="preserve">Current portion (next-year principal)</t>
  </si>
  <si>
    <t xml:space="preserve">Long-term portion</t>
  </si>
  <si>
    <t xml:space="preserve">Periodic Amortization Schedule (capacity 120 periods; rows beyond tenor show zero)</t>
  </si>
  <si>
    <t xml:space="preserve">Period</t>
  </si>
  <si>
    <t xml:space="preserve">Payment Date</t>
  </si>
  <si>
    <t xml:space="preserve">Year</t>
  </si>
  <si>
    <t xml:space="preserve">Beginning Balance</t>
  </si>
  <si>
    <t xml:space="preserve">Payment</t>
  </si>
  <si>
    <t xml:space="preserve">Interest</t>
  </si>
  <si>
    <t xml:space="preserve">Principal</t>
  </si>
  <si>
    <t xml:space="preserve">Ending Balance</t>
  </si>
  <si>
    <t xml:space="preserve">Acme Corp — Income Statement</t>
  </si>
  <si>
    <t xml:space="preserve">% growth</t>
  </si>
  <si>
    <t xml:space="preserve">Cost of goods sold</t>
  </si>
  <si>
    <t xml:space="preserve">Gross profit</t>
  </si>
  <si>
    <t xml:space="preserve">Gross margin %</t>
  </si>
  <si>
    <t xml:space="preserve">Selling, general &amp; administrative</t>
  </si>
  <si>
    <t xml:space="preserve">Research &amp; development</t>
  </si>
  <si>
    <t xml:space="preserve">Total operating expenses</t>
  </si>
  <si>
    <t xml:space="preserve">Depreciation &amp; amortization</t>
  </si>
  <si>
    <t xml:space="preserve">EBIT (operating income)</t>
  </si>
  <si>
    <t xml:space="preserve">EBIT margin %</t>
  </si>
  <si>
    <t xml:space="preserve">Interest income</t>
  </si>
  <si>
    <t xml:space="preserve">Pre-tax income (EBT)</t>
  </si>
  <si>
    <t xml:space="preserve">Income tax expense</t>
  </si>
  <si>
    <t xml:space="preserve">Net margin %</t>
  </si>
  <si>
    <t xml:space="preserve">Dividends declared</t>
  </si>
  <si>
    <t xml:space="preserve">Dividends per share ($)</t>
  </si>
  <si>
    <t xml:space="preserve">Acme Corp — Balance Sheet</t>
  </si>
  <si>
    <t xml:space="preserve">Assets</t>
  </si>
  <si>
    <t xml:space="preserve">Cash &amp; equivalents</t>
  </si>
  <si>
    <t xml:space="preserve">Accounts receivable</t>
  </si>
  <si>
    <t xml:space="preserve">Inventory</t>
  </si>
  <si>
    <t xml:space="preserve">Prepaid &amp; other current assets</t>
  </si>
  <si>
    <t xml:space="preserve">Total current assets</t>
  </si>
  <si>
    <t xml:space="preserve">Property, plant &amp; equipment, net</t>
  </si>
  <si>
    <t xml:space="preserve">Goodwill &amp; intangibles</t>
  </si>
  <si>
    <t xml:space="preserve">Total assets</t>
  </si>
  <si>
    <t xml:space="preserve">Liabilities &amp; Shareholders' Equity</t>
  </si>
  <si>
    <t xml:space="preserve">Accounts payable</t>
  </si>
  <si>
    <t xml:space="preserve">Accrued liabilities</t>
  </si>
  <si>
    <t xml:space="preserve">Current portion of long-term debt</t>
  </si>
  <si>
    <t xml:space="preserve">Total current liabilities</t>
  </si>
  <si>
    <t xml:space="preserve">Long-term debt, net of current portion</t>
  </si>
  <si>
    <t xml:space="preserve">Total liabilities</t>
  </si>
  <si>
    <t xml:space="preserve">Common stock &amp; APIC</t>
  </si>
  <si>
    <t xml:space="preserve">Retained earnings</t>
  </si>
  <si>
    <t xml:space="preserve">Total shareholders' equity</t>
  </si>
  <si>
    <t xml:space="preserve">Total liabilities &amp; equity</t>
  </si>
  <si>
    <t xml:space="preserve">Balance check (assets – liabilities &amp; equity)</t>
  </si>
  <si>
    <t xml:space="preserve">Acme Corp — Cash Flow Statement</t>
  </si>
  <si>
    <t xml:space="preserve">Operating Activities</t>
  </si>
  <si>
    <t xml:space="preserve">Base year</t>
  </si>
  <si>
    <t xml:space="preserve">(Increase) / decrease in accounts receivable</t>
  </si>
  <si>
    <t xml:space="preserve">(Increase) / decrease in inventory</t>
  </si>
  <si>
    <t xml:space="preserve">(Increase) / decrease in prepaid &amp; other</t>
  </si>
  <si>
    <t xml:space="preserve">Increase / (decrease) in accounts payable</t>
  </si>
  <si>
    <t xml:space="preserve">Increase / (decrease) in accrued liabilities</t>
  </si>
  <si>
    <t xml:space="preserve">Cash flow from operating activities</t>
  </si>
  <si>
    <t xml:space="preserve">Investing Activities</t>
  </si>
  <si>
    <t xml:space="preserve">Capital expenditures</t>
  </si>
  <si>
    <t xml:space="preserve">Cash flow from investing activities</t>
  </si>
  <si>
    <t xml:space="preserve">Financing Activities</t>
  </si>
  <si>
    <t xml:space="preserve">Term loan principal repayment</t>
  </si>
  <si>
    <t xml:space="preserve">Dividends paid</t>
  </si>
  <si>
    <t xml:space="preserve">Equity issuance / (buyback)</t>
  </si>
  <si>
    <t xml:space="preserve">Cash flow from financing activities</t>
  </si>
  <si>
    <t xml:space="preserve">Net change in cash</t>
  </si>
  <si>
    <t xml:space="preserve">Beginning cash balance</t>
  </si>
  <si>
    <t xml:space="preserve">Ending cash balance</t>
  </si>
  <si>
    <t xml:space="preserve">Memo: Free cash flow (CFO + capex)</t>
  </si>
  <si>
    <t xml:space="preserve">Memo: Change in net working capital (sum of WC lines)</t>
  </si>
  <si>
    <t xml:space="preserve">Acme Corp — Discounted Cash Flow Valuation</t>
  </si>
  <si>
    <t xml:space="preserve">Live Valuation Drivers (driven by Assumptions toggles)</t>
  </si>
  <si>
    <t xml:space="preserve">WACC (selected discount-rate case)</t>
  </si>
  <si>
    <t xml:space="preserve">Terminal growth rate (selected growth case)</t>
  </si>
  <si>
    <t xml:space="preserve">Marginal tax rate</t>
  </si>
  <si>
    <t xml:space="preserve">Mid-year convention flag (1 = on)</t>
  </si>
  <si>
    <t xml:space="preserve">Terminal value method (1 = perpetuity, 2 = exit multiple)</t>
  </si>
  <si>
    <t xml:space="preserve">Active scenario</t>
  </si>
  <si>
    <t xml:space="preserve">Unlevered Free Cash Flow</t>
  </si>
  <si>
    <t xml:space="preserve">EBIT</t>
  </si>
  <si>
    <t xml:space="preserve">Less: taxes on EBIT</t>
  </si>
  <si>
    <t xml:space="preserve">NOPAT</t>
  </si>
  <si>
    <t xml:space="preserve">Plus: depreciation &amp; amortization</t>
  </si>
  <si>
    <t xml:space="preserve">Less: capital expenditures</t>
  </si>
  <si>
    <t xml:space="preserve">Less: increase in net working capital</t>
  </si>
  <si>
    <t xml:space="preserve">Projection year (t)</t>
  </si>
  <si>
    <t xml:space="preserve">Discount period (t – 0.5 if mid-year)</t>
  </si>
  <si>
    <t xml:space="preserve">Discount factor</t>
  </si>
  <si>
    <t xml:space="preserve">Present value of UFCF</t>
  </si>
  <si>
    <t xml:space="preserve">Terminal Value</t>
  </si>
  <si>
    <t xml:space="preserve">Final-year UFCF (2030E)</t>
  </si>
  <si>
    <t xml:space="preserve">TV — perpetuity growth [UFCF × (1+g) / (WACC – g)]</t>
  </si>
  <si>
    <t xml:space="preserve">TV — exit multiple [2030E EBITDA × multiple]</t>
  </si>
  <si>
    <t xml:space="preserve">Selected terminal value</t>
  </si>
  <si>
    <t xml:space="preserve">TV discount factor (end of final year)</t>
  </si>
  <si>
    <t xml:space="preserve">Present value of terminal value</t>
  </si>
  <si>
    <t xml:space="preserve">Implied exit multiple from perpetuity method</t>
  </si>
  <si>
    <t xml:space="preserve">Implied perpetuity growth from exit-multiple method</t>
  </si>
  <si>
    <t xml:space="preserve">Enterprise Value to Implied Share Price</t>
  </si>
  <si>
    <t xml:space="preserve">Sum of PV of UFCF (2026E–2030E)</t>
  </si>
  <si>
    <t xml:space="preserve">PV of terminal value</t>
  </si>
  <si>
    <t xml:space="preserve">Enterprise value</t>
  </si>
  <si>
    <t xml:space="preserve">PV of terminal value as % of EV</t>
  </si>
  <si>
    <t xml:space="preserve">Less: total debt (valuation date)</t>
  </si>
  <si>
    <t xml:space="preserve">Plus: cash &amp; equivalents (valuation date)</t>
  </si>
  <si>
    <t xml:space="preserve">Equity value</t>
  </si>
  <si>
    <t xml:space="preserve">Implied EV / 2025A EBITDA</t>
  </si>
  <si>
    <t xml:space="preserve">Implied EV / 2026E EBITDA</t>
  </si>
  <si>
    <t xml:space="preserve">Sensitivity: Implied Share Price — WACC vs. Terminal Growth (perpetuity method)</t>
  </si>
  <si>
    <t xml:space="preserve">WACC ↓  /  Terminal growth →</t>
  </si>
  <si>
    <t xml:space="preserve">Sensitivity: Implied Share Price — WACC vs. Exit EV/EBITDA Multiple</t>
  </si>
  <si>
    <t xml:space="preserve">WACC ↓  /  Exit multiple →</t>
  </si>
  <si>
    <t xml:space="preserve">Acme Corp — Model Integrity Checks</t>
  </si>
  <si>
    <t xml:space="preserve">Balance sheet balances (abs diff &lt; 0.001)</t>
  </si>
  <si>
    <t xml:space="preserve">Cash flow ending cash = balance sheet cash</t>
  </si>
  <si>
    <t xml:space="preserve">Debt schedule ending balance = BS total debt</t>
  </si>
  <si>
    <t xml:space="preserve">Cash balance non-negative</t>
  </si>
  <si>
    <t xml:space="preserve">Retained earnings roll-forward ties</t>
  </si>
  <si>
    <t xml:space="preserve">WACC exceeds terminal growth rate</t>
  </si>
  <si>
    <t xml:space="preserve">Overall model status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</si>
</sst>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0.0%_);\(0.0%\);\–_)"/>
    <numFmt numFmtId="166" formatCode="#,##0.0_);\(#,##0.0\);\–_)"/>
    <numFmt numFmtId="167" formatCode="\$#,##0.00_);&quot;($&quot;#,##0.00\);\–_)"/>
    <numFmt numFmtId="168" formatCode="0"/>
    <numFmt numFmtId="169" formatCode="0.00_)"/>
    <numFmt numFmtId="170" formatCode="#,##0_)"/>
    <numFmt numFmtId="171" formatCode="mm/dd/yyyy"/>
    <numFmt numFmtId="172" formatCode="0.0\x_)"/>
    <numFmt numFmtId="173" formatCode="0.000%"/>
    <numFmt numFmtId="174" formatCode="#,##0.000_)"/>
    <numFmt numFmtId="175" formatCode="mmm\-yy"/>
    <numFmt numFmtId="176" formatCode="#,##0.000_);\(#,##0.000\);\–_)"/>
    <numFmt numFmtId="177" formatCode="0.0"/>
    <numFmt numFmtId="178" formatCode="0.00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libri"/>
      <family val="0"/>
      <charset val="1"/>
    </font>
    <font>
      <sz val="11"/>
      <color rgb="FF595959"/>
      <name val="Calibri"/>
      <family val="0"/>
      <charset val="1"/>
    </font>
    <font>
      <b val="true"/>
      <u val="single"/>
      <sz val="11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008000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0080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0000FF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1"/>
      <color rgb="FF0000FF"/>
      <name val="Calibri"/>
      <family val="0"/>
      <charset val="1"/>
    </font>
    <font>
      <i val="true"/>
      <sz val="11"/>
      <color theme="1"/>
      <name val="Calibri"/>
      <family val="0"/>
      <charset val="1"/>
    </font>
    <font>
      <i val="true"/>
      <sz val="11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6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7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6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1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8EA9DB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Revenue and EBITDA ($mm)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Summary!B24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F3864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Summary!$C$23:$H$23</c:f>
              <c:strCache>
                <c:ptCount val="6"/>
                <c:pt idx="0">
                  <c:v>2025A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  <c:pt idx="4">
                  <c:v>2029E</c:v>
                </c:pt>
                <c:pt idx="5">
                  <c:v>2030E</c:v>
                </c:pt>
              </c:strCache>
            </c:strRef>
          </c:cat>
          <c:val>
            <c:numRef>
              <c:f>Summary!$C$24:$H$24</c:f>
              <c:numCache>
                <c:formatCode>#,##0.0_);\(#,##0.0\);\–_)</c:formatCode>
                <c:ptCount val="6"/>
                <c:pt idx="0">
                  <c:v>500</c:v>
                </c:pt>
                <c:pt idx="1">
                  <c:v>540</c:v>
                </c:pt>
                <c:pt idx="2">
                  <c:v>577.8</c:v>
                </c:pt>
                <c:pt idx="3">
                  <c:v>612.468</c:v>
                </c:pt>
                <c:pt idx="4">
                  <c:v>643.0914</c:v>
                </c:pt>
                <c:pt idx="5">
                  <c:v>668.815056</c:v>
                </c:pt>
              </c:numCache>
            </c:numRef>
          </c:val>
        </c:ser>
        <c:ser>
          <c:idx val="1"/>
          <c:order val="1"/>
          <c:tx>
            <c:strRef>
              <c:f>Summary!B25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8EA9DB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Summary!$C$23:$H$23</c:f>
              <c:strCache>
                <c:ptCount val="6"/>
                <c:pt idx="0">
                  <c:v>2025A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  <c:pt idx="4">
                  <c:v>2029E</c:v>
                </c:pt>
                <c:pt idx="5">
                  <c:v>2030E</c:v>
                </c:pt>
              </c:strCache>
            </c:strRef>
          </c:cat>
          <c:val>
            <c:numRef>
              <c:f>Summary!$C$25:$H$25</c:f>
              <c:numCache>
                <c:formatCode>#,##0.0_);\(#,##0.0\);\–_)</c:formatCode>
                <c:ptCount val="6"/>
                <c:pt idx="0">
                  <c:v>95</c:v>
                </c:pt>
                <c:pt idx="1">
                  <c:v>102.6</c:v>
                </c:pt>
                <c:pt idx="2">
                  <c:v>110.9376</c:v>
                </c:pt>
                <c:pt idx="3">
                  <c:v>118.818792</c:v>
                </c:pt>
                <c:pt idx="4">
                  <c:v>126.0459144</c:v>
                </c:pt>
                <c:pt idx="5">
                  <c:v>132.425381088</c:v>
                </c:pt>
              </c:numCache>
            </c:numRef>
          </c:val>
        </c:ser>
        <c:gapWidth val="150"/>
        <c:overlap val="0"/>
        <c:axId val="60462620"/>
        <c:axId val="43933725"/>
      </c:barChart>
      <c:catAx>
        <c:axId val="604626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3933725"/>
        <c:crosses val="autoZero"/>
        <c:auto val="1"/>
        <c:lblAlgn val="ctr"/>
        <c:lblOffset val="100"/>
        <c:noMultiLvlLbl val="0"/>
      </c:catAx>
      <c:valAx>
        <c:axId val="4393372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$mm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_);\(#,##0.0\);\–_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046262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33</xdr:row>
      <xdr:rowOff>0</xdr:rowOff>
    </xdr:from>
    <xdr:to>
      <xdr:col>5</xdr:col>
      <xdr:colOff>417960</xdr:colOff>
      <xdr:row>47</xdr:row>
      <xdr:rowOff>32400</xdr:rowOff>
    </xdr:to>
    <xdr:graphicFrame>
      <xdr:nvGraphicFramePr>
        <xdr:cNvPr id="1" name="Chart 1"/>
        <xdr:cNvGraphicFramePr/>
      </xdr:nvGraphicFramePr>
      <xdr:xfrm>
        <a:off x="211320" y="6346080"/>
        <a:ext cx="64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6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9" min="4" style="0" width="13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5" t="str">
        <f aca="false">Assumptions!C6</f>
        <v>Base</v>
      </c>
    </row>
    <row r="7" customFormat="false" ht="15" hidden="false" customHeight="false" outlineLevel="0" collapsed="false">
      <c r="B7" s="4" t="s">
        <v>4</v>
      </c>
      <c r="C7" s="5" t="str">
        <f aca="false">Assumptions!C7</f>
        <v>Base</v>
      </c>
    </row>
    <row r="8" customFormat="false" ht="15" hidden="false" customHeight="false" outlineLevel="0" collapsed="false">
      <c r="B8" s="4" t="s">
        <v>5</v>
      </c>
      <c r="C8" s="5" t="str">
        <f aca="false">Assumptions!C8</f>
        <v>Perpetuity Growth</v>
      </c>
    </row>
    <row r="9" customFormat="false" ht="15" hidden="false" customHeight="false" outlineLevel="0" collapsed="false">
      <c r="B9" s="4" t="s">
        <v>6</v>
      </c>
      <c r="C9" s="5" t="str">
        <f aca="false">Assumptions!C9</f>
        <v>Yes</v>
      </c>
    </row>
    <row r="11" customFormat="false" ht="15" hidden="false" customHeight="false" outlineLevel="0" collapsed="false">
      <c r="B11" s="3" t="s">
        <v>7</v>
      </c>
    </row>
    <row r="12" customFormat="false" ht="15" hidden="false" customHeight="false" outlineLevel="0" collapsed="false">
      <c r="B12" s="4" t="s">
        <v>8</v>
      </c>
      <c r="C12" s="6" t="n">
        <f aca="false">DCF!C6</f>
        <v>0.1031</v>
      </c>
    </row>
    <row r="13" customFormat="false" ht="15" hidden="false" customHeight="false" outlineLevel="0" collapsed="false">
      <c r="B13" s="4" t="s">
        <v>9</v>
      </c>
      <c r="C13" s="6" t="n">
        <f aca="false">DCF!C7</f>
        <v>0.025</v>
      </c>
    </row>
    <row r="14" customFormat="false" ht="15" hidden="false" customHeight="false" outlineLevel="0" collapsed="false">
      <c r="B14" s="4" t="s">
        <v>10</v>
      </c>
      <c r="C14" s="7" t="n">
        <f aca="false">DCF!C43</f>
        <v>823.454116388328</v>
      </c>
    </row>
    <row r="15" customFormat="false" ht="15" hidden="false" customHeight="false" outlineLevel="0" collapsed="false">
      <c r="B15" s="4" t="s">
        <v>11</v>
      </c>
      <c r="C15" s="7" t="n">
        <f aca="false">DCF!C47</f>
        <v>733.454116388328</v>
      </c>
    </row>
    <row r="16" customFormat="false" ht="15" hidden="false" customHeight="false" outlineLevel="0" collapsed="false">
      <c r="B16" s="8" t="s">
        <v>12</v>
      </c>
      <c r="C16" s="9" t="n">
        <f aca="false">DCF!C49</f>
        <v>14.6690823277666</v>
      </c>
    </row>
    <row r="17" customFormat="false" ht="15" hidden="false" customHeight="false" outlineLevel="0" collapsed="false">
      <c r="B17" s="4" t="s">
        <v>13</v>
      </c>
      <c r="C17" s="10" t="n">
        <f aca="false">DCF!C50</f>
        <v>12</v>
      </c>
    </row>
    <row r="18" customFormat="false" ht="15" hidden="false" customHeight="false" outlineLevel="0" collapsed="false">
      <c r="B18" s="4" t="s">
        <v>14</v>
      </c>
      <c r="C18" s="6" t="n">
        <f aca="false">DCF!C51</f>
        <v>0.22242352731388</v>
      </c>
    </row>
    <row r="19" customFormat="false" ht="15" hidden="false" customHeight="false" outlineLevel="0" collapsed="false">
      <c r="B19" s="4" t="s">
        <v>15</v>
      </c>
      <c r="C19" s="11" t="n">
        <f aca="false">('Income Statement'!H6/'Income Statement'!C6)^(1/5)-1</f>
        <v>0.0599056502998343</v>
      </c>
    </row>
    <row r="20" customFormat="false" ht="15" hidden="false" customHeight="false" outlineLevel="0" collapsed="false">
      <c r="B20" s="4" t="s">
        <v>16</v>
      </c>
      <c r="C20" s="5" t="str">
        <f aca="false">Checks!C13</f>
        <v>ALL CHECKS PASS</v>
      </c>
    </row>
    <row r="22" customFormat="false" ht="15" hidden="false" customHeight="false" outlineLevel="0" collapsed="false">
      <c r="B22" s="3" t="s">
        <v>17</v>
      </c>
    </row>
    <row r="23" customFormat="false" ht="15" hidden="false" customHeight="false" outlineLevel="0" collapsed="false">
      <c r="B23" s="12" t="s">
        <v>18</v>
      </c>
      <c r="C23" s="13" t="s">
        <v>19</v>
      </c>
      <c r="D23" s="13" t="s">
        <v>20</v>
      </c>
      <c r="E23" s="13" t="s">
        <v>21</v>
      </c>
      <c r="F23" s="13" t="s">
        <v>22</v>
      </c>
      <c r="G23" s="13" t="s">
        <v>23</v>
      </c>
      <c r="H23" s="13" t="s">
        <v>24</v>
      </c>
    </row>
    <row r="24" customFormat="false" ht="15" hidden="false" customHeight="false" outlineLevel="0" collapsed="false">
      <c r="B24" s="4" t="s">
        <v>25</v>
      </c>
      <c r="C24" s="7" t="n">
        <f aca="false">'Income Statement'!C6</f>
        <v>500</v>
      </c>
      <c r="D24" s="7" t="n">
        <f aca="false">'Income Statement'!D6</f>
        <v>540</v>
      </c>
      <c r="E24" s="7" t="n">
        <f aca="false">'Income Statement'!E6</f>
        <v>577.8</v>
      </c>
      <c r="F24" s="7" t="n">
        <f aca="false">'Income Statement'!F6</f>
        <v>612.468</v>
      </c>
      <c r="G24" s="7" t="n">
        <f aca="false">'Income Statement'!G6</f>
        <v>643.0914</v>
      </c>
      <c r="H24" s="7" t="n">
        <f aca="false">'Income Statement'!H6</f>
        <v>668.815056</v>
      </c>
    </row>
    <row r="25" customFormat="false" ht="15" hidden="false" customHeight="false" outlineLevel="0" collapsed="false">
      <c r="B25" s="4" t="s">
        <v>26</v>
      </c>
      <c r="C25" s="7" t="n">
        <f aca="false">'Income Statement'!C14</f>
        <v>95</v>
      </c>
      <c r="D25" s="7" t="n">
        <f aca="false">'Income Statement'!D14</f>
        <v>102.6</v>
      </c>
      <c r="E25" s="7" t="n">
        <f aca="false">'Income Statement'!E14</f>
        <v>110.9376</v>
      </c>
      <c r="F25" s="7" t="n">
        <f aca="false">'Income Statement'!F14</f>
        <v>118.818792</v>
      </c>
      <c r="G25" s="7" t="n">
        <f aca="false">'Income Statement'!G14</f>
        <v>126.0459144</v>
      </c>
      <c r="H25" s="7" t="n">
        <f aca="false">'Income Statement'!H14</f>
        <v>132.425381088</v>
      </c>
    </row>
    <row r="26" customFormat="false" ht="15" hidden="false" customHeight="false" outlineLevel="0" collapsed="false">
      <c r="B26" s="14" t="s">
        <v>27</v>
      </c>
      <c r="C26" s="6" t="n">
        <f aca="false">'Income Statement'!C15</f>
        <v>0.19</v>
      </c>
      <c r="D26" s="6" t="n">
        <f aca="false">'Income Statement'!D15</f>
        <v>0.19</v>
      </c>
      <c r="E26" s="6" t="n">
        <f aca="false">'Income Statement'!E15</f>
        <v>0.192</v>
      </c>
      <c r="F26" s="6" t="n">
        <f aca="false">'Income Statement'!F15</f>
        <v>0.194</v>
      </c>
      <c r="G26" s="6" t="n">
        <f aca="false">'Income Statement'!G15</f>
        <v>0.196</v>
      </c>
      <c r="H26" s="6" t="n">
        <f aca="false">'Income Statement'!H15</f>
        <v>0.198</v>
      </c>
    </row>
    <row r="27" customFormat="false" ht="15" hidden="false" customHeight="false" outlineLevel="0" collapsed="false">
      <c r="B27" s="4" t="s">
        <v>28</v>
      </c>
      <c r="C27" s="7" t="n">
        <f aca="false">'Income Statement'!C23</f>
        <v>49.5</v>
      </c>
      <c r="D27" s="7" t="n">
        <f aca="false">'Income Statement'!D23</f>
        <v>54.6339468696775</v>
      </c>
      <c r="E27" s="7" t="n">
        <f aca="false">'Income Statement'!E23</f>
        <v>61.0563737203908</v>
      </c>
      <c r="F27" s="7" t="n">
        <f aca="false">'Income Statement'!F23</f>
        <v>67.3766551632508</v>
      </c>
      <c r="G27" s="7" t="n">
        <f aca="false">'Income Statement'!G23</f>
        <v>73.5122638861164</v>
      </c>
      <c r="H27" s="7" t="n">
        <f aca="false">'Income Statement'!H23</f>
        <v>79.3496001629774</v>
      </c>
    </row>
    <row r="28" customFormat="false" ht="15" hidden="false" customHeight="false" outlineLevel="0" collapsed="false">
      <c r="B28" s="4" t="s">
        <v>29</v>
      </c>
      <c r="C28" s="10" t="n">
        <f aca="false">'Income Statement'!C26</f>
        <v>0.99</v>
      </c>
      <c r="D28" s="10" t="n">
        <f aca="false">'Income Statement'!D26</f>
        <v>1.09267893739355</v>
      </c>
      <c r="E28" s="10" t="n">
        <f aca="false">'Income Statement'!E26</f>
        <v>1.22112747440782</v>
      </c>
      <c r="F28" s="10" t="n">
        <f aca="false">'Income Statement'!F26</f>
        <v>1.34753310326501</v>
      </c>
      <c r="G28" s="10" t="n">
        <f aca="false">'Income Statement'!G26</f>
        <v>1.47024527772233</v>
      </c>
      <c r="H28" s="10" t="n">
        <f aca="false">'Income Statement'!H26</f>
        <v>1.58699200325955</v>
      </c>
    </row>
    <row r="29" customFormat="false" ht="15" hidden="false" customHeight="false" outlineLevel="0" collapsed="false">
      <c r="B29" s="4" t="s">
        <v>30</v>
      </c>
      <c r="C29" s="4"/>
      <c r="D29" s="7" t="n">
        <f aca="false">DCF!D24</f>
        <v>50.7006849315068</v>
      </c>
      <c r="E29" s="7" t="n">
        <f aca="false">DCF!E24</f>
        <v>55.4257479452054</v>
      </c>
      <c r="F29" s="7" t="n">
        <f aca="false">DCF!F24</f>
        <v>61.5614239726028</v>
      </c>
      <c r="G29" s="7" t="n">
        <f aca="false">DCF!G24</f>
        <v>67.6034627424658</v>
      </c>
      <c r="H29" s="7" t="n">
        <f aca="false">DCF!H24</f>
        <v>72.7355754236712</v>
      </c>
    </row>
    <row r="30" customFormat="false" ht="15" hidden="false" customHeight="false" outlineLevel="0" collapsed="false">
      <c r="B30" s="4" t="s">
        <v>31</v>
      </c>
      <c r="C30" s="7" t="n">
        <f aca="false">'Balance Sheet'!C7</f>
        <v>60</v>
      </c>
      <c r="D30" s="7" t="n">
        <f aca="false">'Balance Sheet'!D7</f>
        <v>76.4457559664046</v>
      </c>
      <c r="E30" s="7" t="n">
        <f aca="false">'Balance Sheet'!E7</f>
        <v>96.3910533051195</v>
      </c>
      <c r="F30" s="7" t="n">
        <f aca="false">'Balance Sheet'!F7</f>
        <v>121.323186821868</v>
      </c>
      <c r="G30" s="7" t="n">
        <f aca="false">'Balance Sheet'!G7</f>
        <v>151.273545061787</v>
      </c>
      <c r="H30" s="7" t="n">
        <f aca="false">'Balance Sheet'!H7</f>
        <v>185.478910827783</v>
      </c>
    </row>
    <row r="31" customFormat="false" ht="15" hidden="false" customHeight="false" outlineLevel="0" collapsed="false">
      <c r="B31" s="4" t="s">
        <v>32</v>
      </c>
      <c r="C31" s="15" t="n">
        <f aca="false">'Balance Sheet'!C19+'Balance Sheet'!C21</f>
        <v>150</v>
      </c>
      <c r="D31" s="15" t="n">
        <f aca="false">'Balance Sheet'!D19+'Balance Sheet'!D21</f>
        <v>132.787913539156</v>
      </c>
      <c r="E31" s="15" t="n">
        <f aca="false">'Balance Sheet'!E19+'Balance Sheet'!E21</f>
        <v>114.331563956353</v>
      </c>
      <c r="F31" s="15" t="n">
        <f aca="false">'Balance Sheet'!F19+'Balance Sheet'!F21</f>
        <v>94.5410033698977</v>
      </c>
      <c r="G31" s="15" t="n">
        <f aca="false">'Balance Sheet'!G19+'Balance Sheet'!G21</f>
        <v>73.3197815584577</v>
      </c>
      <c r="H31" s="15" t="n">
        <f aca="false">'Balance Sheet'!H19+'Balance Sheet'!H21</f>
        <v>50.5644759064006</v>
      </c>
    </row>
    <row r="54" customFormat="false" ht="15" hidden="false" customHeight="false" outlineLevel="0" collapsed="false">
      <c r="B54" s="3" t="s">
        <v>33</v>
      </c>
    </row>
    <row r="55" customFormat="false" ht="15" hidden="false" customHeight="false" outlineLevel="0" collapsed="false">
      <c r="B55" s="8" t="s">
        <v>34</v>
      </c>
      <c r="C55" s="4" t="s">
        <v>35</v>
      </c>
    </row>
    <row r="56" customFormat="false" ht="15" hidden="false" customHeight="false" outlineLevel="0" collapsed="false">
      <c r="B56" s="8" t="s">
        <v>36</v>
      </c>
      <c r="C56" s="4" t="s">
        <v>37</v>
      </c>
    </row>
    <row r="57" customFormat="false" ht="15" hidden="false" customHeight="false" outlineLevel="0" collapsed="false">
      <c r="B57" s="8" t="s">
        <v>38</v>
      </c>
      <c r="C57" s="4" t="s">
        <v>39</v>
      </c>
    </row>
    <row r="58" customFormat="false" ht="15" hidden="false" customHeight="false" outlineLevel="0" collapsed="false">
      <c r="B58" s="8" t="s">
        <v>40</v>
      </c>
      <c r="C58" s="4" t="s">
        <v>41</v>
      </c>
    </row>
    <row r="59" customFormat="false" ht="15" hidden="false" customHeight="false" outlineLevel="0" collapsed="false">
      <c r="B59" s="8" t="s">
        <v>42</v>
      </c>
      <c r="C59" s="4" t="s">
        <v>43</v>
      </c>
    </row>
    <row r="60" customFormat="false" ht="15" hidden="false" customHeight="false" outlineLevel="0" collapsed="false">
      <c r="B60" s="8" t="s">
        <v>44</v>
      </c>
      <c r="C60" s="4" t="s">
        <v>45</v>
      </c>
    </row>
    <row r="61" customFormat="false" ht="15" hidden="false" customHeight="false" outlineLevel="0" collapsed="false">
      <c r="B61" s="8" t="s">
        <v>46</v>
      </c>
      <c r="C61" s="4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9" min="4" style="0" width="13"/>
  </cols>
  <sheetData>
    <row r="2" customFormat="false" ht="19.7" hidden="false" customHeight="false" outlineLevel="0" collapsed="false">
      <c r="B2" s="1" t="s">
        <v>48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16" t="s">
        <v>49</v>
      </c>
      <c r="C5" s="13" t="s">
        <v>50</v>
      </c>
      <c r="D5" s="13" t="s">
        <v>51</v>
      </c>
    </row>
    <row r="6" customFormat="false" ht="15" hidden="false" customHeight="false" outlineLevel="0" collapsed="false">
      <c r="B6" s="4" t="s">
        <v>3</v>
      </c>
      <c r="C6" s="17" t="s">
        <v>52</v>
      </c>
      <c r="D6" s="18" t="n">
        <f aca="false">MATCH(C6,$B$13:$B$15,0)</f>
        <v>2</v>
      </c>
    </row>
    <row r="7" customFormat="false" ht="15" hidden="false" customHeight="false" outlineLevel="0" collapsed="false">
      <c r="B7" s="4" t="s">
        <v>4</v>
      </c>
      <c r="C7" s="17" t="s">
        <v>52</v>
      </c>
      <c r="D7" s="18" t="n">
        <f aca="false">MATCH(C7,$C$19:$E$19,0)</f>
        <v>2</v>
      </c>
    </row>
    <row r="8" customFormat="false" ht="15" hidden="false" customHeight="false" outlineLevel="0" collapsed="false">
      <c r="B8" s="4" t="s">
        <v>5</v>
      </c>
      <c r="C8" s="17" t="s">
        <v>53</v>
      </c>
      <c r="D8" s="18" t="n">
        <f aca="false">IF(C8="Perpetuity Growth",1,2)</f>
        <v>1</v>
      </c>
    </row>
    <row r="9" customFormat="false" ht="15" hidden="false" customHeight="false" outlineLevel="0" collapsed="false">
      <c r="B9" s="4" t="s">
        <v>54</v>
      </c>
      <c r="C9" s="17" t="s">
        <v>55</v>
      </c>
      <c r="D9" s="18" t="n">
        <f aca="false">IF(C9="Yes",1,0)</f>
        <v>1</v>
      </c>
    </row>
    <row r="11" customFormat="false" ht="15" hidden="false" customHeight="false" outlineLevel="0" collapsed="false">
      <c r="B11" s="3" t="s">
        <v>56</v>
      </c>
    </row>
    <row r="12" customFormat="false" ht="15" hidden="false" customHeight="false" outlineLevel="0" collapsed="false">
      <c r="B12" s="12" t="s">
        <v>57</v>
      </c>
      <c r="C12" s="12"/>
      <c r="D12" s="13" t="s">
        <v>20</v>
      </c>
      <c r="E12" s="13" t="s">
        <v>21</v>
      </c>
      <c r="F12" s="13" t="s">
        <v>22</v>
      </c>
      <c r="G12" s="13" t="s">
        <v>23</v>
      </c>
      <c r="H12" s="13" t="s">
        <v>24</v>
      </c>
      <c r="I12" s="13" t="s">
        <v>58</v>
      </c>
    </row>
    <row r="13" customFormat="false" ht="15" hidden="false" customHeight="false" outlineLevel="0" collapsed="false">
      <c r="B13" s="4" t="s">
        <v>59</v>
      </c>
      <c r="D13" s="19" t="n">
        <v>0.03</v>
      </c>
      <c r="E13" s="19" t="n">
        <v>0.03</v>
      </c>
      <c r="F13" s="19" t="n">
        <v>0.025</v>
      </c>
      <c r="G13" s="19" t="n">
        <v>0.02</v>
      </c>
      <c r="H13" s="19" t="n">
        <v>0.02</v>
      </c>
      <c r="I13" s="19" t="n">
        <v>0.015</v>
      </c>
    </row>
    <row r="14" customFormat="false" ht="15" hidden="false" customHeight="false" outlineLevel="0" collapsed="false">
      <c r="B14" s="4" t="s">
        <v>52</v>
      </c>
      <c r="D14" s="19" t="n">
        <v>0.08</v>
      </c>
      <c r="E14" s="19" t="n">
        <v>0.07</v>
      </c>
      <c r="F14" s="19" t="n">
        <v>0.06</v>
      </c>
      <c r="G14" s="19" t="n">
        <v>0.05</v>
      </c>
      <c r="H14" s="19" t="n">
        <v>0.04</v>
      </c>
      <c r="I14" s="19" t="n">
        <v>0.025</v>
      </c>
    </row>
    <row r="15" customFormat="false" ht="15" hidden="false" customHeight="false" outlineLevel="0" collapsed="false">
      <c r="B15" s="4" t="s">
        <v>60</v>
      </c>
      <c r="D15" s="19" t="n">
        <v>0.14</v>
      </c>
      <c r="E15" s="19" t="n">
        <v>0.12</v>
      </c>
      <c r="F15" s="19" t="n">
        <v>0.1</v>
      </c>
      <c r="G15" s="19" t="n">
        <v>0.08</v>
      </c>
      <c r="H15" s="19" t="n">
        <v>0.06</v>
      </c>
      <c r="I15" s="19" t="n">
        <v>0.03</v>
      </c>
    </row>
    <row r="16" customFormat="false" ht="15" hidden="false" customHeight="false" outlineLevel="0" collapsed="false">
      <c r="B16" s="8" t="s">
        <v>61</v>
      </c>
      <c r="D16" s="20" t="n">
        <f aca="false">INDEX(D13:D15,$D$6)</f>
        <v>0.08</v>
      </c>
      <c r="E16" s="20" t="n">
        <f aca="false">INDEX(E13:E15,$D$6)</f>
        <v>0.07</v>
      </c>
      <c r="F16" s="20" t="n">
        <f aca="false">INDEX(F13:F15,$D$6)</f>
        <v>0.06</v>
      </c>
      <c r="G16" s="20" t="n">
        <f aca="false">INDEX(G13:G15,$D$6)</f>
        <v>0.05</v>
      </c>
      <c r="H16" s="20" t="n">
        <f aca="false">INDEX(H13:H15,$D$6)</f>
        <v>0.04</v>
      </c>
      <c r="I16" s="20" t="n">
        <f aca="false">INDEX(I13:I15,$D$6)</f>
        <v>0.025</v>
      </c>
    </row>
    <row r="18" customFormat="false" ht="15" hidden="false" customHeight="false" outlineLevel="0" collapsed="false">
      <c r="B18" s="3" t="s">
        <v>62</v>
      </c>
    </row>
    <row r="19" customFormat="false" ht="15" hidden="false" customHeight="false" outlineLevel="0" collapsed="false">
      <c r="B19" s="16" t="s">
        <v>63</v>
      </c>
      <c r="C19" s="13" t="s">
        <v>64</v>
      </c>
      <c r="D19" s="13" t="s">
        <v>52</v>
      </c>
      <c r="E19" s="13" t="s">
        <v>65</v>
      </c>
      <c r="F19" s="13" t="s">
        <v>66</v>
      </c>
    </row>
    <row r="20" customFormat="false" ht="15" hidden="false" customHeight="false" outlineLevel="0" collapsed="false">
      <c r="B20" s="4" t="s">
        <v>67</v>
      </c>
      <c r="C20" s="19" t="n">
        <v>0.04</v>
      </c>
      <c r="D20" s="19" t="n">
        <v>0.0425</v>
      </c>
      <c r="E20" s="19" t="n">
        <v>0.045</v>
      </c>
      <c r="F20" s="11" t="n">
        <f aca="false">INDEX(C20:E20,$D$7)</f>
        <v>0.0425</v>
      </c>
    </row>
    <row r="21" customFormat="false" ht="15" hidden="false" customHeight="false" outlineLevel="0" collapsed="false">
      <c r="B21" s="4" t="s">
        <v>68</v>
      </c>
      <c r="C21" s="21" t="n">
        <v>1</v>
      </c>
      <c r="D21" s="21" t="n">
        <v>1.15</v>
      </c>
      <c r="E21" s="21" t="n">
        <v>1.3</v>
      </c>
      <c r="F21" s="22" t="n">
        <f aca="false">INDEX(C21:E21,$D$7)</f>
        <v>1.15</v>
      </c>
    </row>
    <row r="22" customFormat="false" ht="15" hidden="false" customHeight="false" outlineLevel="0" collapsed="false">
      <c r="B22" s="4" t="s">
        <v>69</v>
      </c>
      <c r="C22" s="19" t="n">
        <v>0.05</v>
      </c>
      <c r="D22" s="19" t="n">
        <v>0.055</v>
      </c>
      <c r="E22" s="19" t="n">
        <v>0.06</v>
      </c>
      <c r="F22" s="11" t="n">
        <f aca="false">INDEX(C22:E22,$D$7)</f>
        <v>0.055</v>
      </c>
    </row>
    <row r="23" customFormat="false" ht="15" hidden="false" customHeight="false" outlineLevel="0" collapsed="false">
      <c r="B23" s="4" t="s">
        <v>70</v>
      </c>
      <c r="C23" s="19" t="n">
        <v>0.005</v>
      </c>
      <c r="D23" s="19" t="n">
        <v>0.01</v>
      </c>
      <c r="E23" s="19" t="n">
        <v>0.015</v>
      </c>
      <c r="F23" s="11" t="n">
        <f aca="false">INDEX(C23:E23,$D$7)</f>
        <v>0.01</v>
      </c>
    </row>
    <row r="24" customFormat="false" ht="15" hidden="false" customHeight="false" outlineLevel="0" collapsed="false">
      <c r="B24" s="4" t="s">
        <v>71</v>
      </c>
      <c r="C24" s="19" t="n">
        <v>0.06</v>
      </c>
      <c r="D24" s="19" t="n">
        <v>0.07</v>
      </c>
      <c r="E24" s="19" t="n">
        <v>0.08</v>
      </c>
      <c r="F24" s="11" t="n">
        <f aca="false">INDEX(C24:E24,$D$7)</f>
        <v>0.07</v>
      </c>
    </row>
    <row r="25" customFormat="false" ht="15" hidden="false" customHeight="false" outlineLevel="0" collapsed="false">
      <c r="B25" s="4" t="s">
        <v>72</v>
      </c>
      <c r="C25" s="19" t="n">
        <v>0.2</v>
      </c>
      <c r="D25" s="19" t="n">
        <v>0.2</v>
      </c>
      <c r="E25" s="19" t="n">
        <v>0.2</v>
      </c>
      <c r="F25" s="11" t="n">
        <f aca="false">INDEX(C25:E25,$D$7)</f>
        <v>0.2</v>
      </c>
    </row>
    <row r="26" customFormat="false" ht="15" hidden="false" customHeight="false" outlineLevel="0" collapsed="false">
      <c r="B26" s="4" t="s">
        <v>73</v>
      </c>
      <c r="C26" s="23" t="n">
        <f aca="false">C20+C21*C22+C23</f>
        <v>0.095</v>
      </c>
      <c r="D26" s="23" t="n">
        <f aca="false">D20+D21*D22+D23</f>
        <v>0.11575</v>
      </c>
      <c r="E26" s="23" t="n">
        <f aca="false">E20+E21*E22+E23</f>
        <v>0.138</v>
      </c>
      <c r="F26" s="23" t="n">
        <f aca="false">F20+F21*F22+F23</f>
        <v>0.11575</v>
      </c>
    </row>
    <row r="27" customFormat="false" ht="15" hidden="false" customHeight="false" outlineLevel="0" collapsed="false">
      <c r="B27" s="4" t="s">
        <v>74</v>
      </c>
      <c r="C27" s="11" t="n">
        <f aca="false">C24*(1-$C$54)</f>
        <v>0.045</v>
      </c>
      <c r="D27" s="11" t="n">
        <f aca="false">D24*(1-$C$54)</f>
        <v>0.0525</v>
      </c>
      <c r="E27" s="11" t="n">
        <f aca="false">E24*(1-$C$54)</f>
        <v>0.06</v>
      </c>
      <c r="F27" s="11" t="n">
        <f aca="false">F24*(1-$C$54)</f>
        <v>0.0525</v>
      </c>
    </row>
    <row r="28" customFormat="false" ht="15" hidden="false" customHeight="false" outlineLevel="0" collapsed="false">
      <c r="B28" s="8" t="s">
        <v>8</v>
      </c>
      <c r="C28" s="20" t="n">
        <f aca="false">(1-C25)*C26+C25*C27</f>
        <v>0.085</v>
      </c>
      <c r="D28" s="20" t="n">
        <f aca="false">(1-D25)*D26+D25*D27</f>
        <v>0.1031</v>
      </c>
      <c r="E28" s="20" t="n">
        <f aca="false">(1-E25)*E26+E25*E27</f>
        <v>0.1224</v>
      </c>
      <c r="F28" s="24" t="n">
        <f aca="false">(1-F25)*F26+F25*F27</f>
        <v>0.1031</v>
      </c>
    </row>
    <row r="30" customFormat="false" ht="15" hidden="false" customHeight="false" outlineLevel="0" collapsed="false">
      <c r="B30" s="3" t="s">
        <v>75</v>
      </c>
    </row>
    <row r="31" customFormat="false" ht="15" hidden="false" customHeight="false" outlineLevel="0" collapsed="false">
      <c r="B31" s="12" t="s">
        <v>76</v>
      </c>
      <c r="C31" s="12"/>
      <c r="D31" s="13" t="s">
        <v>20</v>
      </c>
      <c r="E31" s="13" t="s">
        <v>21</v>
      </c>
      <c r="F31" s="13" t="s">
        <v>22</v>
      </c>
      <c r="G31" s="13" t="s">
        <v>23</v>
      </c>
      <c r="H31" s="13" t="s">
        <v>24</v>
      </c>
    </row>
    <row r="32" customFormat="false" ht="15" hidden="false" customHeight="false" outlineLevel="0" collapsed="false">
      <c r="B32" s="4" t="s">
        <v>77</v>
      </c>
      <c r="D32" s="19" t="n">
        <v>0.55</v>
      </c>
      <c r="E32" s="19" t="n">
        <v>0.55</v>
      </c>
      <c r="F32" s="19" t="n">
        <v>0.55</v>
      </c>
      <c r="G32" s="19" t="n">
        <v>0.55</v>
      </c>
      <c r="H32" s="19" t="n">
        <v>0.55</v>
      </c>
    </row>
    <row r="33" customFormat="false" ht="15" hidden="false" customHeight="false" outlineLevel="0" collapsed="false">
      <c r="B33" s="4" t="s">
        <v>78</v>
      </c>
      <c r="D33" s="19" t="n">
        <v>0.18</v>
      </c>
      <c r="E33" s="19" t="n">
        <v>0.178</v>
      </c>
      <c r="F33" s="19" t="n">
        <v>0.176</v>
      </c>
      <c r="G33" s="19" t="n">
        <v>0.174</v>
      </c>
      <c r="H33" s="19" t="n">
        <v>0.172</v>
      </c>
    </row>
    <row r="34" customFormat="false" ht="15" hidden="false" customHeight="false" outlineLevel="0" collapsed="false">
      <c r="B34" s="4" t="s">
        <v>79</v>
      </c>
      <c r="D34" s="19" t="n">
        <v>0.08</v>
      </c>
      <c r="E34" s="19" t="n">
        <v>0.08</v>
      </c>
      <c r="F34" s="19" t="n">
        <v>0.08</v>
      </c>
      <c r="G34" s="19" t="n">
        <v>0.08</v>
      </c>
      <c r="H34" s="19" t="n">
        <v>0.08</v>
      </c>
    </row>
    <row r="35" customFormat="false" ht="15" hidden="false" customHeight="false" outlineLevel="0" collapsed="false">
      <c r="B35" s="4" t="s">
        <v>80</v>
      </c>
      <c r="D35" s="19" t="n">
        <v>0.04</v>
      </c>
      <c r="E35" s="19" t="n">
        <v>0.04</v>
      </c>
      <c r="F35" s="19" t="n">
        <v>0.04</v>
      </c>
      <c r="G35" s="19" t="n">
        <v>0.04</v>
      </c>
      <c r="H35" s="19" t="n">
        <v>0.04</v>
      </c>
    </row>
    <row r="36" customFormat="false" ht="15" hidden="false" customHeight="false" outlineLevel="0" collapsed="false">
      <c r="B36" s="4" t="s">
        <v>81</v>
      </c>
      <c r="D36" s="19" t="n">
        <v>0.05</v>
      </c>
      <c r="E36" s="19" t="n">
        <v>0.05</v>
      </c>
      <c r="F36" s="19" t="n">
        <v>0.048</v>
      </c>
      <c r="G36" s="19" t="n">
        <v>0.046</v>
      </c>
      <c r="H36" s="19" t="n">
        <v>0.045</v>
      </c>
    </row>
    <row r="37" customFormat="false" ht="15" hidden="false" customHeight="false" outlineLevel="0" collapsed="false">
      <c r="B37" s="4" t="s">
        <v>82</v>
      </c>
      <c r="D37" s="19" t="n">
        <v>0.25</v>
      </c>
      <c r="E37" s="19" t="n">
        <v>0.25</v>
      </c>
      <c r="F37" s="19" t="n">
        <v>0.25</v>
      </c>
      <c r="G37" s="19" t="n">
        <v>0.25</v>
      </c>
      <c r="H37" s="19" t="n">
        <v>0.25</v>
      </c>
    </row>
    <row r="38" customFormat="false" ht="15" hidden="false" customHeight="false" outlineLevel="0" collapsed="false">
      <c r="B38" s="4" t="s">
        <v>83</v>
      </c>
      <c r="D38" s="25" t="n">
        <v>45</v>
      </c>
      <c r="E38" s="25" t="n">
        <v>45</v>
      </c>
      <c r="F38" s="25" t="n">
        <v>45</v>
      </c>
      <c r="G38" s="25" t="n">
        <v>45</v>
      </c>
      <c r="H38" s="25" t="n">
        <v>45</v>
      </c>
    </row>
    <row r="39" customFormat="false" ht="15" hidden="false" customHeight="false" outlineLevel="0" collapsed="false">
      <c r="B39" s="4" t="s">
        <v>84</v>
      </c>
      <c r="D39" s="25" t="n">
        <v>60</v>
      </c>
      <c r="E39" s="25" t="n">
        <v>60</v>
      </c>
      <c r="F39" s="25" t="n">
        <v>60</v>
      </c>
      <c r="G39" s="25" t="n">
        <v>60</v>
      </c>
      <c r="H39" s="25" t="n">
        <v>60</v>
      </c>
    </row>
    <row r="40" customFormat="false" ht="15" hidden="false" customHeight="false" outlineLevel="0" collapsed="false">
      <c r="B40" s="4" t="s">
        <v>85</v>
      </c>
      <c r="D40" s="25" t="n">
        <v>40</v>
      </c>
      <c r="E40" s="25" t="n">
        <v>40</v>
      </c>
      <c r="F40" s="25" t="n">
        <v>40</v>
      </c>
      <c r="G40" s="25" t="n">
        <v>40</v>
      </c>
      <c r="H40" s="25" t="n">
        <v>40</v>
      </c>
    </row>
    <row r="41" customFormat="false" ht="15" hidden="false" customHeight="false" outlineLevel="0" collapsed="false">
      <c r="B41" s="4" t="s">
        <v>86</v>
      </c>
      <c r="D41" s="19" t="n">
        <v>0.02</v>
      </c>
      <c r="E41" s="19" t="n">
        <v>0.02</v>
      </c>
      <c r="F41" s="19" t="n">
        <v>0.02</v>
      </c>
      <c r="G41" s="19" t="n">
        <v>0.02</v>
      </c>
      <c r="H41" s="19" t="n">
        <v>0.02</v>
      </c>
    </row>
    <row r="42" customFormat="false" ht="15" hidden="false" customHeight="false" outlineLevel="0" collapsed="false">
      <c r="B42" s="4" t="s">
        <v>87</v>
      </c>
      <c r="D42" s="19" t="n">
        <v>0.05</v>
      </c>
      <c r="E42" s="19" t="n">
        <v>0.05</v>
      </c>
      <c r="F42" s="19" t="n">
        <v>0.05</v>
      </c>
      <c r="G42" s="19" t="n">
        <v>0.05</v>
      </c>
      <c r="H42" s="19" t="n">
        <v>0.05</v>
      </c>
    </row>
    <row r="43" customFormat="false" ht="15" hidden="false" customHeight="false" outlineLevel="0" collapsed="false">
      <c r="B43" s="4" t="s">
        <v>88</v>
      </c>
      <c r="D43" s="19" t="n">
        <v>0.2</v>
      </c>
      <c r="E43" s="19" t="n">
        <v>0.2</v>
      </c>
      <c r="F43" s="19" t="n">
        <v>0.2</v>
      </c>
      <c r="G43" s="19" t="n">
        <v>0.2</v>
      </c>
      <c r="H43" s="19" t="n">
        <v>0.2</v>
      </c>
    </row>
    <row r="44" customFormat="false" ht="15" hidden="false" customHeight="false" outlineLevel="0" collapsed="false">
      <c r="B44" s="4" t="s">
        <v>89</v>
      </c>
      <c r="D44" s="19" t="n">
        <v>0.03</v>
      </c>
      <c r="E44" s="19" t="n">
        <v>0.03</v>
      </c>
      <c r="F44" s="19" t="n">
        <v>0.03</v>
      </c>
      <c r="G44" s="19" t="n">
        <v>0.03</v>
      </c>
      <c r="H44" s="19" t="n">
        <v>0.03</v>
      </c>
    </row>
    <row r="45" customFormat="false" ht="15" hidden="false" customHeight="false" outlineLevel="0" collapsed="false">
      <c r="B45" s="4" t="s">
        <v>90</v>
      </c>
      <c r="D45" s="26" t="n">
        <v>0</v>
      </c>
      <c r="E45" s="26" t="n">
        <v>0</v>
      </c>
      <c r="F45" s="26" t="n">
        <v>0</v>
      </c>
      <c r="G45" s="26" t="n">
        <v>0</v>
      </c>
      <c r="H45" s="26" t="n">
        <v>0</v>
      </c>
    </row>
    <row r="47" customFormat="false" ht="15" hidden="false" customHeight="false" outlineLevel="0" collapsed="false">
      <c r="B47" s="3" t="s">
        <v>91</v>
      </c>
    </row>
    <row r="48" customFormat="false" ht="15" hidden="false" customHeight="false" outlineLevel="0" collapsed="false">
      <c r="B48" s="4" t="s">
        <v>92</v>
      </c>
      <c r="C48" s="26" t="n">
        <v>150</v>
      </c>
    </row>
    <row r="49" customFormat="false" ht="15" hidden="false" customHeight="false" outlineLevel="0" collapsed="false">
      <c r="B49" s="4" t="s">
        <v>93</v>
      </c>
      <c r="C49" s="19" t="n">
        <v>0.07</v>
      </c>
    </row>
    <row r="50" customFormat="false" ht="15" hidden="false" customHeight="false" outlineLevel="0" collapsed="false">
      <c r="B50" s="4" t="s">
        <v>94</v>
      </c>
      <c r="C50" s="27" t="n">
        <v>7</v>
      </c>
    </row>
    <row r="51" customFormat="false" ht="15" hidden="false" customHeight="false" outlineLevel="0" collapsed="false">
      <c r="B51" s="4" t="s">
        <v>95</v>
      </c>
      <c r="C51" s="27" t="n">
        <v>12</v>
      </c>
    </row>
    <row r="52" customFormat="false" ht="15" hidden="false" customHeight="false" outlineLevel="0" collapsed="false">
      <c r="B52" s="4" t="s">
        <v>96</v>
      </c>
      <c r="C52" s="28" t="n">
        <v>46053</v>
      </c>
    </row>
    <row r="53" customFormat="false" ht="15" hidden="false" customHeight="false" outlineLevel="0" collapsed="false">
      <c r="B53" s="4" t="s">
        <v>97</v>
      </c>
      <c r="C53" s="26" t="n">
        <v>50</v>
      </c>
    </row>
    <row r="54" customFormat="false" ht="15" hidden="false" customHeight="false" outlineLevel="0" collapsed="false">
      <c r="B54" s="4" t="s">
        <v>98</v>
      </c>
      <c r="C54" s="19" t="n">
        <v>0.25</v>
      </c>
    </row>
    <row r="55" customFormat="false" ht="15" hidden="false" customHeight="false" outlineLevel="0" collapsed="false">
      <c r="B55" s="4" t="s">
        <v>99</v>
      </c>
      <c r="C55" s="29" t="n">
        <v>8</v>
      </c>
    </row>
    <row r="56" customFormat="false" ht="15" hidden="false" customHeight="false" outlineLevel="0" collapsed="false">
      <c r="B56" s="4" t="s">
        <v>100</v>
      </c>
      <c r="C56" s="28" t="n">
        <v>46022</v>
      </c>
    </row>
    <row r="57" customFormat="false" ht="15" hidden="false" customHeight="false" outlineLevel="0" collapsed="false">
      <c r="B57" s="4" t="s">
        <v>13</v>
      </c>
      <c r="C57" s="30" t="n">
        <v>12</v>
      </c>
    </row>
    <row r="59" customFormat="false" ht="15" hidden="false" customHeight="false" outlineLevel="0" collapsed="false">
      <c r="B59" s="2" t="s">
        <v>101</v>
      </c>
    </row>
    <row r="60" customFormat="false" ht="15" hidden="false" customHeight="false" outlineLevel="0" collapsed="false">
      <c r="B60" s="2" t="s">
        <v>102</v>
      </c>
    </row>
  </sheetData>
  <dataValidations count="4">
    <dataValidation allowBlank="false" error="Pick a value from the list" errorStyle="stop" errorTitle="Invalid selection" operator="between" showDropDown="false" showErrorMessage="false" showInputMessage="false" sqref="C6" type="list">
      <formula1>"Downside,Base,Upside"</formula1>
      <formula2>0</formula2>
    </dataValidation>
    <dataValidation allowBlank="false" error="Pick a value from the list" errorStyle="stop" errorTitle="Invalid selection" operator="between" showDropDown="false" showErrorMessage="false" showInputMessage="false" sqref="C7" type="list">
      <formula1>"Low,Base,High"</formula1>
      <formula2>0</formula2>
    </dataValidation>
    <dataValidation allowBlank="false" error="Pick a value from the list" errorStyle="stop" errorTitle="Invalid selection" operator="between" showDropDown="false" showErrorMessage="false" showInputMessage="false" sqref="C8" type="list">
      <formula1>"Perpetuity Growth,Exit Multiple"</formula1>
      <formula2>0</formula2>
    </dataValidation>
    <dataValidation allowBlank="false" error="Pick a value from the list" errorStyle="stop" errorTitle="Invalid selection" operator="between" showDropDown="false" showErrorMessage="false" showInputMessage="false" sqref="C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1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7" topLeftCell="C18" activePane="bottomRight" state="frozen"/>
      <selection pane="topLeft" activeCell="A1" activeCellId="0" sqref="A1"/>
      <selection pane="topRight" activeCell="C1" activeCellId="0" sqref="C1"/>
      <selection pane="bottomLeft" activeCell="A18" activeCellId="0" sqref="A1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7"/>
    <col collapsed="false" customWidth="true" hidden="false" outlineLevel="0" max="8" min="6" style="0" width="13"/>
    <col collapsed="false" customWidth="true" hidden="false" outlineLevel="0" max="9" min="9" style="0" width="15"/>
  </cols>
  <sheetData>
    <row r="2" customFormat="false" ht="19.7" hidden="false" customHeight="false" outlineLevel="0" collapsed="false">
      <c r="B2" s="1" t="s">
        <v>103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104</v>
      </c>
    </row>
    <row r="6" customFormat="false" ht="15" hidden="false" customHeight="false" outlineLevel="0" collapsed="false">
      <c r="B6" s="4" t="s">
        <v>105</v>
      </c>
      <c r="C6" s="7" t="n">
        <f aca="false">Assumptions!C48</f>
        <v>150</v>
      </c>
    </row>
    <row r="7" customFormat="false" ht="15" hidden="false" customHeight="false" outlineLevel="0" collapsed="false">
      <c r="B7" s="4" t="s">
        <v>106</v>
      </c>
      <c r="C7" s="6" t="n">
        <f aca="false">Assumptions!C49</f>
        <v>0.07</v>
      </c>
    </row>
    <row r="8" customFormat="false" ht="15" hidden="false" customHeight="false" outlineLevel="0" collapsed="false">
      <c r="B8" s="4" t="s">
        <v>107</v>
      </c>
      <c r="C8" s="31" t="n">
        <f aca="false">Assumptions!C50</f>
        <v>7</v>
      </c>
    </row>
    <row r="9" customFormat="false" ht="15" hidden="false" customHeight="false" outlineLevel="0" collapsed="false">
      <c r="B9" s="4" t="s">
        <v>95</v>
      </c>
      <c r="C9" s="31" t="n">
        <f aca="false">Assumptions!C51</f>
        <v>12</v>
      </c>
    </row>
    <row r="10" customFormat="false" ht="15" hidden="false" customHeight="false" outlineLevel="0" collapsed="false">
      <c r="B10" s="4" t="s">
        <v>108</v>
      </c>
      <c r="C10" s="18" t="n">
        <f aca="false">C8*C9</f>
        <v>84</v>
      </c>
    </row>
    <row r="11" customFormat="false" ht="15" hidden="false" customHeight="false" outlineLevel="0" collapsed="false">
      <c r="B11" s="4" t="s">
        <v>109</v>
      </c>
      <c r="C11" s="32" t="n">
        <f aca="false">C7/C9</f>
        <v>0.00583333333333333</v>
      </c>
    </row>
    <row r="12" customFormat="false" ht="15" hidden="false" customHeight="false" outlineLevel="0" collapsed="false">
      <c r="B12" s="4" t="s">
        <v>110</v>
      </c>
      <c r="C12" s="33" t="n">
        <f aca="false">PMT(C11,C10,-C6)</f>
        <v>2.26390199732841</v>
      </c>
    </row>
    <row r="13" customFormat="false" ht="15" hidden="false" customHeight="false" outlineLevel="0" collapsed="false">
      <c r="B13" s="4" t="s">
        <v>96</v>
      </c>
      <c r="C13" s="34" t="n">
        <f aca="false">Assumptions!C52</f>
        <v>46053</v>
      </c>
    </row>
    <row r="14" customFormat="false" ht="15" hidden="false" customHeight="false" outlineLevel="0" collapsed="false">
      <c r="B14" s="4" t="s">
        <v>111</v>
      </c>
      <c r="C14" s="15" t="n">
        <f aca="false">C12*C9</f>
        <v>27.1668239679409</v>
      </c>
    </row>
    <row r="16" customFormat="false" ht="15" hidden="false" customHeight="false" outlineLevel="0" collapsed="false">
      <c r="B16" s="3" t="s">
        <v>112</v>
      </c>
    </row>
    <row r="17" customFormat="false" ht="15" hidden="false" customHeight="false" outlineLevel="0" collapsed="false">
      <c r="B17" s="12" t="s">
        <v>18</v>
      </c>
      <c r="C17" s="13" t="s">
        <v>19</v>
      </c>
      <c r="D17" s="13" t="s">
        <v>20</v>
      </c>
      <c r="E17" s="13" t="s">
        <v>21</v>
      </c>
      <c r="F17" s="13" t="s">
        <v>22</v>
      </c>
      <c r="G17" s="13" t="s">
        <v>23</v>
      </c>
      <c r="H17" s="13" t="s">
        <v>24</v>
      </c>
    </row>
    <row r="18" customFormat="false" ht="15" hidden="false" customHeight="false" outlineLevel="0" collapsed="false">
      <c r="B18" s="4" t="s">
        <v>113</v>
      </c>
      <c r="C18" s="18" t="n">
        <f aca="false">YEAR(Assumptions!C56)</f>
        <v>2025</v>
      </c>
      <c r="D18" s="18" t="n">
        <f aca="false">C18+1</f>
        <v>2026</v>
      </c>
      <c r="E18" s="18" t="n">
        <f aca="false">D18+1</f>
        <v>2027</v>
      </c>
      <c r="F18" s="18" t="n">
        <f aca="false">E18+1</f>
        <v>2028</v>
      </c>
      <c r="G18" s="18" t="n">
        <f aca="false">F18+1</f>
        <v>2029</v>
      </c>
      <c r="H18" s="18" t="n">
        <f aca="false">G18+1</f>
        <v>2030</v>
      </c>
    </row>
    <row r="19" customFormat="false" ht="15" hidden="false" customHeight="false" outlineLevel="0" collapsed="false">
      <c r="B19" s="4" t="s">
        <v>114</v>
      </c>
      <c r="D19" s="15" t="n">
        <f aca="false">C23</f>
        <v>150</v>
      </c>
      <c r="E19" s="15" t="n">
        <f aca="false">D23</f>
        <v>132.787913539156</v>
      </c>
      <c r="F19" s="15" t="n">
        <f aca="false">E23</f>
        <v>114.331563956353</v>
      </c>
      <c r="G19" s="15" t="n">
        <f aca="false">F23</f>
        <v>94.5410033698977</v>
      </c>
      <c r="H19" s="15" t="n">
        <f aca="false">G23</f>
        <v>73.3197815584577</v>
      </c>
    </row>
    <row r="20" customFormat="false" ht="15" hidden="false" customHeight="false" outlineLevel="0" collapsed="false">
      <c r="B20" s="4" t="s">
        <v>115</v>
      </c>
      <c r="D20" s="15" t="n">
        <f aca="false">SUMIFS($G$30:$G$149,$D$30:$D$149,D18)</f>
        <v>9.9547375070967</v>
      </c>
      <c r="E20" s="15" t="n">
        <f aca="false">SUMIFS($G$30:$G$149,$D$30:$D$149,E18)</f>
        <v>8.71047438513775</v>
      </c>
      <c r="F20" s="15" t="n">
        <f aca="false">SUMIFS($G$30:$G$149,$D$30:$D$149,F18)</f>
        <v>7.37626338148596</v>
      </c>
      <c r="G20" s="15" t="n">
        <f aca="false">SUMIFS($G$30:$G$149,$D$30:$D$149,G18)</f>
        <v>5.9456021565009</v>
      </c>
      <c r="H20" s="15" t="n">
        <f aca="false">SUMIFS($G$30:$G$149,$D$30:$D$149,H18)</f>
        <v>4.41151831588379</v>
      </c>
    </row>
    <row r="21" customFormat="false" ht="15" hidden="false" customHeight="false" outlineLevel="0" collapsed="false">
      <c r="B21" s="4" t="s">
        <v>116</v>
      </c>
      <c r="D21" s="15" t="n">
        <f aca="false">SUMIFS($H$30:$H$149,$D$30:$D$149,D18)</f>
        <v>17.2120864608442</v>
      </c>
      <c r="E21" s="15" t="n">
        <f aca="false">SUMIFS($H$30:$H$149,$D$30:$D$149,E18)</f>
        <v>18.4563495828032</v>
      </c>
      <c r="F21" s="15" t="n">
        <f aca="false">SUMIFS($H$30:$H$149,$D$30:$D$149,F18)</f>
        <v>19.7905605864549</v>
      </c>
      <c r="G21" s="15" t="n">
        <f aca="false">SUMIFS($H$30:$H$149,$D$30:$D$149,G18)</f>
        <v>21.22122181144</v>
      </c>
      <c r="H21" s="15" t="n">
        <f aca="false">SUMIFS($H$30:$H$149,$D$30:$D$149,H18)</f>
        <v>22.7553056520571</v>
      </c>
    </row>
    <row r="22" customFormat="false" ht="15" hidden="false" customHeight="false" outlineLevel="0" collapsed="false">
      <c r="B22" s="4" t="s">
        <v>117</v>
      </c>
      <c r="D22" s="35" t="n">
        <f aca="false">D20+D21</f>
        <v>27.1668239679409</v>
      </c>
      <c r="E22" s="35" t="n">
        <f aca="false">E20+E21</f>
        <v>27.1668239679409</v>
      </c>
      <c r="F22" s="35" t="n">
        <f aca="false">F20+F21</f>
        <v>27.1668239679409</v>
      </c>
      <c r="G22" s="35" t="n">
        <f aca="false">G20+G21</f>
        <v>27.1668239679409</v>
      </c>
      <c r="H22" s="35" t="n">
        <f aca="false">H20+H21</f>
        <v>27.1668239679409</v>
      </c>
    </row>
    <row r="23" customFormat="false" ht="15" hidden="false" customHeight="false" outlineLevel="0" collapsed="false">
      <c r="B23" s="8" t="s">
        <v>118</v>
      </c>
      <c r="C23" s="36" t="n">
        <f aca="false">C6</f>
        <v>150</v>
      </c>
      <c r="D23" s="36" t="n">
        <f aca="false">D19-D21</f>
        <v>132.787913539156</v>
      </c>
      <c r="E23" s="36" t="n">
        <f aca="false">E19-E21</f>
        <v>114.331563956353</v>
      </c>
      <c r="F23" s="36" t="n">
        <f aca="false">F19-F21</f>
        <v>94.5410033698977</v>
      </c>
      <c r="G23" s="36" t="n">
        <f aca="false">G19-G21</f>
        <v>73.3197815584577</v>
      </c>
      <c r="H23" s="36" t="n">
        <f aca="false">H19-H21</f>
        <v>50.5644759064006</v>
      </c>
    </row>
    <row r="24" customFormat="false" ht="15" hidden="false" customHeight="false" outlineLevel="0" collapsed="false">
      <c r="B24" s="4" t="s">
        <v>119</v>
      </c>
      <c r="C24" s="15" t="n">
        <f aca="false">SUMIFS($H$30:$H$149,$D$30:$D$149,C18+1)</f>
        <v>17.2120864608442</v>
      </c>
      <c r="D24" s="15" t="n">
        <f aca="false">SUMIFS($H$30:$H$149,$D$30:$D$149,D18+1)</f>
        <v>18.4563495828032</v>
      </c>
      <c r="E24" s="15" t="n">
        <f aca="false">SUMIFS($H$30:$H$149,$D$30:$D$149,E18+1)</f>
        <v>19.7905605864549</v>
      </c>
      <c r="F24" s="15" t="n">
        <f aca="false">SUMIFS($H$30:$H$149,$D$30:$D$149,F18+1)</f>
        <v>21.22122181144</v>
      </c>
      <c r="G24" s="15" t="n">
        <f aca="false">SUMIFS($H$30:$H$149,$D$30:$D$149,G18+1)</f>
        <v>22.7553056520571</v>
      </c>
      <c r="H24" s="15" t="n">
        <f aca="false">SUMIFS($H$30:$H$149,$D$30:$D$149,H18+1)</f>
        <v>24.4002885375527</v>
      </c>
    </row>
    <row r="25" customFormat="false" ht="15" hidden="false" customHeight="false" outlineLevel="0" collapsed="false">
      <c r="B25" s="4" t="s">
        <v>120</v>
      </c>
      <c r="C25" s="15" t="n">
        <f aca="false">C23-C24</f>
        <v>132.787913539156</v>
      </c>
      <c r="D25" s="15" t="n">
        <f aca="false">D23-D24</f>
        <v>114.331563956353</v>
      </c>
      <c r="E25" s="15" t="n">
        <f aca="false">E23-E24</f>
        <v>94.5410033698977</v>
      </c>
      <c r="F25" s="15" t="n">
        <f aca="false">F23-F24</f>
        <v>73.3197815584577</v>
      </c>
      <c r="G25" s="15" t="n">
        <f aca="false">G23-G24</f>
        <v>50.5644759064006</v>
      </c>
      <c r="H25" s="15" t="n">
        <f aca="false">H23-H24</f>
        <v>26.1641873688479</v>
      </c>
    </row>
    <row r="27" customFormat="false" ht="15" hidden="false" customHeight="false" outlineLevel="0" collapsed="false">
      <c r="B27" s="3" t="s">
        <v>121</v>
      </c>
    </row>
    <row r="29" customFormat="false" ht="15" hidden="false" customHeight="false" outlineLevel="0" collapsed="false">
      <c r="B29" s="13" t="s">
        <v>122</v>
      </c>
      <c r="C29" s="13" t="s">
        <v>123</v>
      </c>
      <c r="D29" s="13" t="s">
        <v>124</v>
      </c>
      <c r="E29" s="13" t="s">
        <v>125</v>
      </c>
      <c r="F29" s="13" t="s">
        <v>126</v>
      </c>
      <c r="G29" s="13" t="s">
        <v>127</v>
      </c>
      <c r="H29" s="13" t="s">
        <v>128</v>
      </c>
      <c r="I29" s="13" t="s">
        <v>129</v>
      </c>
    </row>
    <row r="30" customFormat="false" ht="15" hidden="false" customHeight="false" outlineLevel="0" collapsed="false">
      <c r="B30" s="37" t="n">
        <v>1</v>
      </c>
      <c r="C30" s="38" t="n">
        <f aca="false">IF(B30&gt;$C$10,"",EDATE($C$13,(B30-1)*12/$C$9))</f>
        <v>46053</v>
      </c>
      <c r="D30" s="39" t="n">
        <f aca="false">IF(B30&gt;$C$10,"",YEAR(C30))</f>
        <v>2026</v>
      </c>
      <c r="E30" s="40" t="n">
        <f aca="false">IF(B30&gt;$C$10,0,$C$6)</f>
        <v>150</v>
      </c>
      <c r="F30" s="40" t="n">
        <f aca="false">IF(B30&gt;$C$10,0,$C$12)</f>
        <v>2.26390199732841</v>
      </c>
      <c r="G30" s="40" t="n">
        <f aca="false">E30*$C$11</f>
        <v>0.875</v>
      </c>
      <c r="H30" s="40" t="n">
        <f aca="false">F30-G30</f>
        <v>1.38890199732841</v>
      </c>
      <c r="I30" s="40" t="n">
        <f aca="false">E30-H30</f>
        <v>148.611098002672</v>
      </c>
    </row>
    <row r="31" customFormat="false" ht="15" hidden="false" customHeight="false" outlineLevel="0" collapsed="false">
      <c r="B31" s="39" t="n">
        <f aca="false">B30+1</f>
        <v>2</v>
      </c>
      <c r="C31" s="38" t="n">
        <f aca="false">IF(B31&gt;$C$10,"",EDATE($C$13,(B31-1)*12/$C$9))</f>
        <v>46081</v>
      </c>
      <c r="D31" s="39" t="n">
        <f aca="false">IF(B31&gt;$C$10,"",YEAR(C31))</f>
        <v>2026</v>
      </c>
      <c r="E31" s="40" t="n">
        <f aca="false">IF(B31&gt;$C$10,0,I30)</f>
        <v>148.611098002672</v>
      </c>
      <c r="F31" s="40" t="n">
        <f aca="false">IF(B31&gt;$C$10,0,$C$12)</f>
        <v>2.26390199732841</v>
      </c>
      <c r="G31" s="40" t="n">
        <f aca="false">E31*$C$11</f>
        <v>0.866898071682251</v>
      </c>
      <c r="H31" s="40" t="n">
        <f aca="false">F31-G31</f>
        <v>1.39700392564616</v>
      </c>
      <c r="I31" s="40" t="n">
        <f aca="false">E31-H31</f>
        <v>147.214094077025</v>
      </c>
    </row>
    <row r="32" customFormat="false" ht="15" hidden="false" customHeight="false" outlineLevel="0" collapsed="false">
      <c r="B32" s="39" t="n">
        <f aca="false">B31+1</f>
        <v>3</v>
      </c>
      <c r="C32" s="38" t="n">
        <f aca="false">IF(B32&gt;$C$10,"",EDATE($C$13,(B32-1)*12/$C$9))</f>
        <v>46112</v>
      </c>
      <c r="D32" s="39" t="n">
        <f aca="false">IF(B32&gt;$C$10,"",YEAR(C32))</f>
        <v>2026</v>
      </c>
      <c r="E32" s="40" t="n">
        <f aca="false">IF(B32&gt;$C$10,0,I31)</f>
        <v>147.214094077025</v>
      </c>
      <c r="F32" s="40" t="n">
        <f aca="false">IF(B32&gt;$C$10,0,$C$12)</f>
        <v>2.26390199732841</v>
      </c>
      <c r="G32" s="40" t="n">
        <f aca="false">E32*$C$11</f>
        <v>0.858748882115982</v>
      </c>
      <c r="H32" s="40" t="n">
        <f aca="false">F32-G32</f>
        <v>1.40515311521243</v>
      </c>
      <c r="I32" s="40" t="n">
        <f aca="false">E32-H32</f>
        <v>145.808940961813</v>
      </c>
    </row>
    <row r="33" customFormat="false" ht="15" hidden="false" customHeight="false" outlineLevel="0" collapsed="false">
      <c r="B33" s="39" t="n">
        <f aca="false">B32+1</f>
        <v>4</v>
      </c>
      <c r="C33" s="38" t="n">
        <f aca="false">IF(B33&gt;$C$10,"",EDATE($C$13,(B33-1)*12/$C$9))</f>
        <v>46142</v>
      </c>
      <c r="D33" s="39" t="n">
        <f aca="false">IF(B33&gt;$C$10,"",YEAR(C33))</f>
        <v>2026</v>
      </c>
      <c r="E33" s="40" t="n">
        <f aca="false">IF(B33&gt;$C$10,0,I32)</f>
        <v>145.808940961813</v>
      </c>
      <c r="F33" s="40" t="n">
        <f aca="false">IF(B33&gt;$C$10,0,$C$12)</f>
        <v>2.26390199732841</v>
      </c>
      <c r="G33" s="40" t="n">
        <f aca="false">E33*$C$11</f>
        <v>0.850552155610576</v>
      </c>
      <c r="H33" s="40" t="n">
        <f aca="false">F33-G33</f>
        <v>1.41334984171783</v>
      </c>
      <c r="I33" s="40" t="n">
        <f aca="false">E33-H33</f>
        <v>144.395591120095</v>
      </c>
    </row>
    <row r="34" customFormat="false" ht="15" hidden="false" customHeight="false" outlineLevel="0" collapsed="false">
      <c r="B34" s="39" t="n">
        <f aca="false">B33+1</f>
        <v>5</v>
      </c>
      <c r="C34" s="38" t="n">
        <f aca="false">IF(B34&gt;$C$10,"",EDATE($C$13,(B34-1)*12/$C$9))</f>
        <v>46173</v>
      </c>
      <c r="D34" s="39" t="n">
        <f aca="false">IF(B34&gt;$C$10,"",YEAR(C34))</f>
        <v>2026</v>
      </c>
      <c r="E34" s="40" t="n">
        <f aca="false">IF(B34&gt;$C$10,0,I33)</f>
        <v>144.395591120095</v>
      </c>
      <c r="F34" s="40" t="n">
        <f aca="false">IF(B34&gt;$C$10,0,$C$12)</f>
        <v>2.26390199732841</v>
      </c>
      <c r="G34" s="40" t="n">
        <f aca="false">E34*$C$11</f>
        <v>0.842307614867222</v>
      </c>
      <c r="H34" s="40" t="n">
        <f aca="false">F34-G34</f>
        <v>1.42159438246119</v>
      </c>
      <c r="I34" s="40" t="n">
        <f aca="false">E34-H34</f>
        <v>142.973996737634</v>
      </c>
    </row>
    <row r="35" customFormat="false" ht="15" hidden="false" customHeight="false" outlineLevel="0" collapsed="false">
      <c r="B35" s="39" t="n">
        <f aca="false">B34+1</f>
        <v>6</v>
      </c>
      <c r="C35" s="38" t="n">
        <f aca="false">IF(B35&gt;$C$10,"",EDATE($C$13,(B35-1)*12/$C$9))</f>
        <v>46203</v>
      </c>
      <c r="D35" s="39" t="n">
        <f aca="false">IF(B35&gt;$C$10,"",YEAR(C35))</f>
        <v>2026</v>
      </c>
      <c r="E35" s="40" t="n">
        <f aca="false">IF(B35&gt;$C$10,0,I34)</f>
        <v>142.973996737634</v>
      </c>
      <c r="F35" s="40" t="n">
        <f aca="false">IF(B35&gt;$C$10,0,$C$12)</f>
        <v>2.26390199732841</v>
      </c>
      <c r="G35" s="40" t="n">
        <f aca="false">E35*$C$11</f>
        <v>0.834014980969532</v>
      </c>
      <c r="H35" s="40" t="n">
        <f aca="false">F35-G35</f>
        <v>1.42988701635888</v>
      </c>
      <c r="I35" s="40" t="n">
        <f aca="false">E35-H35</f>
        <v>141.544109721275</v>
      </c>
    </row>
    <row r="36" customFormat="false" ht="15" hidden="false" customHeight="false" outlineLevel="0" collapsed="false">
      <c r="B36" s="39" t="n">
        <f aca="false">B35+1</f>
        <v>7</v>
      </c>
      <c r="C36" s="38" t="n">
        <f aca="false">IF(B36&gt;$C$10,"",EDATE($C$13,(B36-1)*12/$C$9))</f>
        <v>46234</v>
      </c>
      <c r="D36" s="39" t="n">
        <f aca="false">IF(B36&gt;$C$10,"",YEAR(C36))</f>
        <v>2026</v>
      </c>
      <c r="E36" s="40" t="n">
        <f aca="false">IF(B36&gt;$C$10,0,I35)</f>
        <v>141.544109721275</v>
      </c>
      <c r="F36" s="40" t="n">
        <f aca="false">IF(B36&gt;$C$10,0,$C$12)</f>
        <v>2.26390199732841</v>
      </c>
      <c r="G36" s="40" t="n">
        <f aca="false">E36*$C$11</f>
        <v>0.825673973374105</v>
      </c>
      <c r="H36" s="40" t="n">
        <f aca="false">F36-G36</f>
        <v>1.4382280239543</v>
      </c>
      <c r="I36" s="40" t="n">
        <f aca="false">E36-H36</f>
        <v>140.105881697321</v>
      </c>
    </row>
    <row r="37" customFormat="false" ht="15" hidden="false" customHeight="false" outlineLevel="0" collapsed="false">
      <c r="B37" s="39" t="n">
        <f aca="false">B36+1</f>
        <v>8</v>
      </c>
      <c r="C37" s="38" t="n">
        <f aca="false">IF(B37&gt;$C$10,"",EDATE($C$13,(B37-1)*12/$C$9))</f>
        <v>46265</v>
      </c>
      <c r="D37" s="39" t="n">
        <f aca="false">IF(B37&gt;$C$10,"",YEAR(C37))</f>
        <v>2026</v>
      </c>
      <c r="E37" s="40" t="n">
        <f aca="false">IF(B37&gt;$C$10,0,I36)</f>
        <v>140.105881697321</v>
      </c>
      <c r="F37" s="40" t="n">
        <f aca="false">IF(B37&gt;$C$10,0,$C$12)</f>
        <v>2.26390199732841</v>
      </c>
      <c r="G37" s="40" t="n">
        <f aca="false">E37*$C$11</f>
        <v>0.817284309901038</v>
      </c>
      <c r="H37" s="40" t="n">
        <f aca="false">F37-G37</f>
        <v>1.44661768742737</v>
      </c>
      <c r="I37" s="40" t="n">
        <f aca="false">E37-H37</f>
        <v>138.659264009893</v>
      </c>
    </row>
    <row r="38" customFormat="false" ht="15" hidden="false" customHeight="false" outlineLevel="0" collapsed="false">
      <c r="B38" s="39" t="n">
        <f aca="false">B37+1</f>
        <v>9</v>
      </c>
      <c r="C38" s="38" t="n">
        <f aca="false">IF(B38&gt;$C$10,"",EDATE($C$13,(B38-1)*12/$C$9))</f>
        <v>46295</v>
      </c>
      <c r="D38" s="39" t="n">
        <f aca="false">IF(B38&gt;$C$10,"",YEAR(C38))</f>
        <v>2026</v>
      </c>
      <c r="E38" s="40" t="n">
        <f aca="false">IF(B38&gt;$C$10,0,I37)</f>
        <v>138.659264009893</v>
      </c>
      <c r="F38" s="40" t="n">
        <f aca="false">IF(B38&gt;$C$10,0,$C$12)</f>
        <v>2.26390199732841</v>
      </c>
      <c r="G38" s="40" t="n">
        <f aca="false">E38*$C$11</f>
        <v>0.808845706724378</v>
      </c>
      <c r="H38" s="40" t="n">
        <f aca="false">F38-G38</f>
        <v>1.45505629060403</v>
      </c>
      <c r="I38" s="40" t="n">
        <f aca="false">E38-H38</f>
        <v>137.204207719289</v>
      </c>
    </row>
    <row r="39" customFormat="false" ht="15" hidden="false" customHeight="false" outlineLevel="0" collapsed="false">
      <c r="B39" s="39" t="n">
        <f aca="false">B38+1</f>
        <v>10</v>
      </c>
      <c r="C39" s="38" t="n">
        <f aca="false">IF(B39&gt;$C$10,"",EDATE($C$13,(B39-1)*12/$C$9))</f>
        <v>46326</v>
      </c>
      <c r="D39" s="39" t="n">
        <f aca="false">IF(B39&gt;$C$10,"",YEAR(C39))</f>
        <v>2026</v>
      </c>
      <c r="E39" s="40" t="n">
        <f aca="false">IF(B39&gt;$C$10,0,I38)</f>
        <v>137.204207719289</v>
      </c>
      <c r="F39" s="40" t="n">
        <f aca="false">IF(B39&gt;$C$10,0,$C$12)</f>
        <v>2.26390199732841</v>
      </c>
      <c r="G39" s="40" t="n">
        <f aca="false">E39*$C$11</f>
        <v>0.800357878362522</v>
      </c>
      <c r="H39" s="40" t="n">
        <f aca="false">F39-G39</f>
        <v>1.46354411896589</v>
      </c>
      <c r="I39" s="40" t="n">
        <f aca="false">E39-H39</f>
        <v>135.740663600324</v>
      </c>
    </row>
    <row r="40" customFormat="false" ht="15" hidden="false" customHeight="false" outlineLevel="0" collapsed="false">
      <c r="B40" s="39" t="n">
        <f aca="false">B39+1</f>
        <v>11</v>
      </c>
      <c r="C40" s="38" t="n">
        <f aca="false">IF(B40&gt;$C$10,"",EDATE($C$13,(B40-1)*12/$C$9))</f>
        <v>46356</v>
      </c>
      <c r="D40" s="39" t="n">
        <f aca="false">IF(B40&gt;$C$10,"",YEAR(C40))</f>
        <v>2026</v>
      </c>
      <c r="E40" s="40" t="n">
        <f aca="false">IF(B40&gt;$C$10,0,I39)</f>
        <v>135.740663600324</v>
      </c>
      <c r="F40" s="40" t="n">
        <f aca="false">IF(B40&gt;$C$10,0,$C$12)</f>
        <v>2.26390199732841</v>
      </c>
      <c r="G40" s="40" t="n">
        <f aca="false">E40*$C$11</f>
        <v>0.791820537668554</v>
      </c>
      <c r="H40" s="40" t="n">
        <f aca="false">F40-G40</f>
        <v>1.47208145965986</v>
      </c>
      <c r="I40" s="40" t="n">
        <f aca="false">E40-H40</f>
        <v>134.268582140664</v>
      </c>
    </row>
    <row r="41" customFormat="false" ht="15" hidden="false" customHeight="false" outlineLevel="0" collapsed="false">
      <c r="B41" s="39" t="n">
        <f aca="false">B40+1</f>
        <v>12</v>
      </c>
      <c r="C41" s="38" t="n">
        <f aca="false">IF(B41&gt;$C$10,"",EDATE($C$13,(B41-1)*12/$C$9))</f>
        <v>46387</v>
      </c>
      <c r="D41" s="39" t="n">
        <f aca="false">IF(B41&gt;$C$10,"",YEAR(C41))</f>
        <v>2026</v>
      </c>
      <c r="E41" s="40" t="n">
        <f aca="false">IF(B41&gt;$C$10,0,I40)</f>
        <v>134.268582140664</v>
      </c>
      <c r="F41" s="40" t="n">
        <f aca="false">IF(B41&gt;$C$10,0,$C$12)</f>
        <v>2.26390199732841</v>
      </c>
      <c r="G41" s="40" t="n">
        <f aca="false">E41*$C$11</f>
        <v>0.783233395820538</v>
      </c>
      <c r="H41" s="40" t="n">
        <f aca="false">F41-G41</f>
        <v>1.48066860150787</v>
      </c>
      <c r="I41" s="40" t="n">
        <f aca="false">E41-H41</f>
        <v>132.787913539156</v>
      </c>
    </row>
    <row r="42" customFormat="false" ht="15" hidden="false" customHeight="false" outlineLevel="0" collapsed="false">
      <c r="B42" s="39" t="n">
        <f aca="false">B41+1</f>
        <v>13</v>
      </c>
      <c r="C42" s="38" t="n">
        <f aca="false">IF(B42&gt;$C$10,"",EDATE($C$13,(B42-1)*12/$C$9))</f>
        <v>46418</v>
      </c>
      <c r="D42" s="39" t="n">
        <f aca="false">IF(B42&gt;$C$10,"",YEAR(C42))</f>
        <v>2027</v>
      </c>
      <c r="E42" s="40" t="n">
        <f aca="false">IF(B42&gt;$C$10,0,I41)</f>
        <v>132.787913539156</v>
      </c>
      <c r="F42" s="40" t="n">
        <f aca="false">IF(B42&gt;$C$10,0,$C$12)</f>
        <v>2.26390199732841</v>
      </c>
      <c r="G42" s="40" t="n">
        <f aca="false">E42*$C$11</f>
        <v>0.774596162311742</v>
      </c>
      <c r="H42" s="40" t="n">
        <f aca="false">F42-G42</f>
        <v>1.48930583501667</v>
      </c>
      <c r="I42" s="40" t="n">
        <f aca="false">E42-H42</f>
        <v>131.298607704139</v>
      </c>
    </row>
    <row r="43" customFormat="false" ht="15" hidden="false" customHeight="false" outlineLevel="0" collapsed="false">
      <c r="B43" s="39" t="n">
        <f aca="false">B42+1</f>
        <v>14</v>
      </c>
      <c r="C43" s="38" t="n">
        <f aca="false">IF(B43&gt;$C$10,"",EDATE($C$13,(B43-1)*12/$C$9))</f>
        <v>46446</v>
      </c>
      <c r="D43" s="39" t="n">
        <f aca="false">IF(B43&gt;$C$10,"",YEAR(C43))</f>
        <v>2027</v>
      </c>
      <c r="E43" s="40" t="n">
        <f aca="false">IF(B43&gt;$C$10,0,I42)</f>
        <v>131.298607704139</v>
      </c>
      <c r="F43" s="40" t="n">
        <f aca="false">IF(B43&gt;$C$10,0,$C$12)</f>
        <v>2.26390199732841</v>
      </c>
      <c r="G43" s="40" t="n">
        <f aca="false">E43*$C$11</f>
        <v>0.765908544940812</v>
      </c>
      <c r="H43" s="40" t="n">
        <f aca="false">F43-G43</f>
        <v>1.4979934523876</v>
      </c>
      <c r="I43" s="40" t="n">
        <f aca="false">E43-H43</f>
        <v>129.800614251752</v>
      </c>
    </row>
    <row r="44" customFormat="false" ht="15" hidden="false" customHeight="false" outlineLevel="0" collapsed="false">
      <c r="B44" s="39" t="n">
        <f aca="false">B43+1</f>
        <v>15</v>
      </c>
      <c r="C44" s="38" t="n">
        <f aca="false">IF(B44&gt;$C$10,"",EDATE($C$13,(B44-1)*12/$C$9))</f>
        <v>46477</v>
      </c>
      <c r="D44" s="39" t="n">
        <f aca="false">IF(B44&gt;$C$10,"",YEAR(C44))</f>
        <v>2027</v>
      </c>
      <c r="E44" s="40" t="n">
        <f aca="false">IF(B44&gt;$C$10,0,I43)</f>
        <v>129.800614251752</v>
      </c>
      <c r="F44" s="40" t="n">
        <f aca="false">IF(B44&gt;$C$10,0,$C$12)</f>
        <v>2.26390199732841</v>
      </c>
      <c r="G44" s="40" t="n">
        <f aca="false">E44*$C$11</f>
        <v>0.757170249801884</v>
      </c>
      <c r="H44" s="40" t="n">
        <f aca="false">F44-G44</f>
        <v>1.50673174752653</v>
      </c>
      <c r="I44" s="40" t="n">
        <f aca="false">E44-H44</f>
        <v>128.293882504225</v>
      </c>
    </row>
    <row r="45" customFormat="false" ht="15" hidden="false" customHeight="false" outlineLevel="0" collapsed="false">
      <c r="B45" s="39" t="n">
        <f aca="false">B44+1</f>
        <v>16</v>
      </c>
      <c r="C45" s="38" t="n">
        <f aca="false">IF(B45&gt;$C$10,"",EDATE($C$13,(B45-1)*12/$C$9))</f>
        <v>46507</v>
      </c>
      <c r="D45" s="39" t="n">
        <f aca="false">IF(B45&gt;$C$10,"",YEAR(C45))</f>
        <v>2027</v>
      </c>
      <c r="E45" s="40" t="n">
        <f aca="false">IF(B45&gt;$C$10,0,I44)</f>
        <v>128.293882504225</v>
      </c>
      <c r="F45" s="40" t="n">
        <f aca="false">IF(B45&gt;$C$10,0,$C$12)</f>
        <v>2.26390199732841</v>
      </c>
      <c r="G45" s="40" t="n">
        <f aca="false">E45*$C$11</f>
        <v>0.748380981274646</v>
      </c>
      <c r="H45" s="40" t="n">
        <f aca="false">F45-G45</f>
        <v>1.51552101605376</v>
      </c>
      <c r="I45" s="40" t="n">
        <f aca="false">E45-H45</f>
        <v>126.778361488171</v>
      </c>
    </row>
    <row r="46" customFormat="false" ht="15" hidden="false" customHeight="false" outlineLevel="0" collapsed="false">
      <c r="B46" s="39" t="n">
        <f aca="false">B45+1</f>
        <v>17</v>
      </c>
      <c r="C46" s="38" t="n">
        <f aca="false">IF(B46&gt;$C$10,"",EDATE($C$13,(B46-1)*12/$C$9))</f>
        <v>46538</v>
      </c>
      <c r="D46" s="39" t="n">
        <f aca="false">IF(B46&gt;$C$10,"",YEAR(C46))</f>
        <v>2027</v>
      </c>
      <c r="E46" s="40" t="n">
        <f aca="false">IF(B46&gt;$C$10,0,I45)</f>
        <v>126.778361488171</v>
      </c>
      <c r="F46" s="40" t="n">
        <f aca="false">IF(B46&gt;$C$10,0,$C$12)</f>
        <v>2.26390199732841</v>
      </c>
      <c r="G46" s="40" t="n">
        <f aca="false">E46*$C$11</f>
        <v>0.739540442014332</v>
      </c>
      <c r="H46" s="40" t="n">
        <f aca="false">F46-G46</f>
        <v>1.52436155531408</v>
      </c>
      <c r="I46" s="40" t="n">
        <f aca="false">E46-H46</f>
        <v>125.253999932857</v>
      </c>
    </row>
    <row r="47" customFormat="false" ht="15" hidden="false" customHeight="false" outlineLevel="0" collapsed="false">
      <c r="B47" s="39" t="n">
        <f aca="false">B46+1</f>
        <v>18</v>
      </c>
      <c r="C47" s="38" t="n">
        <f aca="false">IF(B47&gt;$C$10,"",EDATE($C$13,(B47-1)*12/$C$9))</f>
        <v>46568</v>
      </c>
      <c r="D47" s="39" t="n">
        <f aca="false">IF(B47&gt;$C$10,"",YEAR(C47))</f>
        <v>2027</v>
      </c>
      <c r="E47" s="40" t="n">
        <f aca="false">IF(B47&gt;$C$10,0,I46)</f>
        <v>125.253999932857</v>
      </c>
      <c r="F47" s="40" t="n">
        <f aca="false">IF(B47&gt;$C$10,0,$C$12)</f>
        <v>2.26390199732841</v>
      </c>
      <c r="G47" s="40" t="n">
        <f aca="false">E47*$C$11</f>
        <v>0.730648332941667</v>
      </c>
      <c r="H47" s="40" t="n">
        <f aca="false">F47-G47</f>
        <v>1.53325366438674</v>
      </c>
      <c r="I47" s="40" t="n">
        <f aca="false">E47-H47</f>
        <v>123.72074626847</v>
      </c>
    </row>
    <row r="48" customFormat="false" ht="15" hidden="false" customHeight="false" outlineLevel="0" collapsed="false">
      <c r="B48" s="39" t="n">
        <f aca="false">B47+1</f>
        <v>19</v>
      </c>
      <c r="C48" s="38" t="n">
        <f aca="false">IF(B48&gt;$C$10,"",EDATE($C$13,(B48-1)*12/$C$9))</f>
        <v>46599</v>
      </c>
      <c r="D48" s="39" t="n">
        <f aca="false">IF(B48&gt;$C$10,"",YEAR(C48))</f>
        <v>2027</v>
      </c>
      <c r="E48" s="40" t="n">
        <f aca="false">IF(B48&gt;$C$10,0,I47)</f>
        <v>123.72074626847</v>
      </c>
      <c r="F48" s="40" t="n">
        <f aca="false">IF(B48&gt;$C$10,0,$C$12)</f>
        <v>2.26390199732841</v>
      </c>
      <c r="G48" s="40" t="n">
        <f aca="false">E48*$C$11</f>
        <v>0.721704353232744</v>
      </c>
      <c r="H48" s="40" t="n">
        <f aca="false">F48-G48</f>
        <v>1.54219764409566</v>
      </c>
      <c r="I48" s="40" t="n">
        <f aca="false">E48-H48</f>
        <v>122.178548624375</v>
      </c>
    </row>
    <row r="49" customFormat="false" ht="15" hidden="false" customHeight="false" outlineLevel="0" collapsed="false">
      <c r="B49" s="39" t="n">
        <f aca="false">B48+1</f>
        <v>20</v>
      </c>
      <c r="C49" s="38" t="n">
        <f aca="false">IF(B49&gt;$C$10,"",EDATE($C$13,(B49-1)*12/$C$9))</f>
        <v>46630</v>
      </c>
      <c r="D49" s="39" t="n">
        <f aca="false">IF(B49&gt;$C$10,"",YEAR(C49))</f>
        <v>2027</v>
      </c>
      <c r="E49" s="40" t="n">
        <f aca="false">IF(B49&gt;$C$10,0,I48)</f>
        <v>122.178548624375</v>
      </c>
      <c r="F49" s="40" t="n">
        <f aca="false">IF(B49&gt;$C$10,0,$C$12)</f>
        <v>2.26390199732841</v>
      </c>
      <c r="G49" s="40" t="n">
        <f aca="false">E49*$C$11</f>
        <v>0.712708200308853</v>
      </c>
      <c r="H49" s="40" t="n">
        <f aca="false">F49-G49</f>
        <v>1.55119379701956</v>
      </c>
      <c r="I49" s="40" t="n">
        <f aca="false">E49-H49</f>
        <v>120.627354827355</v>
      </c>
    </row>
    <row r="50" customFormat="false" ht="15" hidden="false" customHeight="false" outlineLevel="0" collapsed="false">
      <c r="B50" s="39" t="n">
        <f aca="false">B49+1</f>
        <v>21</v>
      </c>
      <c r="C50" s="38" t="n">
        <f aca="false">IF(B50&gt;$C$10,"",EDATE($C$13,(B50-1)*12/$C$9))</f>
        <v>46660</v>
      </c>
      <c r="D50" s="39" t="n">
        <f aca="false">IF(B50&gt;$C$10,"",YEAR(C50))</f>
        <v>2027</v>
      </c>
      <c r="E50" s="40" t="n">
        <f aca="false">IF(B50&gt;$C$10,0,I49)</f>
        <v>120.627354827355</v>
      </c>
      <c r="F50" s="40" t="n">
        <f aca="false">IF(B50&gt;$C$10,0,$C$12)</f>
        <v>2.26390199732841</v>
      </c>
      <c r="G50" s="40" t="n">
        <f aca="false">E50*$C$11</f>
        <v>0.703659569826239</v>
      </c>
      <c r="H50" s="40" t="n">
        <f aca="false">F50-G50</f>
        <v>1.56024242750217</v>
      </c>
      <c r="I50" s="40" t="n">
        <f aca="false">E50-H50</f>
        <v>119.067112399853</v>
      </c>
    </row>
    <row r="51" customFormat="false" ht="15" hidden="false" customHeight="false" outlineLevel="0" collapsed="false">
      <c r="B51" s="39" t="n">
        <f aca="false">B50+1</f>
        <v>22</v>
      </c>
      <c r="C51" s="38" t="n">
        <f aca="false">IF(B51&gt;$C$10,"",EDATE($C$13,(B51-1)*12/$C$9))</f>
        <v>46691</v>
      </c>
      <c r="D51" s="39" t="n">
        <f aca="false">IF(B51&gt;$C$10,"",YEAR(C51))</f>
        <v>2027</v>
      </c>
      <c r="E51" s="40" t="n">
        <f aca="false">IF(B51&gt;$C$10,0,I50)</f>
        <v>119.067112399853</v>
      </c>
      <c r="F51" s="40" t="n">
        <f aca="false">IF(B51&gt;$C$10,0,$C$12)</f>
        <v>2.26390199732841</v>
      </c>
      <c r="G51" s="40" t="n">
        <f aca="false">E51*$C$11</f>
        <v>0.69455815566581</v>
      </c>
      <c r="H51" s="40" t="n">
        <f aca="false">F51-G51</f>
        <v>1.5693438416626</v>
      </c>
      <c r="I51" s="40" t="n">
        <f aca="false">E51-H51</f>
        <v>117.49776855819</v>
      </c>
    </row>
    <row r="52" customFormat="false" ht="15" hidden="false" customHeight="false" outlineLevel="0" collapsed="false">
      <c r="B52" s="39" t="n">
        <f aca="false">B51+1</f>
        <v>23</v>
      </c>
      <c r="C52" s="38" t="n">
        <f aca="false">IF(B52&gt;$C$10,"",EDATE($C$13,(B52-1)*12/$C$9))</f>
        <v>46721</v>
      </c>
      <c r="D52" s="39" t="n">
        <f aca="false">IF(B52&gt;$C$10,"",YEAR(C52))</f>
        <v>2027</v>
      </c>
      <c r="E52" s="40" t="n">
        <f aca="false">IF(B52&gt;$C$10,0,I51)</f>
        <v>117.49776855819</v>
      </c>
      <c r="F52" s="40" t="n">
        <f aca="false">IF(B52&gt;$C$10,0,$C$12)</f>
        <v>2.26390199732841</v>
      </c>
      <c r="G52" s="40" t="n">
        <f aca="false">E52*$C$11</f>
        <v>0.685403649922778</v>
      </c>
      <c r="H52" s="40" t="n">
        <f aca="false">F52-G52</f>
        <v>1.57849834740563</v>
      </c>
      <c r="I52" s="40" t="n">
        <f aca="false">E52-H52</f>
        <v>115.919270210785</v>
      </c>
    </row>
    <row r="53" customFormat="false" ht="15" hidden="false" customHeight="false" outlineLevel="0" collapsed="false">
      <c r="B53" s="39" t="n">
        <f aca="false">B52+1</f>
        <v>24</v>
      </c>
      <c r="C53" s="38" t="n">
        <f aca="false">IF(B53&gt;$C$10,"",EDATE($C$13,(B53-1)*12/$C$9))</f>
        <v>46752</v>
      </c>
      <c r="D53" s="39" t="n">
        <f aca="false">IF(B53&gt;$C$10,"",YEAR(C53))</f>
        <v>2027</v>
      </c>
      <c r="E53" s="40" t="n">
        <f aca="false">IF(B53&gt;$C$10,0,I52)</f>
        <v>115.919270210785</v>
      </c>
      <c r="F53" s="40" t="n">
        <f aca="false">IF(B53&gt;$C$10,0,$C$12)</f>
        <v>2.26390199732841</v>
      </c>
      <c r="G53" s="40" t="n">
        <f aca="false">E53*$C$11</f>
        <v>0.676195742896245</v>
      </c>
      <c r="H53" s="40" t="n">
        <f aca="false">F53-G53</f>
        <v>1.58770625443216</v>
      </c>
      <c r="I53" s="40" t="n">
        <f aca="false">E53-H53</f>
        <v>114.331563956353</v>
      </c>
    </row>
    <row r="54" customFormat="false" ht="15" hidden="false" customHeight="false" outlineLevel="0" collapsed="false">
      <c r="B54" s="39" t="n">
        <f aca="false">B53+1</f>
        <v>25</v>
      </c>
      <c r="C54" s="38" t="n">
        <f aca="false">IF(B54&gt;$C$10,"",EDATE($C$13,(B54-1)*12/$C$9))</f>
        <v>46783</v>
      </c>
      <c r="D54" s="39" t="n">
        <f aca="false">IF(B54&gt;$C$10,"",YEAR(C54))</f>
        <v>2028</v>
      </c>
      <c r="E54" s="40" t="n">
        <f aca="false">IF(B54&gt;$C$10,0,I53)</f>
        <v>114.331563956353</v>
      </c>
      <c r="F54" s="40" t="n">
        <f aca="false">IF(B54&gt;$C$10,0,$C$12)</f>
        <v>2.26390199732841</v>
      </c>
      <c r="G54" s="40" t="n">
        <f aca="false">E54*$C$11</f>
        <v>0.666934123078724</v>
      </c>
      <c r="H54" s="40" t="n">
        <f aca="false">F54-G54</f>
        <v>1.59696787424969</v>
      </c>
      <c r="I54" s="40" t="n">
        <f aca="false">E54-H54</f>
        <v>112.734596082103</v>
      </c>
    </row>
    <row r="55" customFormat="false" ht="15" hidden="false" customHeight="false" outlineLevel="0" collapsed="false">
      <c r="B55" s="39" t="n">
        <f aca="false">B54+1</f>
        <v>26</v>
      </c>
      <c r="C55" s="38" t="n">
        <f aca="false">IF(B55&gt;$C$10,"",EDATE($C$13,(B55-1)*12/$C$9))</f>
        <v>46812</v>
      </c>
      <c r="D55" s="39" t="n">
        <f aca="false">IF(B55&gt;$C$10,"",YEAR(C55))</f>
        <v>2028</v>
      </c>
      <c r="E55" s="40" t="n">
        <f aca="false">IF(B55&gt;$C$10,0,I54)</f>
        <v>112.734596082103</v>
      </c>
      <c r="F55" s="40" t="n">
        <f aca="false">IF(B55&gt;$C$10,0,$C$12)</f>
        <v>2.26390199732841</v>
      </c>
      <c r="G55" s="40" t="n">
        <f aca="false">E55*$C$11</f>
        <v>0.657618477145601</v>
      </c>
      <c r="H55" s="40" t="n">
        <f aca="false">F55-G55</f>
        <v>1.60628352018281</v>
      </c>
      <c r="I55" s="40" t="n">
        <f aca="false">E55-H55</f>
        <v>111.12831256192</v>
      </c>
    </row>
    <row r="56" customFormat="false" ht="15" hidden="false" customHeight="false" outlineLevel="0" collapsed="false">
      <c r="B56" s="39" t="n">
        <f aca="false">B55+1</f>
        <v>27</v>
      </c>
      <c r="C56" s="38" t="n">
        <f aca="false">IF(B56&gt;$C$10,"",EDATE($C$13,(B56-1)*12/$C$9))</f>
        <v>46843</v>
      </c>
      <c r="D56" s="39" t="n">
        <f aca="false">IF(B56&gt;$C$10,"",YEAR(C56))</f>
        <v>2028</v>
      </c>
      <c r="E56" s="40" t="n">
        <f aca="false">IF(B56&gt;$C$10,0,I55)</f>
        <v>111.12831256192</v>
      </c>
      <c r="F56" s="40" t="n">
        <f aca="false">IF(B56&gt;$C$10,0,$C$12)</f>
        <v>2.26390199732841</v>
      </c>
      <c r="G56" s="40" t="n">
        <f aca="false">E56*$C$11</f>
        <v>0.648248489944534</v>
      </c>
      <c r="H56" s="40" t="n">
        <f aca="false">F56-G56</f>
        <v>1.61565350738387</v>
      </c>
      <c r="I56" s="40" t="n">
        <f aca="false">E56-H56</f>
        <v>109.512659054536</v>
      </c>
    </row>
    <row r="57" customFormat="false" ht="15" hidden="false" customHeight="false" outlineLevel="0" collapsed="false">
      <c r="B57" s="39" t="n">
        <f aca="false">B56+1</f>
        <v>28</v>
      </c>
      <c r="C57" s="38" t="n">
        <f aca="false">IF(B57&gt;$C$10,"",EDATE($C$13,(B57-1)*12/$C$9))</f>
        <v>46873</v>
      </c>
      <c r="D57" s="39" t="n">
        <f aca="false">IF(B57&gt;$C$10,"",YEAR(C57))</f>
        <v>2028</v>
      </c>
      <c r="E57" s="40" t="n">
        <f aca="false">IF(B57&gt;$C$10,0,I56)</f>
        <v>109.512659054536</v>
      </c>
      <c r="F57" s="40" t="n">
        <f aca="false">IF(B57&gt;$C$10,0,$C$12)</f>
        <v>2.26390199732841</v>
      </c>
      <c r="G57" s="40" t="n">
        <f aca="false">E57*$C$11</f>
        <v>0.638823844484795</v>
      </c>
      <c r="H57" s="40" t="n">
        <f aca="false">F57-G57</f>
        <v>1.62507815284361</v>
      </c>
      <c r="I57" s="40" t="n">
        <f aca="false">E57-H57</f>
        <v>107.887580901693</v>
      </c>
    </row>
    <row r="58" customFormat="false" ht="15" hidden="false" customHeight="false" outlineLevel="0" collapsed="false">
      <c r="B58" s="39" t="n">
        <f aca="false">B57+1</f>
        <v>29</v>
      </c>
      <c r="C58" s="38" t="n">
        <f aca="false">IF(B58&gt;$C$10,"",EDATE($C$13,(B58-1)*12/$C$9))</f>
        <v>46904</v>
      </c>
      <c r="D58" s="39" t="n">
        <f aca="false">IF(B58&gt;$C$10,"",YEAR(C58))</f>
        <v>2028</v>
      </c>
      <c r="E58" s="40" t="n">
        <f aca="false">IF(B58&gt;$C$10,0,I57)</f>
        <v>107.887580901693</v>
      </c>
      <c r="F58" s="40" t="n">
        <f aca="false">IF(B58&gt;$C$10,0,$C$12)</f>
        <v>2.26390199732841</v>
      </c>
      <c r="G58" s="40" t="n">
        <f aca="false">E58*$C$11</f>
        <v>0.629344221926541</v>
      </c>
      <c r="H58" s="40" t="n">
        <f aca="false">F58-G58</f>
        <v>1.63455777540187</v>
      </c>
      <c r="I58" s="40" t="n">
        <f aca="false">E58-H58</f>
        <v>106.253023126291</v>
      </c>
    </row>
    <row r="59" customFormat="false" ht="15" hidden="false" customHeight="false" outlineLevel="0" collapsed="false">
      <c r="B59" s="39" t="n">
        <f aca="false">B58+1</f>
        <v>30</v>
      </c>
      <c r="C59" s="38" t="n">
        <f aca="false">IF(B59&gt;$C$10,"",EDATE($C$13,(B59-1)*12/$C$9))</f>
        <v>46934</v>
      </c>
      <c r="D59" s="39" t="n">
        <f aca="false">IF(B59&gt;$C$10,"",YEAR(C59))</f>
        <v>2028</v>
      </c>
      <c r="E59" s="40" t="n">
        <f aca="false">IF(B59&gt;$C$10,0,I58)</f>
        <v>106.253023126291</v>
      </c>
      <c r="F59" s="40" t="n">
        <f aca="false">IF(B59&gt;$C$10,0,$C$12)</f>
        <v>2.26390199732841</v>
      </c>
      <c r="G59" s="40" t="n">
        <f aca="false">E59*$C$11</f>
        <v>0.61980930157003</v>
      </c>
      <c r="H59" s="40" t="n">
        <f aca="false">F59-G59</f>
        <v>1.64409269575838</v>
      </c>
      <c r="I59" s="40" t="n">
        <f aca="false">E59-H59</f>
        <v>104.608930430532</v>
      </c>
    </row>
    <row r="60" customFormat="false" ht="15" hidden="false" customHeight="false" outlineLevel="0" collapsed="false">
      <c r="B60" s="39" t="n">
        <f aca="false">B59+1</f>
        <v>31</v>
      </c>
      <c r="C60" s="38" t="n">
        <f aca="false">IF(B60&gt;$C$10,"",EDATE($C$13,(B60-1)*12/$C$9))</f>
        <v>46965</v>
      </c>
      <c r="D60" s="39" t="n">
        <f aca="false">IF(B60&gt;$C$10,"",YEAR(C60))</f>
        <v>2028</v>
      </c>
      <c r="E60" s="40" t="n">
        <f aca="false">IF(B60&gt;$C$10,0,I59)</f>
        <v>104.608930430532</v>
      </c>
      <c r="F60" s="40" t="n">
        <f aca="false">IF(B60&gt;$C$10,0,$C$12)</f>
        <v>2.26390199732841</v>
      </c>
      <c r="G60" s="40" t="n">
        <f aca="false">E60*$C$11</f>
        <v>0.610218760844773</v>
      </c>
      <c r="H60" s="40" t="n">
        <f aca="false">F60-G60</f>
        <v>1.65368323648364</v>
      </c>
      <c r="I60" s="40" t="n">
        <f aca="false">E60-H60</f>
        <v>102.955247194049</v>
      </c>
    </row>
    <row r="61" customFormat="false" ht="15" hidden="false" customHeight="false" outlineLevel="0" collapsed="false">
      <c r="B61" s="39" t="n">
        <f aca="false">B60+1</f>
        <v>32</v>
      </c>
      <c r="C61" s="38" t="n">
        <f aca="false">IF(B61&gt;$C$10,"",EDATE($C$13,(B61-1)*12/$C$9))</f>
        <v>46996</v>
      </c>
      <c r="D61" s="39" t="n">
        <f aca="false">IF(B61&gt;$C$10,"",YEAR(C61))</f>
        <v>2028</v>
      </c>
      <c r="E61" s="40" t="n">
        <f aca="false">IF(B61&gt;$C$10,0,I60)</f>
        <v>102.955247194049</v>
      </c>
      <c r="F61" s="40" t="n">
        <f aca="false">IF(B61&gt;$C$10,0,$C$12)</f>
        <v>2.26390199732841</v>
      </c>
      <c r="G61" s="40" t="n">
        <f aca="false">E61*$C$11</f>
        <v>0.600572275298618</v>
      </c>
      <c r="H61" s="40" t="n">
        <f aca="false">F61-G61</f>
        <v>1.66332972202979</v>
      </c>
      <c r="I61" s="40" t="n">
        <f aca="false">E61-H61</f>
        <v>101.291917472019</v>
      </c>
    </row>
    <row r="62" customFormat="false" ht="15" hidden="false" customHeight="false" outlineLevel="0" collapsed="false">
      <c r="B62" s="39" t="n">
        <f aca="false">B61+1</f>
        <v>33</v>
      </c>
      <c r="C62" s="38" t="n">
        <f aca="false">IF(B62&gt;$C$10,"",EDATE($C$13,(B62-1)*12/$C$9))</f>
        <v>47026</v>
      </c>
      <c r="D62" s="39" t="n">
        <f aca="false">IF(B62&gt;$C$10,"",YEAR(C62))</f>
        <v>2028</v>
      </c>
      <c r="E62" s="40" t="n">
        <f aca="false">IF(B62&gt;$C$10,0,I61)</f>
        <v>101.291917472019</v>
      </c>
      <c r="F62" s="40" t="n">
        <f aca="false">IF(B62&gt;$C$10,0,$C$12)</f>
        <v>2.26390199732841</v>
      </c>
      <c r="G62" s="40" t="n">
        <f aca="false">E62*$C$11</f>
        <v>0.590869518586778</v>
      </c>
      <c r="H62" s="40" t="n">
        <f aca="false">F62-G62</f>
        <v>1.67303247874163</v>
      </c>
      <c r="I62" s="40" t="n">
        <f aca="false">E62-H62</f>
        <v>99.6188849932774</v>
      </c>
    </row>
    <row r="63" customFormat="false" ht="15" hidden="false" customHeight="false" outlineLevel="0" collapsed="false">
      <c r="B63" s="39" t="n">
        <f aca="false">B62+1</f>
        <v>34</v>
      </c>
      <c r="C63" s="38" t="n">
        <f aca="false">IF(B63&gt;$C$10,"",EDATE($C$13,(B63-1)*12/$C$9))</f>
        <v>47057</v>
      </c>
      <c r="D63" s="39" t="n">
        <f aca="false">IF(B63&gt;$C$10,"",YEAR(C63))</f>
        <v>2028</v>
      </c>
      <c r="E63" s="40" t="n">
        <f aca="false">IF(B63&gt;$C$10,0,I62)</f>
        <v>99.6188849932774</v>
      </c>
      <c r="F63" s="40" t="n">
        <f aca="false">IF(B63&gt;$C$10,0,$C$12)</f>
        <v>2.26390199732841</v>
      </c>
      <c r="G63" s="40" t="n">
        <f aca="false">E63*$C$11</f>
        <v>0.581110162460785</v>
      </c>
      <c r="H63" s="40" t="n">
        <f aca="false">F63-G63</f>
        <v>1.68279183486762</v>
      </c>
      <c r="I63" s="40" t="n">
        <f aca="false">E63-H63</f>
        <v>97.9360931584098</v>
      </c>
    </row>
    <row r="64" customFormat="false" ht="15" hidden="false" customHeight="false" outlineLevel="0" collapsed="false">
      <c r="B64" s="39" t="n">
        <f aca="false">B63+1</f>
        <v>35</v>
      </c>
      <c r="C64" s="38" t="n">
        <f aca="false">IF(B64&gt;$C$10,"",EDATE($C$13,(B64-1)*12/$C$9))</f>
        <v>47087</v>
      </c>
      <c r="D64" s="39" t="n">
        <f aca="false">IF(B64&gt;$C$10,"",YEAR(C64))</f>
        <v>2028</v>
      </c>
      <c r="E64" s="40" t="n">
        <f aca="false">IF(B64&gt;$C$10,0,I63)</f>
        <v>97.9360931584098</v>
      </c>
      <c r="F64" s="40" t="n">
        <f aca="false">IF(B64&gt;$C$10,0,$C$12)</f>
        <v>2.26390199732841</v>
      </c>
      <c r="G64" s="40" t="n">
        <f aca="false">E64*$C$11</f>
        <v>0.57129387675739</v>
      </c>
      <c r="H64" s="40" t="n">
        <f aca="false">F64-G64</f>
        <v>1.69260812057102</v>
      </c>
      <c r="I64" s="40" t="n">
        <f aca="false">E64-H64</f>
        <v>96.2434850378387</v>
      </c>
    </row>
    <row r="65" customFormat="false" ht="15" hidden="false" customHeight="false" outlineLevel="0" collapsed="false">
      <c r="B65" s="39" t="n">
        <f aca="false">B64+1</f>
        <v>36</v>
      </c>
      <c r="C65" s="38" t="n">
        <f aca="false">IF(B65&gt;$C$10,"",EDATE($C$13,(B65-1)*12/$C$9))</f>
        <v>47118</v>
      </c>
      <c r="D65" s="39" t="n">
        <f aca="false">IF(B65&gt;$C$10,"",YEAR(C65))</f>
        <v>2028</v>
      </c>
      <c r="E65" s="40" t="n">
        <f aca="false">IF(B65&gt;$C$10,0,I64)</f>
        <v>96.2434850378387</v>
      </c>
      <c r="F65" s="40" t="n">
        <f aca="false">IF(B65&gt;$C$10,0,$C$12)</f>
        <v>2.26390199732841</v>
      </c>
      <c r="G65" s="40" t="n">
        <f aca="false">E65*$C$11</f>
        <v>0.561420329387393</v>
      </c>
      <c r="H65" s="40" t="n">
        <f aca="false">F65-G65</f>
        <v>1.70248166794102</v>
      </c>
      <c r="I65" s="40" t="n">
        <f aca="false">E65-H65</f>
        <v>94.5410033698977</v>
      </c>
    </row>
    <row r="66" customFormat="false" ht="15" hidden="false" customHeight="false" outlineLevel="0" collapsed="false">
      <c r="B66" s="39" t="n">
        <f aca="false">B65+1</f>
        <v>37</v>
      </c>
      <c r="C66" s="38" t="n">
        <f aca="false">IF(B66&gt;$C$10,"",EDATE($C$13,(B66-1)*12/$C$9))</f>
        <v>47149</v>
      </c>
      <c r="D66" s="39" t="n">
        <f aca="false">IF(B66&gt;$C$10,"",YEAR(C66))</f>
        <v>2029</v>
      </c>
      <c r="E66" s="40" t="n">
        <f aca="false">IF(B66&gt;$C$10,0,I65)</f>
        <v>94.5410033698977</v>
      </c>
      <c r="F66" s="40" t="n">
        <f aca="false">IF(B66&gt;$C$10,0,$C$12)</f>
        <v>2.26390199732841</v>
      </c>
      <c r="G66" s="40" t="n">
        <f aca="false">E66*$C$11</f>
        <v>0.551489186324403</v>
      </c>
      <c r="H66" s="40" t="n">
        <f aca="false">F66-G66</f>
        <v>1.71241281100401</v>
      </c>
      <c r="I66" s="40" t="n">
        <f aca="false">E66-H66</f>
        <v>92.8285905588937</v>
      </c>
    </row>
    <row r="67" customFormat="false" ht="15" hidden="false" customHeight="false" outlineLevel="0" collapsed="false">
      <c r="B67" s="39" t="n">
        <f aca="false">B66+1</f>
        <v>38</v>
      </c>
      <c r="C67" s="38" t="n">
        <f aca="false">IF(B67&gt;$C$10,"",EDATE($C$13,(B67-1)*12/$C$9))</f>
        <v>47177</v>
      </c>
      <c r="D67" s="39" t="n">
        <f aca="false">IF(B67&gt;$C$10,"",YEAR(C67))</f>
        <v>2029</v>
      </c>
      <c r="E67" s="40" t="n">
        <f aca="false">IF(B67&gt;$C$10,0,I66)</f>
        <v>92.8285905588937</v>
      </c>
      <c r="F67" s="40" t="n">
        <f aca="false">IF(B67&gt;$C$10,0,$C$12)</f>
        <v>2.26390199732841</v>
      </c>
      <c r="G67" s="40" t="n">
        <f aca="false">E67*$C$11</f>
        <v>0.541500111593547</v>
      </c>
      <c r="H67" s="40" t="n">
        <f aca="false">F67-G67</f>
        <v>1.72240188573486</v>
      </c>
      <c r="I67" s="40" t="n">
        <f aca="false">E67-H67</f>
        <v>91.1061886731588</v>
      </c>
    </row>
    <row r="68" customFormat="false" ht="15" hidden="false" customHeight="false" outlineLevel="0" collapsed="false">
      <c r="B68" s="39" t="n">
        <f aca="false">B67+1</f>
        <v>39</v>
      </c>
      <c r="C68" s="38" t="n">
        <f aca="false">IF(B68&gt;$C$10,"",EDATE($C$13,(B68-1)*12/$C$9))</f>
        <v>47208</v>
      </c>
      <c r="D68" s="39" t="n">
        <f aca="false">IF(B68&gt;$C$10,"",YEAR(C68))</f>
        <v>2029</v>
      </c>
      <c r="E68" s="40" t="n">
        <f aca="false">IF(B68&gt;$C$10,0,I67)</f>
        <v>91.1061886731588</v>
      </c>
      <c r="F68" s="40" t="n">
        <f aca="false">IF(B68&gt;$C$10,0,$C$12)</f>
        <v>2.26390199732841</v>
      </c>
      <c r="G68" s="40" t="n">
        <f aca="false">E68*$C$11</f>
        <v>0.531452767260093</v>
      </c>
      <c r="H68" s="40" t="n">
        <f aca="false">F68-G68</f>
        <v>1.73244923006832</v>
      </c>
      <c r="I68" s="40" t="n">
        <f aca="false">E68-H68</f>
        <v>89.3737394430905</v>
      </c>
    </row>
    <row r="69" customFormat="false" ht="15" hidden="false" customHeight="false" outlineLevel="0" collapsed="false">
      <c r="B69" s="39" t="n">
        <f aca="false">B68+1</f>
        <v>40</v>
      </c>
      <c r="C69" s="38" t="n">
        <f aca="false">IF(B69&gt;$C$10,"",EDATE($C$13,(B69-1)*12/$C$9))</f>
        <v>47238</v>
      </c>
      <c r="D69" s="39" t="n">
        <f aca="false">IF(B69&gt;$C$10,"",YEAR(C69))</f>
        <v>2029</v>
      </c>
      <c r="E69" s="40" t="n">
        <f aca="false">IF(B69&gt;$C$10,0,I68)</f>
        <v>89.3737394430905</v>
      </c>
      <c r="F69" s="40" t="n">
        <f aca="false">IF(B69&gt;$C$10,0,$C$12)</f>
        <v>2.26390199732841</v>
      </c>
      <c r="G69" s="40" t="n">
        <f aca="false">E69*$C$11</f>
        <v>0.521346813418028</v>
      </c>
      <c r="H69" s="40" t="n">
        <f aca="false">F69-G69</f>
        <v>1.74255518391038</v>
      </c>
      <c r="I69" s="40" t="n">
        <f aca="false">E69-H69</f>
        <v>87.6311842591802</v>
      </c>
    </row>
    <row r="70" customFormat="false" ht="15" hidden="false" customHeight="false" outlineLevel="0" collapsed="false">
      <c r="B70" s="39" t="n">
        <f aca="false">B69+1</f>
        <v>41</v>
      </c>
      <c r="C70" s="38" t="n">
        <f aca="false">IF(B70&gt;$C$10,"",EDATE($C$13,(B70-1)*12/$C$9))</f>
        <v>47269</v>
      </c>
      <c r="D70" s="39" t="n">
        <f aca="false">IF(B70&gt;$C$10,"",YEAR(C70))</f>
        <v>2029</v>
      </c>
      <c r="E70" s="40" t="n">
        <f aca="false">IF(B70&gt;$C$10,0,I69)</f>
        <v>87.6311842591802</v>
      </c>
      <c r="F70" s="40" t="n">
        <f aca="false">IF(B70&gt;$C$10,0,$C$12)</f>
        <v>2.26390199732841</v>
      </c>
      <c r="G70" s="40" t="n">
        <f aca="false">E70*$C$11</f>
        <v>0.511181908178551</v>
      </c>
      <c r="H70" s="40" t="n">
        <f aca="false">F70-G70</f>
        <v>1.75272008914986</v>
      </c>
      <c r="I70" s="40" t="n">
        <f aca="false">E70-H70</f>
        <v>85.8784641700303</v>
      </c>
    </row>
    <row r="71" customFormat="false" ht="15" hidden="false" customHeight="false" outlineLevel="0" collapsed="false">
      <c r="B71" s="39" t="n">
        <f aca="false">B70+1</f>
        <v>42</v>
      </c>
      <c r="C71" s="38" t="n">
        <f aca="false">IF(B71&gt;$C$10,"",EDATE($C$13,(B71-1)*12/$C$9))</f>
        <v>47299</v>
      </c>
      <c r="D71" s="39" t="n">
        <f aca="false">IF(B71&gt;$C$10,"",YEAR(C71))</f>
        <v>2029</v>
      </c>
      <c r="E71" s="40" t="n">
        <f aca="false">IF(B71&gt;$C$10,0,I70)</f>
        <v>85.8784641700303</v>
      </c>
      <c r="F71" s="40" t="n">
        <f aca="false">IF(B71&gt;$C$10,0,$C$12)</f>
        <v>2.26390199732841</v>
      </c>
      <c r="G71" s="40" t="n">
        <f aca="false">E71*$C$11</f>
        <v>0.50095770765851</v>
      </c>
      <c r="H71" s="40" t="n">
        <f aca="false">F71-G71</f>
        <v>1.7629442896699</v>
      </c>
      <c r="I71" s="40" t="n">
        <f aca="false">E71-H71</f>
        <v>84.1155198803604</v>
      </c>
    </row>
    <row r="72" customFormat="false" ht="15" hidden="false" customHeight="false" outlineLevel="0" collapsed="false">
      <c r="B72" s="39" t="n">
        <f aca="false">B71+1</f>
        <v>43</v>
      </c>
      <c r="C72" s="38" t="n">
        <f aca="false">IF(B72&gt;$C$10,"",EDATE($C$13,(B72-1)*12/$C$9))</f>
        <v>47330</v>
      </c>
      <c r="D72" s="39" t="n">
        <f aca="false">IF(B72&gt;$C$10,"",YEAR(C72))</f>
        <v>2029</v>
      </c>
      <c r="E72" s="40" t="n">
        <f aca="false">IF(B72&gt;$C$10,0,I71)</f>
        <v>84.1155198803604</v>
      </c>
      <c r="F72" s="40" t="n">
        <f aca="false">IF(B72&gt;$C$10,0,$C$12)</f>
        <v>2.26390199732841</v>
      </c>
      <c r="G72" s="40" t="n">
        <f aca="false">E72*$C$11</f>
        <v>0.490673865968769</v>
      </c>
      <c r="H72" s="40" t="n">
        <f aca="false">F72-G72</f>
        <v>1.77322813135964</v>
      </c>
      <c r="I72" s="40" t="n">
        <f aca="false">E72-H72</f>
        <v>82.3422917490007</v>
      </c>
    </row>
    <row r="73" customFormat="false" ht="15" hidden="false" customHeight="false" outlineLevel="0" collapsed="false">
      <c r="B73" s="39" t="n">
        <f aca="false">B72+1</f>
        <v>44</v>
      </c>
      <c r="C73" s="38" t="n">
        <f aca="false">IF(B73&gt;$C$10,"",EDATE($C$13,(B73-1)*12/$C$9))</f>
        <v>47361</v>
      </c>
      <c r="D73" s="39" t="n">
        <f aca="false">IF(B73&gt;$C$10,"",YEAR(C73))</f>
        <v>2029</v>
      </c>
      <c r="E73" s="40" t="n">
        <f aca="false">IF(B73&gt;$C$10,0,I72)</f>
        <v>82.3422917490007</v>
      </c>
      <c r="F73" s="40" t="n">
        <f aca="false">IF(B73&gt;$C$10,0,$C$12)</f>
        <v>2.26390199732841</v>
      </c>
      <c r="G73" s="40" t="n">
        <f aca="false">E73*$C$11</f>
        <v>0.480330035202504</v>
      </c>
      <c r="H73" s="40" t="n">
        <f aca="false">F73-G73</f>
        <v>1.7835719621259</v>
      </c>
      <c r="I73" s="40" t="n">
        <f aca="false">E73-H73</f>
        <v>80.5587197868748</v>
      </c>
    </row>
    <row r="74" customFormat="false" ht="15" hidden="false" customHeight="false" outlineLevel="0" collapsed="false">
      <c r="B74" s="39" t="n">
        <f aca="false">B73+1</f>
        <v>45</v>
      </c>
      <c r="C74" s="38" t="n">
        <f aca="false">IF(B74&gt;$C$10,"",EDATE($C$13,(B74-1)*12/$C$9))</f>
        <v>47391</v>
      </c>
      <c r="D74" s="39" t="n">
        <f aca="false">IF(B74&gt;$C$10,"",YEAR(C74))</f>
        <v>2029</v>
      </c>
      <c r="E74" s="40" t="n">
        <f aca="false">IF(B74&gt;$C$10,0,I73)</f>
        <v>80.5587197868748</v>
      </c>
      <c r="F74" s="40" t="n">
        <f aca="false">IF(B74&gt;$C$10,0,$C$12)</f>
        <v>2.26390199732841</v>
      </c>
      <c r="G74" s="40" t="n">
        <f aca="false">E74*$C$11</f>
        <v>0.469925865423437</v>
      </c>
      <c r="H74" s="40" t="n">
        <f aca="false">F74-G74</f>
        <v>1.79397613190497</v>
      </c>
      <c r="I74" s="40" t="n">
        <f aca="false">E74-H74</f>
        <v>78.7647436549699</v>
      </c>
    </row>
    <row r="75" customFormat="false" ht="15" hidden="false" customHeight="false" outlineLevel="0" collapsed="false">
      <c r="B75" s="39" t="n">
        <f aca="false">B74+1</f>
        <v>46</v>
      </c>
      <c r="C75" s="38" t="n">
        <f aca="false">IF(B75&gt;$C$10,"",EDATE($C$13,(B75-1)*12/$C$9))</f>
        <v>47422</v>
      </c>
      <c r="D75" s="39" t="n">
        <f aca="false">IF(B75&gt;$C$10,"",YEAR(C75))</f>
        <v>2029</v>
      </c>
      <c r="E75" s="40" t="n">
        <f aca="false">IF(B75&gt;$C$10,0,I74)</f>
        <v>78.7647436549699</v>
      </c>
      <c r="F75" s="40" t="n">
        <f aca="false">IF(B75&gt;$C$10,0,$C$12)</f>
        <v>2.26390199732841</v>
      </c>
      <c r="G75" s="40" t="n">
        <f aca="false">E75*$C$11</f>
        <v>0.459461004653991</v>
      </c>
      <c r="H75" s="40" t="n">
        <f aca="false">F75-G75</f>
        <v>1.80444099267442</v>
      </c>
      <c r="I75" s="40" t="n">
        <f aca="false">E75-H75</f>
        <v>76.9603026622955</v>
      </c>
    </row>
    <row r="76" customFormat="false" ht="15" hidden="false" customHeight="false" outlineLevel="0" collapsed="false">
      <c r="B76" s="39" t="n">
        <f aca="false">B75+1</f>
        <v>47</v>
      </c>
      <c r="C76" s="38" t="n">
        <f aca="false">IF(B76&gt;$C$10,"",EDATE($C$13,(B76-1)*12/$C$9))</f>
        <v>47452</v>
      </c>
      <c r="D76" s="39" t="n">
        <f aca="false">IF(B76&gt;$C$10,"",YEAR(C76))</f>
        <v>2029</v>
      </c>
      <c r="E76" s="40" t="n">
        <f aca="false">IF(B76&gt;$C$10,0,I75)</f>
        <v>76.9603026622955</v>
      </c>
      <c r="F76" s="40" t="n">
        <f aca="false">IF(B76&gt;$C$10,0,$C$12)</f>
        <v>2.26390199732841</v>
      </c>
      <c r="G76" s="40" t="n">
        <f aca="false">E76*$C$11</f>
        <v>0.44893509886339</v>
      </c>
      <c r="H76" s="40" t="n">
        <f aca="false">F76-G76</f>
        <v>1.81496689846502</v>
      </c>
      <c r="I76" s="40" t="n">
        <f aca="false">E76-H76</f>
        <v>75.1453357638304</v>
      </c>
    </row>
    <row r="77" customFormat="false" ht="15" hidden="false" customHeight="false" outlineLevel="0" collapsed="false">
      <c r="B77" s="39" t="n">
        <f aca="false">B76+1</f>
        <v>48</v>
      </c>
      <c r="C77" s="38" t="n">
        <f aca="false">IF(B77&gt;$C$10,"",EDATE($C$13,(B77-1)*12/$C$9))</f>
        <v>47483</v>
      </c>
      <c r="D77" s="39" t="n">
        <f aca="false">IF(B77&gt;$C$10,"",YEAR(C77))</f>
        <v>2029</v>
      </c>
      <c r="E77" s="40" t="n">
        <f aca="false">IF(B77&gt;$C$10,0,I76)</f>
        <v>75.1453357638304</v>
      </c>
      <c r="F77" s="40" t="n">
        <f aca="false">IF(B77&gt;$C$10,0,$C$12)</f>
        <v>2.26390199732841</v>
      </c>
      <c r="G77" s="40" t="n">
        <f aca="false">E77*$C$11</f>
        <v>0.438347791955678</v>
      </c>
      <c r="H77" s="40" t="n">
        <f aca="false">F77-G77</f>
        <v>1.82555420537273</v>
      </c>
      <c r="I77" s="40" t="n">
        <f aca="false">E77-H77</f>
        <v>73.3197815584577</v>
      </c>
    </row>
    <row r="78" customFormat="false" ht="15" hidden="false" customHeight="false" outlineLevel="0" collapsed="false">
      <c r="B78" s="39" t="n">
        <f aca="false">B77+1</f>
        <v>49</v>
      </c>
      <c r="C78" s="38" t="n">
        <f aca="false">IF(B78&gt;$C$10,"",EDATE($C$13,(B78-1)*12/$C$9))</f>
        <v>47514</v>
      </c>
      <c r="D78" s="39" t="n">
        <f aca="false">IF(B78&gt;$C$10,"",YEAR(C78))</f>
        <v>2030</v>
      </c>
      <c r="E78" s="40" t="n">
        <f aca="false">IF(B78&gt;$C$10,0,I77)</f>
        <v>73.3197815584577</v>
      </c>
      <c r="F78" s="40" t="n">
        <f aca="false">IF(B78&gt;$C$10,0,$C$12)</f>
        <v>2.26390199732841</v>
      </c>
      <c r="G78" s="40" t="n">
        <f aca="false">E78*$C$11</f>
        <v>0.42769872575767</v>
      </c>
      <c r="H78" s="40" t="n">
        <f aca="false">F78-G78</f>
        <v>1.83620327157074</v>
      </c>
      <c r="I78" s="40" t="n">
        <f aca="false">E78-H78</f>
        <v>71.483578286887</v>
      </c>
    </row>
    <row r="79" customFormat="false" ht="15" hidden="false" customHeight="false" outlineLevel="0" collapsed="false">
      <c r="B79" s="39" t="n">
        <f aca="false">B78+1</f>
        <v>50</v>
      </c>
      <c r="C79" s="38" t="n">
        <f aca="false">IF(B79&gt;$C$10,"",EDATE($C$13,(B79-1)*12/$C$9))</f>
        <v>47542</v>
      </c>
      <c r="D79" s="39" t="n">
        <f aca="false">IF(B79&gt;$C$10,"",YEAR(C79))</f>
        <v>2030</v>
      </c>
      <c r="E79" s="40" t="n">
        <f aca="false">IF(B79&gt;$C$10,0,I78)</f>
        <v>71.483578286887</v>
      </c>
      <c r="F79" s="40" t="n">
        <f aca="false">IF(B79&gt;$C$10,0,$C$12)</f>
        <v>2.26390199732841</v>
      </c>
      <c r="G79" s="40" t="n">
        <f aca="false">E79*$C$11</f>
        <v>0.416987540006841</v>
      </c>
      <c r="H79" s="40" t="n">
        <f aca="false">F79-G79</f>
        <v>1.84691445732157</v>
      </c>
      <c r="I79" s="40" t="n">
        <f aca="false">E79-H79</f>
        <v>69.6366638295654</v>
      </c>
    </row>
    <row r="80" customFormat="false" ht="15" hidden="false" customHeight="false" outlineLevel="0" collapsed="false">
      <c r="B80" s="39" t="n">
        <f aca="false">B79+1</f>
        <v>51</v>
      </c>
      <c r="C80" s="38" t="n">
        <f aca="false">IF(B80&gt;$C$10,"",EDATE($C$13,(B80-1)*12/$C$9))</f>
        <v>47573</v>
      </c>
      <c r="D80" s="39" t="n">
        <f aca="false">IF(B80&gt;$C$10,"",YEAR(C80))</f>
        <v>2030</v>
      </c>
      <c r="E80" s="40" t="n">
        <f aca="false">IF(B80&gt;$C$10,0,I79)</f>
        <v>69.6366638295654</v>
      </c>
      <c r="F80" s="40" t="n">
        <f aca="false">IF(B80&gt;$C$10,0,$C$12)</f>
        <v>2.26390199732841</v>
      </c>
      <c r="G80" s="40" t="n">
        <f aca="false">E80*$C$11</f>
        <v>0.406213872339132</v>
      </c>
      <c r="H80" s="40" t="n">
        <f aca="false">F80-G80</f>
        <v>1.85768812498928</v>
      </c>
      <c r="I80" s="40" t="n">
        <f aca="false">E80-H80</f>
        <v>67.7789757045761</v>
      </c>
    </row>
    <row r="81" customFormat="false" ht="15" hidden="false" customHeight="false" outlineLevel="0" collapsed="false">
      <c r="B81" s="39" t="n">
        <f aca="false">B80+1</f>
        <v>52</v>
      </c>
      <c r="C81" s="38" t="n">
        <f aca="false">IF(B81&gt;$C$10,"",EDATE($C$13,(B81-1)*12/$C$9))</f>
        <v>47603</v>
      </c>
      <c r="D81" s="39" t="n">
        <f aca="false">IF(B81&gt;$C$10,"",YEAR(C81))</f>
        <v>2030</v>
      </c>
      <c r="E81" s="40" t="n">
        <f aca="false">IF(B81&gt;$C$10,0,I80)</f>
        <v>67.7789757045761</v>
      </c>
      <c r="F81" s="40" t="n">
        <f aca="false">IF(B81&gt;$C$10,0,$C$12)</f>
        <v>2.26390199732841</v>
      </c>
      <c r="G81" s="40" t="n">
        <f aca="false">E81*$C$11</f>
        <v>0.395377358276694</v>
      </c>
      <c r="H81" s="40" t="n">
        <f aca="false">F81-G81</f>
        <v>1.86852463905172</v>
      </c>
      <c r="I81" s="40" t="n">
        <f aca="false">E81-H81</f>
        <v>65.9104510655244</v>
      </c>
    </row>
    <row r="82" customFormat="false" ht="15" hidden="false" customHeight="false" outlineLevel="0" collapsed="false">
      <c r="B82" s="39" t="n">
        <f aca="false">B81+1</f>
        <v>53</v>
      </c>
      <c r="C82" s="38" t="n">
        <f aca="false">IF(B82&gt;$C$10,"",EDATE($C$13,(B82-1)*12/$C$9))</f>
        <v>47634</v>
      </c>
      <c r="D82" s="39" t="n">
        <f aca="false">IF(B82&gt;$C$10,"",YEAR(C82))</f>
        <v>2030</v>
      </c>
      <c r="E82" s="40" t="n">
        <f aca="false">IF(B82&gt;$C$10,0,I81)</f>
        <v>65.9104510655244</v>
      </c>
      <c r="F82" s="40" t="n">
        <f aca="false">IF(B82&gt;$C$10,0,$C$12)</f>
        <v>2.26390199732841</v>
      </c>
      <c r="G82" s="40" t="n">
        <f aca="false">E82*$C$11</f>
        <v>0.384477631215559</v>
      </c>
      <c r="H82" s="40" t="n">
        <f aca="false">F82-G82</f>
        <v>1.87942436611285</v>
      </c>
      <c r="I82" s="40" t="n">
        <f aca="false">E82-H82</f>
        <v>64.0310266994116</v>
      </c>
    </row>
    <row r="83" customFormat="false" ht="15" hidden="false" customHeight="false" outlineLevel="0" collapsed="false">
      <c r="B83" s="39" t="n">
        <f aca="false">B82+1</f>
        <v>54</v>
      </c>
      <c r="C83" s="38" t="n">
        <f aca="false">IF(B83&gt;$C$10,"",EDATE($C$13,(B83-1)*12/$C$9))</f>
        <v>47664</v>
      </c>
      <c r="D83" s="39" t="n">
        <f aca="false">IF(B83&gt;$C$10,"",YEAR(C83))</f>
        <v>2030</v>
      </c>
      <c r="E83" s="40" t="n">
        <f aca="false">IF(B83&gt;$C$10,0,I82)</f>
        <v>64.0310266994116</v>
      </c>
      <c r="F83" s="40" t="n">
        <f aca="false">IF(B83&gt;$C$10,0,$C$12)</f>
        <v>2.26390199732841</v>
      </c>
      <c r="G83" s="40" t="n">
        <f aca="false">E83*$C$11</f>
        <v>0.373514322413234</v>
      </c>
      <c r="H83" s="40" t="n">
        <f aca="false">F83-G83</f>
        <v>1.89038767491518</v>
      </c>
      <c r="I83" s="40" t="n">
        <f aca="false">E83-H83</f>
        <v>62.1406390244964</v>
      </c>
    </row>
    <row r="84" customFormat="false" ht="15" hidden="false" customHeight="false" outlineLevel="0" collapsed="false">
      <c r="B84" s="39" t="n">
        <f aca="false">B83+1</f>
        <v>55</v>
      </c>
      <c r="C84" s="38" t="n">
        <f aca="false">IF(B84&gt;$C$10,"",EDATE($C$13,(B84-1)*12/$C$9))</f>
        <v>47695</v>
      </c>
      <c r="D84" s="39" t="n">
        <f aca="false">IF(B84&gt;$C$10,"",YEAR(C84))</f>
        <v>2030</v>
      </c>
      <c r="E84" s="40" t="n">
        <f aca="false">IF(B84&gt;$C$10,0,I83)</f>
        <v>62.1406390244964</v>
      </c>
      <c r="F84" s="40" t="n">
        <f aca="false">IF(B84&gt;$C$10,0,$C$12)</f>
        <v>2.26390199732841</v>
      </c>
      <c r="G84" s="40" t="n">
        <f aca="false">E84*$C$11</f>
        <v>0.362487060976229</v>
      </c>
      <c r="H84" s="40" t="n">
        <f aca="false">F84-G84</f>
        <v>1.90141493635218</v>
      </c>
      <c r="I84" s="40" t="n">
        <f aca="false">E84-H84</f>
        <v>60.2392240881442</v>
      </c>
    </row>
    <row r="85" customFormat="false" ht="15" hidden="false" customHeight="false" outlineLevel="0" collapsed="false">
      <c r="B85" s="39" t="n">
        <f aca="false">B84+1</f>
        <v>56</v>
      </c>
      <c r="C85" s="38" t="n">
        <f aca="false">IF(B85&gt;$C$10,"",EDATE($C$13,(B85-1)*12/$C$9))</f>
        <v>47726</v>
      </c>
      <c r="D85" s="39" t="n">
        <f aca="false">IF(B85&gt;$C$10,"",YEAR(C85))</f>
        <v>2030</v>
      </c>
      <c r="E85" s="40" t="n">
        <f aca="false">IF(B85&gt;$C$10,0,I84)</f>
        <v>60.2392240881442</v>
      </c>
      <c r="F85" s="40" t="n">
        <f aca="false">IF(B85&gt;$C$10,0,$C$12)</f>
        <v>2.26390199732841</v>
      </c>
      <c r="G85" s="40" t="n">
        <f aca="false">E85*$C$11</f>
        <v>0.351395473847508</v>
      </c>
      <c r="H85" s="40" t="n">
        <f aca="false">F85-G85</f>
        <v>1.9125065234809</v>
      </c>
      <c r="I85" s="40" t="n">
        <f aca="false">E85-H85</f>
        <v>58.3267175646633</v>
      </c>
    </row>
    <row r="86" customFormat="false" ht="15" hidden="false" customHeight="false" outlineLevel="0" collapsed="false">
      <c r="B86" s="39" t="n">
        <f aca="false">B85+1</f>
        <v>57</v>
      </c>
      <c r="C86" s="38" t="n">
        <f aca="false">IF(B86&gt;$C$10,"",EDATE($C$13,(B86-1)*12/$C$9))</f>
        <v>47756</v>
      </c>
      <c r="D86" s="39" t="n">
        <f aca="false">IF(B86&gt;$C$10,"",YEAR(C86))</f>
        <v>2030</v>
      </c>
      <c r="E86" s="40" t="n">
        <f aca="false">IF(B86&gt;$C$10,0,I85)</f>
        <v>58.3267175646633</v>
      </c>
      <c r="F86" s="40" t="n">
        <f aca="false">IF(B86&gt;$C$10,0,$C$12)</f>
        <v>2.26390199732841</v>
      </c>
      <c r="G86" s="40" t="n">
        <f aca="false">E86*$C$11</f>
        <v>0.340239185793869</v>
      </c>
      <c r="H86" s="40" t="n">
        <f aca="false">F86-G86</f>
        <v>1.92366281153454</v>
      </c>
      <c r="I86" s="40" t="n">
        <f aca="false">E86-H86</f>
        <v>56.4030547531288</v>
      </c>
    </row>
    <row r="87" customFormat="false" ht="15" hidden="false" customHeight="false" outlineLevel="0" collapsed="false">
      <c r="B87" s="39" t="n">
        <f aca="false">B86+1</f>
        <v>58</v>
      </c>
      <c r="C87" s="38" t="n">
        <f aca="false">IF(B87&gt;$C$10,"",EDATE($C$13,(B87-1)*12/$C$9))</f>
        <v>47787</v>
      </c>
      <c r="D87" s="39" t="n">
        <f aca="false">IF(B87&gt;$C$10,"",YEAR(C87))</f>
        <v>2030</v>
      </c>
      <c r="E87" s="40" t="n">
        <f aca="false">IF(B87&gt;$C$10,0,I86)</f>
        <v>56.4030547531288</v>
      </c>
      <c r="F87" s="40" t="n">
        <f aca="false">IF(B87&gt;$C$10,0,$C$12)</f>
        <v>2.26390199732841</v>
      </c>
      <c r="G87" s="40" t="n">
        <f aca="false">E87*$C$11</f>
        <v>0.329017819393251</v>
      </c>
      <c r="H87" s="40" t="n">
        <f aca="false">F87-G87</f>
        <v>1.93488417793516</v>
      </c>
      <c r="I87" s="40" t="n">
        <f aca="false">E87-H87</f>
        <v>54.4681705751936</v>
      </c>
    </row>
    <row r="88" customFormat="false" ht="15" hidden="false" customHeight="false" outlineLevel="0" collapsed="false">
      <c r="B88" s="39" t="n">
        <f aca="false">B87+1</f>
        <v>59</v>
      </c>
      <c r="C88" s="38" t="n">
        <f aca="false">IF(B88&gt;$C$10,"",EDATE($C$13,(B88-1)*12/$C$9))</f>
        <v>47817</v>
      </c>
      <c r="D88" s="39" t="n">
        <f aca="false">IF(B88&gt;$C$10,"",YEAR(C88))</f>
        <v>2030</v>
      </c>
      <c r="E88" s="40" t="n">
        <f aca="false">IF(B88&gt;$C$10,0,I87)</f>
        <v>54.4681705751936</v>
      </c>
      <c r="F88" s="40" t="n">
        <f aca="false">IF(B88&gt;$C$10,0,$C$12)</f>
        <v>2.26390199732841</v>
      </c>
      <c r="G88" s="40" t="n">
        <f aca="false">E88*$C$11</f>
        <v>0.317730995021963</v>
      </c>
      <c r="H88" s="40" t="n">
        <f aca="false">F88-G88</f>
        <v>1.94617100230645</v>
      </c>
      <c r="I88" s="40" t="n">
        <f aca="false">E88-H88</f>
        <v>52.5219995728872</v>
      </c>
    </row>
    <row r="89" customFormat="false" ht="15" hidden="false" customHeight="false" outlineLevel="0" collapsed="false">
      <c r="B89" s="39" t="n">
        <f aca="false">B88+1</f>
        <v>60</v>
      </c>
      <c r="C89" s="38" t="n">
        <f aca="false">IF(B89&gt;$C$10,"",EDATE($C$13,(B89-1)*12/$C$9))</f>
        <v>47848</v>
      </c>
      <c r="D89" s="39" t="n">
        <f aca="false">IF(B89&gt;$C$10,"",YEAR(C89))</f>
        <v>2030</v>
      </c>
      <c r="E89" s="40" t="n">
        <f aca="false">IF(B89&gt;$C$10,0,I88)</f>
        <v>52.5219995728872</v>
      </c>
      <c r="F89" s="40" t="n">
        <f aca="false">IF(B89&gt;$C$10,0,$C$12)</f>
        <v>2.26390199732841</v>
      </c>
      <c r="G89" s="40" t="n">
        <f aca="false">E89*$C$11</f>
        <v>0.306378330841842</v>
      </c>
      <c r="H89" s="40" t="n">
        <f aca="false">F89-G89</f>
        <v>1.95752366648657</v>
      </c>
      <c r="I89" s="40" t="n">
        <f aca="false">E89-H89</f>
        <v>50.5644759064006</v>
      </c>
    </row>
    <row r="90" customFormat="false" ht="15" hidden="false" customHeight="false" outlineLevel="0" collapsed="false">
      <c r="B90" s="39" t="n">
        <f aca="false">B89+1</f>
        <v>61</v>
      </c>
      <c r="C90" s="38" t="n">
        <f aca="false">IF(B90&gt;$C$10,"",EDATE($C$13,(B90-1)*12/$C$9))</f>
        <v>47879</v>
      </c>
      <c r="D90" s="39" t="n">
        <f aca="false">IF(B90&gt;$C$10,"",YEAR(C90))</f>
        <v>2031</v>
      </c>
      <c r="E90" s="40" t="n">
        <f aca="false">IF(B90&gt;$C$10,0,I89)</f>
        <v>50.5644759064006</v>
      </c>
      <c r="F90" s="40" t="n">
        <f aca="false">IF(B90&gt;$C$10,0,$C$12)</f>
        <v>2.26390199732841</v>
      </c>
      <c r="G90" s="40" t="n">
        <f aca="false">E90*$C$11</f>
        <v>0.294959442787337</v>
      </c>
      <c r="H90" s="40" t="n">
        <f aca="false">F90-G90</f>
        <v>1.96894255454107</v>
      </c>
      <c r="I90" s="40" t="n">
        <f aca="false">E90-H90</f>
        <v>48.5955333518595</v>
      </c>
    </row>
    <row r="91" customFormat="false" ht="15" hidden="false" customHeight="false" outlineLevel="0" collapsed="false">
      <c r="B91" s="39" t="n">
        <f aca="false">B90+1</f>
        <v>62</v>
      </c>
      <c r="C91" s="38" t="n">
        <f aca="false">IF(B91&gt;$C$10,"",EDATE($C$13,(B91-1)*12/$C$9))</f>
        <v>47907</v>
      </c>
      <c r="D91" s="39" t="n">
        <f aca="false">IF(B91&gt;$C$10,"",YEAR(C91))</f>
        <v>2031</v>
      </c>
      <c r="E91" s="40" t="n">
        <f aca="false">IF(B91&gt;$C$10,0,I90)</f>
        <v>48.5955333518595</v>
      </c>
      <c r="F91" s="40" t="n">
        <f aca="false">IF(B91&gt;$C$10,0,$C$12)</f>
        <v>2.26390199732841</v>
      </c>
      <c r="G91" s="40" t="n">
        <f aca="false">E91*$C$11</f>
        <v>0.283473944552514</v>
      </c>
      <c r="H91" s="40" t="n">
        <f aca="false">F91-G91</f>
        <v>1.9804280527759</v>
      </c>
      <c r="I91" s="40" t="n">
        <f aca="false">E91-H91</f>
        <v>46.6151052990836</v>
      </c>
    </row>
    <row r="92" customFormat="false" ht="15" hidden="false" customHeight="false" outlineLevel="0" collapsed="false">
      <c r="B92" s="39" t="n">
        <f aca="false">B91+1</f>
        <v>63</v>
      </c>
      <c r="C92" s="38" t="n">
        <f aca="false">IF(B92&gt;$C$10,"",EDATE($C$13,(B92-1)*12/$C$9))</f>
        <v>47938</v>
      </c>
      <c r="D92" s="39" t="n">
        <f aca="false">IF(B92&gt;$C$10,"",YEAR(C92))</f>
        <v>2031</v>
      </c>
      <c r="E92" s="40" t="n">
        <f aca="false">IF(B92&gt;$C$10,0,I91)</f>
        <v>46.6151052990836</v>
      </c>
      <c r="F92" s="40" t="n">
        <f aca="false">IF(B92&gt;$C$10,0,$C$12)</f>
        <v>2.26390199732841</v>
      </c>
      <c r="G92" s="40" t="n">
        <f aca="false">E92*$C$11</f>
        <v>0.271921447577988</v>
      </c>
      <c r="H92" s="40" t="n">
        <f aca="false">F92-G92</f>
        <v>1.99198054975042</v>
      </c>
      <c r="I92" s="40" t="n">
        <f aca="false">E92-H92</f>
        <v>44.6231247493332</v>
      </c>
    </row>
    <row r="93" customFormat="false" ht="15" hidden="false" customHeight="false" outlineLevel="0" collapsed="false">
      <c r="B93" s="39" t="n">
        <f aca="false">B92+1</f>
        <v>64</v>
      </c>
      <c r="C93" s="38" t="n">
        <f aca="false">IF(B93&gt;$C$10,"",EDATE($C$13,(B93-1)*12/$C$9))</f>
        <v>47968</v>
      </c>
      <c r="D93" s="39" t="n">
        <f aca="false">IF(B93&gt;$C$10,"",YEAR(C93))</f>
        <v>2031</v>
      </c>
      <c r="E93" s="40" t="n">
        <f aca="false">IF(B93&gt;$C$10,0,I92)</f>
        <v>44.6231247493332</v>
      </c>
      <c r="F93" s="40" t="n">
        <f aca="false">IF(B93&gt;$C$10,0,$C$12)</f>
        <v>2.26390199732841</v>
      </c>
      <c r="G93" s="40" t="n">
        <f aca="false">E93*$C$11</f>
        <v>0.260301561037777</v>
      </c>
      <c r="H93" s="40" t="n">
        <f aca="false">F93-G93</f>
        <v>2.00360043629063</v>
      </c>
      <c r="I93" s="40" t="n">
        <f aca="false">E93-H93</f>
        <v>42.6195243130426</v>
      </c>
    </row>
    <row r="94" customFormat="false" ht="15" hidden="false" customHeight="false" outlineLevel="0" collapsed="false">
      <c r="B94" s="39" t="n">
        <f aca="false">B93+1</f>
        <v>65</v>
      </c>
      <c r="C94" s="38" t="n">
        <f aca="false">IF(B94&gt;$C$10,"",EDATE($C$13,(B94-1)*12/$C$9))</f>
        <v>47999</v>
      </c>
      <c r="D94" s="39" t="n">
        <f aca="false">IF(B94&gt;$C$10,"",YEAR(C94))</f>
        <v>2031</v>
      </c>
      <c r="E94" s="40" t="n">
        <f aca="false">IF(B94&gt;$C$10,0,I93)</f>
        <v>42.6195243130426</v>
      </c>
      <c r="F94" s="40" t="n">
        <f aca="false">IF(B94&gt;$C$10,0,$C$12)</f>
        <v>2.26390199732841</v>
      </c>
      <c r="G94" s="40" t="n">
        <f aca="false">E94*$C$11</f>
        <v>0.248613891826082</v>
      </c>
      <c r="H94" s="40" t="n">
        <f aca="false">F94-G94</f>
        <v>2.01528810550233</v>
      </c>
      <c r="I94" s="40" t="n">
        <f aca="false">E94-H94</f>
        <v>40.6042362075402</v>
      </c>
    </row>
    <row r="95" customFormat="false" ht="15" hidden="false" customHeight="false" outlineLevel="0" collapsed="false">
      <c r="B95" s="39" t="n">
        <f aca="false">B94+1</f>
        <v>66</v>
      </c>
      <c r="C95" s="38" t="n">
        <f aca="false">IF(B95&gt;$C$10,"",EDATE($C$13,(B95-1)*12/$C$9))</f>
        <v>48029</v>
      </c>
      <c r="D95" s="39" t="n">
        <f aca="false">IF(B95&gt;$C$10,"",YEAR(C95))</f>
        <v>2031</v>
      </c>
      <c r="E95" s="40" t="n">
        <f aca="false">IF(B95&gt;$C$10,0,I94)</f>
        <v>40.6042362075402</v>
      </c>
      <c r="F95" s="40" t="n">
        <f aca="false">IF(B95&gt;$C$10,0,$C$12)</f>
        <v>2.26390199732841</v>
      </c>
      <c r="G95" s="40" t="n">
        <f aca="false">E95*$C$11</f>
        <v>0.236858044543985</v>
      </c>
      <c r="H95" s="40" t="n">
        <f aca="false">F95-G95</f>
        <v>2.02704395278442</v>
      </c>
      <c r="I95" s="40" t="n">
        <f aca="false">E95-H95</f>
        <v>38.5771922547558</v>
      </c>
    </row>
    <row r="96" customFormat="false" ht="15" hidden="false" customHeight="false" outlineLevel="0" collapsed="false">
      <c r="B96" s="39" t="n">
        <f aca="false">B95+1</f>
        <v>67</v>
      </c>
      <c r="C96" s="38" t="n">
        <f aca="false">IF(B96&gt;$C$10,"",EDATE($C$13,(B96-1)*12/$C$9))</f>
        <v>48060</v>
      </c>
      <c r="D96" s="39" t="n">
        <f aca="false">IF(B96&gt;$C$10,"",YEAR(C96))</f>
        <v>2031</v>
      </c>
      <c r="E96" s="40" t="n">
        <f aca="false">IF(B96&gt;$C$10,0,I95)</f>
        <v>38.5771922547558</v>
      </c>
      <c r="F96" s="40" t="n">
        <f aca="false">IF(B96&gt;$C$10,0,$C$12)</f>
        <v>2.26390199732841</v>
      </c>
      <c r="G96" s="40" t="n">
        <f aca="false">E96*$C$11</f>
        <v>0.225033621486076</v>
      </c>
      <c r="H96" s="40" t="n">
        <f aca="false">F96-G96</f>
        <v>2.03886837584233</v>
      </c>
      <c r="I96" s="40" t="n">
        <f aca="false">E96-H96</f>
        <v>36.5383238789135</v>
      </c>
    </row>
    <row r="97" customFormat="false" ht="15" hidden="false" customHeight="false" outlineLevel="0" collapsed="false">
      <c r="B97" s="39" t="n">
        <f aca="false">B96+1</f>
        <v>68</v>
      </c>
      <c r="C97" s="38" t="n">
        <f aca="false">IF(B97&gt;$C$10,"",EDATE($C$13,(B97-1)*12/$C$9))</f>
        <v>48091</v>
      </c>
      <c r="D97" s="39" t="n">
        <f aca="false">IF(B97&gt;$C$10,"",YEAR(C97))</f>
        <v>2031</v>
      </c>
      <c r="E97" s="40" t="n">
        <f aca="false">IF(B97&gt;$C$10,0,I96)</f>
        <v>36.5383238789135</v>
      </c>
      <c r="F97" s="40" t="n">
        <f aca="false">IF(B97&gt;$C$10,0,$C$12)</f>
        <v>2.26390199732841</v>
      </c>
      <c r="G97" s="40" t="n">
        <f aca="false">E97*$C$11</f>
        <v>0.213140222626995</v>
      </c>
      <c r="H97" s="40" t="n">
        <f aca="false">F97-G97</f>
        <v>2.05076177470141</v>
      </c>
      <c r="I97" s="40" t="n">
        <f aca="false">E97-H97</f>
        <v>34.4875621042121</v>
      </c>
    </row>
    <row r="98" customFormat="false" ht="15" hidden="false" customHeight="false" outlineLevel="0" collapsed="false">
      <c r="B98" s="39" t="n">
        <f aca="false">B97+1</f>
        <v>69</v>
      </c>
      <c r="C98" s="38" t="n">
        <f aca="false">IF(B98&gt;$C$10,"",EDATE($C$13,(B98-1)*12/$C$9))</f>
        <v>48121</v>
      </c>
      <c r="D98" s="39" t="n">
        <f aca="false">IF(B98&gt;$C$10,"",YEAR(C98))</f>
        <v>2031</v>
      </c>
      <c r="E98" s="40" t="n">
        <f aca="false">IF(B98&gt;$C$10,0,I97)</f>
        <v>34.4875621042121</v>
      </c>
      <c r="F98" s="40" t="n">
        <f aca="false">IF(B98&gt;$C$10,0,$C$12)</f>
        <v>2.26390199732841</v>
      </c>
      <c r="G98" s="40" t="n">
        <f aca="false">E98*$C$11</f>
        <v>0.201177445607904</v>
      </c>
      <c r="H98" s="40" t="n">
        <f aca="false">F98-G98</f>
        <v>2.06272455172051</v>
      </c>
      <c r="I98" s="40" t="n">
        <f aca="false">E98-H98</f>
        <v>32.4248375524916</v>
      </c>
    </row>
    <row r="99" customFormat="false" ht="15" hidden="false" customHeight="false" outlineLevel="0" collapsed="false">
      <c r="B99" s="39" t="n">
        <f aca="false">B98+1</f>
        <v>70</v>
      </c>
      <c r="C99" s="38" t="n">
        <f aca="false">IF(B99&gt;$C$10,"",EDATE($C$13,(B99-1)*12/$C$9))</f>
        <v>48152</v>
      </c>
      <c r="D99" s="39" t="n">
        <f aca="false">IF(B99&gt;$C$10,"",YEAR(C99))</f>
        <v>2031</v>
      </c>
      <c r="E99" s="40" t="n">
        <f aca="false">IF(B99&gt;$C$10,0,I98)</f>
        <v>32.4248375524916</v>
      </c>
      <c r="F99" s="40" t="n">
        <f aca="false">IF(B99&gt;$C$10,0,$C$12)</f>
        <v>2.26390199732841</v>
      </c>
      <c r="G99" s="40" t="n">
        <f aca="false">E99*$C$11</f>
        <v>0.189144885722867</v>
      </c>
      <c r="H99" s="40" t="n">
        <f aca="false">F99-G99</f>
        <v>2.07475711160554</v>
      </c>
      <c r="I99" s="40" t="n">
        <f aca="false">E99-H99</f>
        <v>30.350080440886</v>
      </c>
    </row>
    <row r="100" customFormat="false" ht="15" hidden="false" customHeight="false" outlineLevel="0" collapsed="false">
      <c r="B100" s="39" t="n">
        <f aca="false">B99+1</f>
        <v>71</v>
      </c>
      <c r="C100" s="38" t="n">
        <f aca="false">IF(B100&gt;$C$10,"",EDATE($C$13,(B100-1)*12/$C$9))</f>
        <v>48182</v>
      </c>
      <c r="D100" s="39" t="n">
        <f aca="false">IF(B100&gt;$C$10,"",YEAR(C100))</f>
        <v>2031</v>
      </c>
      <c r="E100" s="40" t="n">
        <f aca="false">IF(B100&gt;$C$10,0,I99)</f>
        <v>30.350080440886</v>
      </c>
      <c r="F100" s="40" t="n">
        <f aca="false">IF(B100&gt;$C$10,0,$C$12)</f>
        <v>2.26390199732841</v>
      </c>
      <c r="G100" s="40" t="n">
        <f aca="false">E100*$C$11</f>
        <v>0.177042135905168</v>
      </c>
      <c r="H100" s="40" t="n">
        <f aca="false">F100-G100</f>
        <v>2.08685986142324</v>
      </c>
      <c r="I100" s="40" t="n">
        <f aca="false">E100-H100</f>
        <v>28.2632205794628</v>
      </c>
    </row>
    <row r="101" customFormat="false" ht="15" hidden="false" customHeight="false" outlineLevel="0" collapsed="false">
      <c r="B101" s="39" t="n">
        <f aca="false">B100+1</f>
        <v>72</v>
      </c>
      <c r="C101" s="38" t="n">
        <f aca="false">IF(B101&gt;$C$10,"",EDATE($C$13,(B101-1)*12/$C$9))</f>
        <v>48213</v>
      </c>
      <c r="D101" s="39" t="n">
        <f aca="false">IF(B101&gt;$C$10,"",YEAR(C101))</f>
        <v>2031</v>
      </c>
      <c r="E101" s="40" t="n">
        <f aca="false">IF(B101&gt;$C$10,0,I100)</f>
        <v>28.2632205794628</v>
      </c>
      <c r="F101" s="40" t="n">
        <f aca="false">IF(B101&gt;$C$10,0,$C$12)</f>
        <v>2.26390199732841</v>
      </c>
      <c r="G101" s="40" t="n">
        <f aca="false">E101*$C$11</f>
        <v>0.164868786713533</v>
      </c>
      <c r="H101" s="40" t="n">
        <f aca="false">F101-G101</f>
        <v>2.09903321061488</v>
      </c>
      <c r="I101" s="40" t="n">
        <f aca="false">E101-H101</f>
        <v>26.1641873688479</v>
      </c>
    </row>
    <row r="102" customFormat="false" ht="15" hidden="false" customHeight="false" outlineLevel="0" collapsed="false">
      <c r="B102" s="39" t="n">
        <f aca="false">B101+1</f>
        <v>73</v>
      </c>
      <c r="C102" s="38" t="n">
        <f aca="false">IF(B102&gt;$C$10,"",EDATE($C$13,(B102-1)*12/$C$9))</f>
        <v>48244</v>
      </c>
      <c r="D102" s="39" t="n">
        <f aca="false">IF(B102&gt;$C$10,"",YEAR(C102))</f>
        <v>2032</v>
      </c>
      <c r="E102" s="40" t="n">
        <f aca="false">IF(B102&gt;$C$10,0,I101)</f>
        <v>26.1641873688479</v>
      </c>
      <c r="F102" s="40" t="n">
        <f aca="false">IF(B102&gt;$C$10,0,$C$12)</f>
        <v>2.26390199732841</v>
      </c>
      <c r="G102" s="40" t="n">
        <f aca="false">E102*$C$11</f>
        <v>0.152624426318279</v>
      </c>
      <c r="H102" s="40" t="n">
        <f aca="false">F102-G102</f>
        <v>2.11127757101013</v>
      </c>
      <c r="I102" s="40" t="n">
        <f aca="false">E102-H102</f>
        <v>24.0529097978378</v>
      </c>
    </row>
    <row r="103" customFormat="false" ht="15" hidden="false" customHeight="false" outlineLevel="0" collapsed="false">
      <c r="B103" s="39" t="n">
        <f aca="false">B102+1</f>
        <v>74</v>
      </c>
      <c r="C103" s="38" t="n">
        <f aca="false">IF(B103&gt;$C$10,"",EDATE($C$13,(B103-1)*12/$C$9))</f>
        <v>48273</v>
      </c>
      <c r="D103" s="39" t="n">
        <f aca="false">IF(B103&gt;$C$10,"",YEAR(C103))</f>
        <v>2032</v>
      </c>
      <c r="E103" s="40" t="n">
        <f aca="false">IF(B103&gt;$C$10,0,I102)</f>
        <v>24.0529097978378</v>
      </c>
      <c r="F103" s="40" t="n">
        <f aca="false">IF(B103&gt;$C$10,0,$C$12)</f>
        <v>2.26390199732841</v>
      </c>
      <c r="G103" s="40" t="n">
        <f aca="false">E103*$C$11</f>
        <v>0.140308640487387</v>
      </c>
      <c r="H103" s="40" t="n">
        <f aca="false">F103-G103</f>
        <v>2.12359335684102</v>
      </c>
      <c r="I103" s="40" t="n">
        <f aca="false">E103-H103</f>
        <v>21.9293164409968</v>
      </c>
    </row>
    <row r="104" customFormat="false" ht="15" hidden="false" customHeight="false" outlineLevel="0" collapsed="false">
      <c r="B104" s="39" t="n">
        <f aca="false">B103+1</f>
        <v>75</v>
      </c>
      <c r="C104" s="38" t="n">
        <f aca="false">IF(B104&gt;$C$10,"",EDATE($C$13,(B104-1)*12/$C$9))</f>
        <v>48304</v>
      </c>
      <c r="D104" s="39" t="n">
        <f aca="false">IF(B104&gt;$C$10,"",YEAR(C104))</f>
        <v>2032</v>
      </c>
      <c r="E104" s="40" t="n">
        <f aca="false">IF(B104&gt;$C$10,0,I103)</f>
        <v>21.9293164409968</v>
      </c>
      <c r="F104" s="40" t="n">
        <f aca="false">IF(B104&gt;$C$10,0,$C$12)</f>
        <v>2.26390199732841</v>
      </c>
      <c r="G104" s="40" t="n">
        <f aca="false">E104*$C$11</f>
        <v>0.127921012572481</v>
      </c>
      <c r="H104" s="40" t="n">
        <f aca="false">F104-G104</f>
        <v>2.13598098475593</v>
      </c>
      <c r="I104" s="40" t="n">
        <f aca="false">E104-H104</f>
        <v>19.7933354562408</v>
      </c>
    </row>
    <row r="105" customFormat="false" ht="15" hidden="false" customHeight="false" outlineLevel="0" collapsed="false">
      <c r="B105" s="39" t="n">
        <f aca="false">B104+1</f>
        <v>76</v>
      </c>
      <c r="C105" s="38" t="n">
        <f aca="false">IF(B105&gt;$C$10,"",EDATE($C$13,(B105-1)*12/$C$9))</f>
        <v>48334</v>
      </c>
      <c r="D105" s="39" t="n">
        <f aca="false">IF(B105&gt;$C$10,"",YEAR(C105))</f>
        <v>2032</v>
      </c>
      <c r="E105" s="40" t="n">
        <f aca="false">IF(B105&gt;$C$10,0,I104)</f>
        <v>19.7933354562408</v>
      </c>
      <c r="F105" s="40" t="n">
        <f aca="false">IF(B105&gt;$C$10,0,$C$12)</f>
        <v>2.26390199732841</v>
      </c>
      <c r="G105" s="40" t="n">
        <f aca="false">E105*$C$11</f>
        <v>0.115461123494738</v>
      </c>
      <c r="H105" s="40" t="n">
        <f aca="false">F105-G105</f>
        <v>2.14844087383367</v>
      </c>
      <c r="I105" s="40" t="n">
        <f aca="false">E105-H105</f>
        <v>17.6448945824072</v>
      </c>
    </row>
    <row r="106" customFormat="false" ht="15" hidden="false" customHeight="false" outlineLevel="0" collapsed="false">
      <c r="B106" s="39" t="n">
        <f aca="false">B105+1</f>
        <v>77</v>
      </c>
      <c r="C106" s="38" t="n">
        <f aca="false">IF(B106&gt;$C$10,"",EDATE($C$13,(B106-1)*12/$C$9))</f>
        <v>48365</v>
      </c>
      <c r="D106" s="39" t="n">
        <f aca="false">IF(B106&gt;$C$10,"",YEAR(C106))</f>
        <v>2032</v>
      </c>
      <c r="E106" s="40" t="n">
        <f aca="false">IF(B106&gt;$C$10,0,I105)</f>
        <v>17.6448945824072</v>
      </c>
      <c r="F106" s="40" t="n">
        <f aca="false">IF(B106&gt;$C$10,0,$C$12)</f>
        <v>2.26390199732841</v>
      </c>
      <c r="G106" s="40" t="n">
        <f aca="false">E106*$C$11</f>
        <v>0.102928551730708</v>
      </c>
      <c r="H106" s="40" t="n">
        <f aca="false">F106-G106</f>
        <v>2.1609734455977</v>
      </c>
      <c r="I106" s="40" t="n">
        <f aca="false">E106-H106</f>
        <v>15.4839211368095</v>
      </c>
    </row>
    <row r="107" customFormat="false" ht="15" hidden="false" customHeight="false" outlineLevel="0" collapsed="false">
      <c r="B107" s="39" t="n">
        <f aca="false">B106+1</f>
        <v>78</v>
      </c>
      <c r="C107" s="38" t="n">
        <f aca="false">IF(B107&gt;$C$10,"",EDATE($C$13,(B107-1)*12/$C$9))</f>
        <v>48395</v>
      </c>
      <c r="D107" s="39" t="n">
        <f aca="false">IF(B107&gt;$C$10,"",YEAR(C107))</f>
        <v>2032</v>
      </c>
      <c r="E107" s="40" t="n">
        <f aca="false">IF(B107&gt;$C$10,0,I106)</f>
        <v>15.4839211368095</v>
      </c>
      <c r="F107" s="40" t="n">
        <f aca="false">IF(B107&gt;$C$10,0,$C$12)</f>
        <v>2.26390199732841</v>
      </c>
      <c r="G107" s="40" t="n">
        <f aca="false">E107*$C$11</f>
        <v>0.0903228732980551</v>
      </c>
      <c r="H107" s="40" t="n">
        <f aca="false">F107-G107</f>
        <v>2.17357912403035</v>
      </c>
      <c r="I107" s="40" t="n">
        <f aca="false">E107-H107</f>
        <v>13.3103420127791</v>
      </c>
    </row>
    <row r="108" customFormat="false" ht="15" hidden="false" customHeight="false" outlineLevel="0" collapsed="false">
      <c r="B108" s="39" t="n">
        <f aca="false">B107+1</f>
        <v>79</v>
      </c>
      <c r="C108" s="38" t="n">
        <f aca="false">IF(B108&gt;$C$10,"",EDATE($C$13,(B108-1)*12/$C$9))</f>
        <v>48426</v>
      </c>
      <c r="D108" s="39" t="n">
        <f aca="false">IF(B108&gt;$C$10,"",YEAR(C108))</f>
        <v>2032</v>
      </c>
      <c r="E108" s="40" t="n">
        <f aca="false">IF(B108&gt;$C$10,0,I107)</f>
        <v>13.3103420127791</v>
      </c>
      <c r="F108" s="40" t="n">
        <f aca="false">IF(B108&gt;$C$10,0,$C$12)</f>
        <v>2.26390199732841</v>
      </c>
      <c r="G108" s="40" t="n">
        <f aca="false">E108*$C$11</f>
        <v>0.0776436617412114</v>
      </c>
      <c r="H108" s="40" t="n">
        <f aca="false">F108-G108</f>
        <v>2.1862583355872</v>
      </c>
      <c r="I108" s="40" t="n">
        <f aca="false">E108-H108</f>
        <v>11.1240836771919</v>
      </c>
    </row>
    <row r="109" customFormat="false" ht="15" hidden="false" customHeight="false" outlineLevel="0" collapsed="false">
      <c r="B109" s="39" t="n">
        <f aca="false">B108+1</f>
        <v>80</v>
      </c>
      <c r="C109" s="38" t="n">
        <f aca="false">IF(B109&gt;$C$10,"",EDATE($C$13,(B109-1)*12/$C$9))</f>
        <v>48457</v>
      </c>
      <c r="D109" s="39" t="n">
        <f aca="false">IF(B109&gt;$C$10,"",YEAR(C109))</f>
        <v>2032</v>
      </c>
      <c r="E109" s="40" t="n">
        <f aca="false">IF(B109&gt;$C$10,0,I108)</f>
        <v>11.1240836771919</v>
      </c>
      <c r="F109" s="40" t="n">
        <f aca="false">IF(B109&gt;$C$10,0,$C$12)</f>
        <v>2.26390199732841</v>
      </c>
      <c r="G109" s="40" t="n">
        <f aca="false">E109*$C$11</f>
        <v>0.0648904881169527</v>
      </c>
      <c r="H109" s="40" t="n">
        <f aca="false">F109-G109</f>
        <v>2.19901150921146</v>
      </c>
      <c r="I109" s="40" t="n">
        <f aca="false">E109-H109</f>
        <v>8.92507216798044</v>
      </c>
    </row>
    <row r="110" customFormat="false" ht="15" hidden="false" customHeight="false" outlineLevel="0" collapsed="false">
      <c r="B110" s="39" t="n">
        <f aca="false">B109+1</f>
        <v>81</v>
      </c>
      <c r="C110" s="38" t="n">
        <f aca="false">IF(B110&gt;$C$10,"",EDATE($C$13,(B110-1)*12/$C$9))</f>
        <v>48487</v>
      </c>
      <c r="D110" s="39" t="n">
        <f aca="false">IF(B110&gt;$C$10,"",YEAR(C110))</f>
        <v>2032</v>
      </c>
      <c r="E110" s="40" t="n">
        <f aca="false">IF(B110&gt;$C$10,0,I109)</f>
        <v>8.92507216798044</v>
      </c>
      <c r="F110" s="40" t="n">
        <f aca="false">IF(B110&gt;$C$10,0,$C$12)</f>
        <v>2.26390199732841</v>
      </c>
      <c r="G110" s="40" t="n">
        <f aca="false">E110*$C$11</f>
        <v>0.0520629209798859</v>
      </c>
      <c r="H110" s="40" t="n">
        <f aca="false">F110-G110</f>
        <v>2.21183907634852</v>
      </c>
      <c r="I110" s="40" t="n">
        <f aca="false">E110-H110</f>
        <v>6.71323309163192</v>
      </c>
    </row>
    <row r="111" customFormat="false" ht="15" hidden="false" customHeight="false" outlineLevel="0" collapsed="false">
      <c r="B111" s="39" t="n">
        <f aca="false">B110+1</f>
        <v>82</v>
      </c>
      <c r="C111" s="38" t="n">
        <f aca="false">IF(B111&gt;$C$10,"",EDATE($C$13,(B111-1)*12/$C$9))</f>
        <v>48518</v>
      </c>
      <c r="D111" s="39" t="n">
        <f aca="false">IF(B111&gt;$C$10,"",YEAR(C111))</f>
        <v>2032</v>
      </c>
      <c r="E111" s="40" t="n">
        <f aca="false">IF(B111&gt;$C$10,0,I110)</f>
        <v>6.71323309163192</v>
      </c>
      <c r="F111" s="40" t="n">
        <f aca="false">IF(B111&gt;$C$10,0,$C$12)</f>
        <v>2.26390199732841</v>
      </c>
      <c r="G111" s="40" t="n">
        <f aca="false">E111*$C$11</f>
        <v>0.0391605263678529</v>
      </c>
      <c r="H111" s="40" t="n">
        <f aca="false">F111-G111</f>
        <v>2.22474147096056</v>
      </c>
      <c r="I111" s="40" t="n">
        <f aca="false">E111-H111</f>
        <v>4.48849162067136</v>
      </c>
    </row>
    <row r="112" customFormat="false" ht="15" hidden="false" customHeight="false" outlineLevel="0" collapsed="false">
      <c r="B112" s="39" t="n">
        <f aca="false">B111+1</f>
        <v>83</v>
      </c>
      <c r="C112" s="38" t="n">
        <f aca="false">IF(B112&gt;$C$10,"",EDATE($C$13,(B112-1)*12/$C$9))</f>
        <v>48548</v>
      </c>
      <c r="D112" s="39" t="n">
        <f aca="false">IF(B112&gt;$C$10,"",YEAR(C112))</f>
        <v>2032</v>
      </c>
      <c r="E112" s="40" t="n">
        <f aca="false">IF(B112&gt;$C$10,0,I111)</f>
        <v>4.48849162067136</v>
      </c>
      <c r="F112" s="40" t="n">
        <f aca="false">IF(B112&gt;$C$10,0,$C$12)</f>
        <v>2.26390199732841</v>
      </c>
      <c r="G112" s="40" t="n">
        <f aca="false">E112*$C$11</f>
        <v>0.0261828677872496</v>
      </c>
      <c r="H112" s="40" t="n">
        <f aca="false">F112-G112</f>
        <v>2.23771912954116</v>
      </c>
      <c r="I112" s="40" t="n">
        <f aca="false">E112-H112</f>
        <v>2.2507724911302</v>
      </c>
    </row>
    <row r="113" customFormat="false" ht="15" hidden="false" customHeight="false" outlineLevel="0" collapsed="false">
      <c r="B113" s="39" t="n">
        <f aca="false">B112+1</f>
        <v>84</v>
      </c>
      <c r="C113" s="38" t="n">
        <f aca="false">IF(B113&gt;$C$10,"",EDATE($C$13,(B113-1)*12/$C$9))</f>
        <v>48579</v>
      </c>
      <c r="D113" s="39" t="n">
        <f aca="false">IF(B113&gt;$C$10,"",YEAR(C113))</f>
        <v>2032</v>
      </c>
      <c r="E113" s="40" t="n">
        <f aca="false">IF(B113&gt;$C$10,0,I112)</f>
        <v>2.2507724911302</v>
      </c>
      <c r="F113" s="40" t="n">
        <f aca="false">IF(B113&gt;$C$10,0,$C$12)</f>
        <v>2.26390199732841</v>
      </c>
      <c r="G113" s="40" t="n">
        <f aca="false">E113*$C$11</f>
        <v>0.0131295061982595</v>
      </c>
      <c r="H113" s="40" t="n">
        <f aca="false">F113-G113</f>
        <v>2.25077249113015</v>
      </c>
      <c r="I113" s="40" t="n">
        <f aca="false">E113-H113</f>
        <v>5.41788836017076E-014</v>
      </c>
    </row>
    <row r="114" customFormat="false" ht="15" hidden="false" customHeight="false" outlineLevel="0" collapsed="false">
      <c r="B114" s="39" t="n">
        <f aca="false">B113+1</f>
        <v>85</v>
      </c>
      <c r="C114" s="38" t="str">
        <f aca="false">IF(B114&gt;$C$10,"",EDATE($C$13,(B114-1)*12/$C$9))</f>
        <v/>
      </c>
      <c r="D114" s="39" t="str">
        <f aca="false">IF(B114&gt;$C$10,"",YEAR(C114))</f>
        <v/>
      </c>
      <c r="E114" s="40" t="n">
        <f aca="false">IF(B114&gt;$C$10,0,I113)</f>
        <v>0</v>
      </c>
      <c r="F114" s="40" t="n">
        <f aca="false">IF(B114&gt;$C$10,0,$C$12)</f>
        <v>0</v>
      </c>
      <c r="G114" s="40" t="n">
        <f aca="false">E114*$C$11</f>
        <v>0</v>
      </c>
      <c r="H114" s="40" t="n">
        <f aca="false">F114-G114</f>
        <v>0</v>
      </c>
      <c r="I114" s="40" t="n">
        <f aca="false">E114-H114</f>
        <v>0</v>
      </c>
    </row>
    <row r="115" customFormat="false" ht="15" hidden="false" customHeight="false" outlineLevel="0" collapsed="false">
      <c r="B115" s="39" t="n">
        <f aca="false">B114+1</f>
        <v>86</v>
      </c>
      <c r="C115" s="38" t="str">
        <f aca="false">IF(B115&gt;$C$10,"",EDATE($C$13,(B115-1)*12/$C$9))</f>
        <v/>
      </c>
      <c r="D115" s="39" t="str">
        <f aca="false">IF(B115&gt;$C$10,"",YEAR(C115))</f>
        <v/>
      </c>
      <c r="E115" s="40" t="n">
        <f aca="false">IF(B115&gt;$C$10,0,I114)</f>
        <v>0</v>
      </c>
      <c r="F115" s="40" t="n">
        <f aca="false">IF(B115&gt;$C$10,0,$C$12)</f>
        <v>0</v>
      </c>
      <c r="G115" s="40" t="n">
        <f aca="false">E115*$C$11</f>
        <v>0</v>
      </c>
      <c r="H115" s="40" t="n">
        <f aca="false">F115-G115</f>
        <v>0</v>
      </c>
      <c r="I115" s="40" t="n">
        <f aca="false">E115-H115</f>
        <v>0</v>
      </c>
    </row>
    <row r="116" customFormat="false" ht="15" hidden="false" customHeight="false" outlineLevel="0" collapsed="false">
      <c r="B116" s="39" t="n">
        <f aca="false">B115+1</f>
        <v>87</v>
      </c>
      <c r="C116" s="38" t="str">
        <f aca="false">IF(B116&gt;$C$10,"",EDATE($C$13,(B116-1)*12/$C$9))</f>
        <v/>
      </c>
      <c r="D116" s="39" t="str">
        <f aca="false">IF(B116&gt;$C$10,"",YEAR(C116))</f>
        <v/>
      </c>
      <c r="E116" s="40" t="n">
        <f aca="false">IF(B116&gt;$C$10,0,I115)</f>
        <v>0</v>
      </c>
      <c r="F116" s="40" t="n">
        <f aca="false">IF(B116&gt;$C$10,0,$C$12)</f>
        <v>0</v>
      </c>
      <c r="G116" s="40" t="n">
        <f aca="false">E116*$C$11</f>
        <v>0</v>
      </c>
      <c r="H116" s="40" t="n">
        <f aca="false">F116-G116</f>
        <v>0</v>
      </c>
      <c r="I116" s="40" t="n">
        <f aca="false">E116-H116</f>
        <v>0</v>
      </c>
    </row>
    <row r="117" customFormat="false" ht="15" hidden="false" customHeight="false" outlineLevel="0" collapsed="false">
      <c r="B117" s="39" t="n">
        <f aca="false">B116+1</f>
        <v>88</v>
      </c>
      <c r="C117" s="38" t="str">
        <f aca="false">IF(B117&gt;$C$10,"",EDATE($C$13,(B117-1)*12/$C$9))</f>
        <v/>
      </c>
      <c r="D117" s="39" t="str">
        <f aca="false">IF(B117&gt;$C$10,"",YEAR(C117))</f>
        <v/>
      </c>
      <c r="E117" s="40" t="n">
        <f aca="false">IF(B117&gt;$C$10,0,I116)</f>
        <v>0</v>
      </c>
      <c r="F117" s="40" t="n">
        <f aca="false">IF(B117&gt;$C$10,0,$C$12)</f>
        <v>0</v>
      </c>
      <c r="G117" s="40" t="n">
        <f aca="false">E117*$C$11</f>
        <v>0</v>
      </c>
      <c r="H117" s="40" t="n">
        <f aca="false">F117-G117</f>
        <v>0</v>
      </c>
      <c r="I117" s="40" t="n">
        <f aca="false">E117-H117</f>
        <v>0</v>
      </c>
    </row>
    <row r="118" customFormat="false" ht="15" hidden="false" customHeight="false" outlineLevel="0" collapsed="false">
      <c r="B118" s="39" t="n">
        <f aca="false">B117+1</f>
        <v>89</v>
      </c>
      <c r="C118" s="38" t="str">
        <f aca="false">IF(B118&gt;$C$10,"",EDATE($C$13,(B118-1)*12/$C$9))</f>
        <v/>
      </c>
      <c r="D118" s="39" t="str">
        <f aca="false">IF(B118&gt;$C$10,"",YEAR(C118))</f>
        <v/>
      </c>
      <c r="E118" s="40" t="n">
        <f aca="false">IF(B118&gt;$C$10,0,I117)</f>
        <v>0</v>
      </c>
      <c r="F118" s="40" t="n">
        <f aca="false">IF(B118&gt;$C$10,0,$C$12)</f>
        <v>0</v>
      </c>
      <c r="G118" s="40" t="n">
        <f aca="false">E118*$C$11</f>
        <v>0</v>
      </c>
      <c r="H118" s="40" t="n">
        <f aca="false">F118-G118</f>
        <v>0</v>
      </c>
      <c r="I118" s="40" t="n">
        <f aca="false">E118-H118</f>
        <v>0</v>
      </c>
    </row>
    <row r="119" customFormat="false" ht="15" hidden="false" customHeight="false" outlineLevel="0" collapsed="false">
      <c r="B119" s="39" t="n">
        <f aca="false">B118+1</f>
        <v>90</v>
      </c>
      <c r="C119" s="38" t="str">
        <f aca="false">IF(B119&gt;$C$10,"",EDATE($C$13,(B119-1)*12/$C$9))</f>
        <v/>
      </c>
      <c r="D119" s="39" t="str">
        <f aca="false">IF(B119&gt;$C$10,"",YEAR(C119))</f>
        <v/>
      </c>
      <c r="E119" s="40" t="n">
        <f aca="false">IF(B119&gt;$C$10,0,I118)</f>
        <v>0</v>
      </c>
      <c r="F119" s="40" t="n">
        <f aca="false">IF(B119&gt;$C$10,0,$C$12)</f>
        <v>0</v>
      </c>
      <c r="G119" s="40" t="n">
        <f aca="false">E119*$C$11</f>
        <v>0</v>
      </c>
      <c r="H119" s="40" t="n">
        <f aca="false">F119-G119</f>
        <v>0</v>
      </c>
      <c r="I119" s="40" t="n">
        <f aca="false">E119-H119</f>
        <v>0</v>
      </c>
    </row>
    <row r="120" customFormat="false" ht="15" hidden="false" customHeight="false" outlineLevel="0" collapsed="false">
      <c r="B120" s="39" t="n">
        <f aca="false">B119+1</f>
        <v>91</v>
      </c>
      <c r="C120" s="38" t="str">
        <f aca="false">IF(B120&gt;$C$10,"",EDATE($C$13,(B120-1)*12/$C$9))</f>
        <v/>
      </c>
      <c r="D120" s="39" t="str">
        <f aca="false">IF(B120&gt;$C$10,"",YEAR(C120))</f>
        <v/>
      </c>
      <c r="E120" s="40" t="n">
        <f aca="false">IF(B120&gt;$C$10,0,I119)</f>
        <v>0</v>
      </c>
      <c r="F120" s="40" t="n">
        <f aca="false">IF(B120&gt;$C$10,0,$C$12)</f>
        <v>0</v>
      </c>
      <c r="G120" s="40" t="n">
        <f aca="false">E120*$C$11</f>
        <v>0</v>
      </c>
      <c r="H120" s="40" t="n">
        <f aca="false">F120-G120</f>
        <v>0</v>
      </c>
      <c r="I120" s="40" t="n">
        <f aca="false">E120-H120</f>
        <v>0</v>
      </c>
    </row>
    <row r="121" customFormat="false" ht="15" hidden="false" customHeight="false" outlineLevel="0" collapsed="false">
      <c r="B121" s="39" t="n">
        <f aca="false">B120+1</f>
        <v>92</v>
      </c>
      <c r="C121" s="38" t="str">
        <f aca="false">IF(B121&gt;$C$10,"",EDATE($C$13,(B121-1)*12/$C$9))</f>
        <v/>
      </c>
      <c r="D121" s="39" t="str">
        <f aca="false">IF(B121&gt;$C$10,"",YEAR(C121))</f>
        <v/>
      </c>
      <c r="E121" s="40" t="n">
        <f aca="false">IF(B121&gt;$C$10,0,I120)</f>
        <v>0</v>
      </c>
      <c r="F121" s="40" t="n">
        <f aca="false">IF(B121&gt;$C$10,0,$C$12)</f>
        <v>0</v>
      </c>
      <c r="G121" s="40" t="n">
        <f aca="false">E121*$C$11</f>
        <v>0</v>
      </c>
      <c r="H121" s="40" t="n">
        <f aca="false">F121-G121</f>
        <v>0</v>
      </c>
      <c r="I121" s="40" t="n">
        <f aca="false">E121-H121</f>
        <v>0</v>
      </c>
    </row>
    <row r="122" customFormat="false" ht="15" hidden="false" customHeight="false" outlineLevel="0" collapsed="false">
      <c r="B122" s="39" t="n">
        <f aca="false">B121+1</f>
        <v>93</v>
      </c>
      <c r="C122" s="38" t="str">
        <f aca="false">IF(B122&gt;$C$10,"",EDATE($C$13,(B122-1)*12/$C$9))</f>
        <v/>
      </c>
      <c r="D122" s="39" t="str">
        <f aca="false">IF(B122&gt;$C$10,"",YEAR(C122))</f>
        <v/>
      </c>
      <c r="E122" s="40" t="n">
        <f aca="false">IF(B122&gt;$C$10,0,I121)</f>
        <v>0</v>
      </c>
      <c r="F122" s="40" t="n">
        <f aca="false">IF(B122&gt;$C$10,0,$C$12)</f>
        <v>0</v>
      </c>
      <c r="G122" s="40" t="n">
        <f aca="false">E122*$C$11</f>
        <v>0</v>
      </c>
      <c r="H122" s="40" t="n">
        <f aca="false">F122-G122</f>
        <v>0</v>
      </c>
      <c r="I122" s="40" t="n">
        <f aca="false">E122-H122</f>
        <v>0</v>
      </c>
    </row>
    <row r="123" customFormat="false" ht="15" hidden="false" customHeight="false" outlineLevel="0" collapsed="false">
      <c r="B123" s="39" t="n">
        <f aca="false">B122+1</f>
        <v>94</v>
      </c>
      <c r="C123" s="38" t="str">
        <f aca="false">IF(B123&gt;$C$10,"",EDATE($C$13,(B123-1)*12/$C$9))</f>
        <v/>
      </c>
      <c r="D123" s="39" t="str">
        <f aca="false">IF(B123&gt;$C$10,"",YEAR(C123))</f>
        <v/>
      </c>
      <c r="E123" s="40" t="n">
        <f aca="false">IF(B123&gt;$C$10,0,I122)</f>
        <v>0</v>
      </c>
      <c r="F123" s="40" t="n">
        <f aca="false">IF(B123&gt;$C$10,0,$C$12)</f>
        <v>0</v>
      </c>
      <c r="G123" s="40" t="n">
        <f aca="false">E123*$C$11</f>
        <v>0</v>
      </c>
      <c r="H123" s="40" t="n">
        <f aca="false">F123-G123</f>
        <v>0</v>
      </c>
      <c r="I123" s="40" t="n">
        <f aca="false">E123-H123</f>
        <v>0</v>
      </c>
    </row>
    <row r="124" customFormat="false" ht="15" hidden="false" customHeight="false" outlineLevel="0" collapsed="false">
      <c r="B124" s="39" t="n">
        <f aca="false">B123+1</f>
        <v>95</v>
      </c>
      <c r="C124" s="38" t="str">
        <f aca="false">IF(B124&gt;$C$10,"",EDATE($C$13,(B124-1)*12/$C$9))</f>
        <v/>
      </c>
      <c r="D124" s="39" t="str">
        <f aca="false">IF(B124&gt;$C$10,"",YEAR(C124))</f>
        <v/>
      </c>
      <c r="E124" s="40" t="n">
        <f aca="false">IF(B124&gt;$C$10,0,I123)</f>
        <v>0</v>
      </c>
      <c r="F124" s="40" t="n">
        <f aca="false">IF(B124&gt;$C$10,0,$C$12)</f>
        <v>0</v>
      </c>
      <c r="G124" s="40" t="n">
        <f aca="false">E124*$C$11</f>
        <v>0</v>
      </c>
      <c r="H124" s="40" t="n">
        <f aca="false">F124-G124</f>
        <v>0</v>
      </c>
      <c r="I124" s="40" t="n">
        <f aca="false">E124-H124</f>
        <v>0</v>
      </c>
    </row>
    <row r="125" customFormat="false" ht="15" hidden="false" customHeight="false" outlineLevel="0" collapsed="false">
      <c r="B125" s="39" t="n">
        <f aca="false">B124+1</f>
        <v>96</v>
      </c>
      <c r="C125" s="38" t="str">
        <f aca="false">IF(B125&gt;$C$10,"",EDATE($C$13,(B125-1)*12/$C$9))</f>
        <v/>
      </c>
      <c r="D125" s="39" t="str">
        <f aca="false">IF(B125&gt;$C$10,"",YEAR(C125))</f>
        <v/>
      </c>
      <c r="E125" s="40" t="n">
        <f aca="false">IF(B125&gt;$C$10,0,I124)</f>
        <v>0</v>
      </c>
      <c r="F125" s="40" t="n">
        <f aca="false">IF(B125&gt;$C$10,0,$C$12)</f>
        <v>0</v>
      </c>
      <c r="G125" s="40" t="n">
        <f aca="false">E125*$C$11</f>
        <v>0</v>
      </c>
      <c r="H125" s="40" t="n">
        <f aca="false">F125-G125</f>
        <v>0</v>
      </c>
      <c r="I125" s="40" t="n">
        <f aca="false">E125-H125</f>
        <v>0</v>
      </c>
    </row>
    <row r="126" customFormat="false" ht="15" hidden="false" customHeight="false" outlineLevel="0" collapsed="false">
      <c r="B126" s="39" t="n">
        <f aca="false">B125+1</f>
        <v>97</v>
      </c>
      <c r="C126" s="38" t="str">
        <f aca="false">IF(B126&gt;$C$10,"",EDATE($C$13,(B126-1)*12/$C$9))</f>
        <v/>
      </c>
      <c r="D126" s="39" t="str">
        <f aca="false">IF(B126&gt;$C$10,"",YEAR(C126))</f>
        <v/>
      </c>
      <c r="E126" s="40" t="n">
        <f aca="false">IF(B126&gt;$C$10,0,I125)</f>
        <v>0</v>
      </c>
      <c r="F126" s="40" t="n">
        <f aca="false">IF(B126&gt;$C$10,0,$C$12)</f>
        <v>0</v>
      </c>
      <c r="G126" s="40" t="n">
        <f aca="false">E126*$C$11</f>
        <v>0</v>
      </c>
      <c r="H126" s="40" t="n">
        <f aca="false">F126-G126</f>
        <v>0</v>
      </c>
      <c r="I126" s="40" t="n">
        <f aca="false">E126-H126</f>
        <v>0</v>
      </c>
    </row>
    <row r="127" customFormat="false" ht="15" hidden="false" customHeight="false" outlineLevel="0" collapsed="false">
      <c r="B127" s="39" t="n">
        <f aca="false">B126+1</f>
        <v>98</v>
      </c>
      <c r="C127" s="38" t="str">
        <f aca="false">IF(B127&gt;$C$10,"",EDATE($C$13,(B127-1)*12/$C$9))</f>
        <v/>
      </c>
      <c r="D127" s="39" t="str">
        <f aca="false">IF(B127&gt;$C$10,"",YEAR(C127))</f>
        <v/>
      </c>
      <c r="E127" s="40" t="n">
        <f aca="false">IF(B127&gt;$C$10,0,I126)</f>
        <v>0</v>
      </c>
      <c r="F127" s="40" t="n">
        <f aca="false">IF(B127&gt;$C$10,0,$C$12)</f>
        <v>0</v>
      </c>
      <c r="G127" s="40" t="n">
        <f aca="false">E127*$C$11</f>
        <v>0</v>
      </c>
      <c r="H127" s="40" t="n">
        <f aca="false">F127-G127</f>
        <v>0</v>
      </c>
      <c r="I127" s="40" t="n">
        <f aca="false">E127-H127</f>
        <v>0</v>
      </c>
    </row>
    <row r="128" customFormat="false" ht="15" hidden="false" customHeight="false" outlineLevel="0" collapsed="false">
      <c r="B128" s="39" t="n">
        <f aca="false">B127+1</f>
        <v>99</v>
      </c>
      <c r="C128" s="38" t="str">
        <f aca="false">IF(B128&gt;$C$10,"",EDATE($C$13,(B128-1)*12/$C$9))</f>
        <v/>
      </c>
      <c r="D128" s="39" t="str">
        <f aca="false">IF(B128&gt;$C$10,"",YEAR(C128))</f>
        <v/>
      </c>
      <c r="E128" s="40" t="n">
        <f aca="false">IF(B128&gt;$C$10,0,I127)</f>
        <v>0</v>
      </c>
      <c r="F128" s="40" t="n">
        <f aca="false">IF(B128&gt;$C$10,0,$C$12)</f>
        <v>0</v>
      </c>
      <c r="G128" s="40" t="n">
        <f aca="false">E128*$C$11</f>
        <v>0</v>
      </c>
      <c r="H128" s="40" t="n">
        <f aca="false">F128-G128</f>
        <v>0</v>
      </c>
      <c r="I128" s="40" t="n">
        <f aca="false">E128-H128</f>
        <v>0</v>
      </c>
    </row>
    <row r="129" customFormat="false" ht="15" hidden="false" customHeight="false" outlineLevel="0" collapsed="false">
      <c r="B129" s="39" t="n">
        <f aca="false">B128+1</f>
        <v>100</v>
      </c>
      <c r="C129" s="38" t="str">
        <f aca="false">IF(B129&gt;$C$10,"",EDATE($C$13,(B129-1)*12/$C$9))</f>
        <v/>
      </c>
      <c r="D129" s="39" t="str">
        <f aca="false">IF(B129&gt;$C$10,"",YEAR(C129))</f>
        <v/>
      </c>
      <c r="E129" s="40" t="n">
        <f aca="false">IF(B129&gt;$C$10,0,I128)</f>
        <v>0</v>
      </c>
      <c r="F129" s="40" t="n">
        <f aca="false">IF(B129&gt;$C$10,0,$C$12)</f>
        <v>0</v>
      </c>
      <c r="G129" s="40" t="n">
        <f aca="false">E129*$C$11</f>
        <v>0</v>
      </c>
      <c r="H129" s="40" t="n">
        <f aca="false">F129-G129</f>
        <v>0</v>
      </c>
      <c r="I129" s="40" t="n">
        <f aca="false">E129-H129</f>
        <v>0</v>
      </c>
    </row>
    <row r="130" customFormat="false" ht="15" hidden="false" customHeight="false" outlineLevel="0" collapsed="false">
      <c r="B130" s="39" t="n">
        <f aca="false">B129+1</f>
        <v>101</v>
      </c>
      <c r="C130" s="38" t="str">
        <f aca="false">IF(B130&gt;$C$10,"",EDATE($C$13,(B130-1)*12/$C$9))</f>
        <v/>
      </c>
      <c r="D130" s="39" t="str">
        <f aca="false">IF(B130&gt;$C$10,"",YEAR(C130))</f>
        <v/>
      </c>
      <c r="E130" s="40" t="n">
        <f aca="false">IF(B130&gt;$C$10,0,I129)</f>
        <v>0</v>
      </c>
      <c r="F130" s="40" t="n">
        <f aca="false">IF(B130&gt;$C$10,0,$C$12)</f>
        <v>0</v>
      </c>
      <c r="G130" s="40" t="n">
        <f aca="false">E130*$C$11</f>
        <v>0</v>
      </c>
      <c r="H130" s="40" t="n">
        <f aca="false">F130-G130</f>
        <v>0</v>
      </c>
      <c r="I130" s="40" t="n">
        <f aca="false">E130-H130</f>
        <v>0</v>
      </c>
    </row>
    <row r="131" customFormat="false" ht="15" hidden="false" customHeight="false" outlineLevel="0" collapsed="false">
      <c r="B131" s="39" t="n">
        <f aca="false">B130+1</f>
        <v>102</v>
      </c>
      <c r="C131" s="38" t="str">
        <f aca="false">IF(B131&gt;$C$10,"",EDATE($C$13,(B131-1)*12/$C$9))</f>
        <v/>
      </c>
      <c r="D131" s="39" t="str">
        <f aca="false">IF(B131&gt;$C$10,"",YEAR(C131))</f>
        <v/>
      </c>
      <c r="E131" s="40" t="n">
        <f aca="false">IF(B131&gt;$C$10,0,I130)</f>
        <v>0</v>
      </c>
      <c r="F131" s="40" t="n">
        <f aca="false">IF(B131&gt;$C$10,0,$C$12)</f>
        <v>0</v>
      </c>
      <c r="G131" s="40" t="n">
        <f aca="false">E131*$C$11</f>
        <v>0</v>
      </c>
      <c r="H131" s="40" t="n">
        <f aca="false">F131-G131</f>
        <v>0</v>
      </c>
      <c r="I131" s="40" t="n">
        <f aca="false">E131-H131</f>
        <v>0</v>
      </c>
    </row>
    <row r="132" customFormat="false" ht="15" hidden="false" customHeight="false" outlineLevel="0" collapsed="false">
      <c r="B132" s="39" t="n">
        <f aca="false">B131+1</f>
        <v>103</v>
      </c>
      <c r="C132" s="38" t="str">
        <f aca="false">IF(B132&gt;$C$10,"",EDATE($C$13,(B132-1)*12/$C$9))</f>
        <v/>
      </c>
      <c r="D132" s="39" t="str">
        <f aca="false">IF(B132&gt;$C$10,"",YEAR(C132))</f>
        <v/>
      </c>
      <c r="E132" s="40" t="n">
        <f aca="false">IF(B132&gt;$C$10,0,I131)</f>
        <v>0</v>
      </c>
      <c r="F132" s="40" t="n">
        <f aca="false">IF(B132&gt;$C$10,0,$C$12)</f>
        <v>0</v>
      </c>
      <c r="G132" s="40" t="n">
        <f aca="false">E132*$C$11</f>
        <v>0</v>
      </c>
      <c r="H132" s="40" t="n">
        <f aca="false">F132-G132</f>
        <v>0</v>
      </c>
      <c r="I132" s="40" t="n">
        <f aca="false">E132-H132</f>
        <v>0</v>
      </c>
    </row>
    <row r="133" customFormat="false" ht="15" hidden="false" customHeight="false" outlineLevel="0" collapsed="false">
      <c r="B133" s="39" t="n">
        <f aca="false">B132+1</f>
        <v>104</v>
      </c>
      <c r="C133" s="38" t="str">
        <f aca="false">IF(B133&gt;$C$10,"",EDATE($C$13,(B133-1)*12/$C$9))</f>
        <v/>
      </c>
      <c r="D133" s="39" t="str">
        <f aca="false">IF(B133&gt;$C$10,"",YEAR(C133))</f>
        <v/>
      </c>
      <c r="E133" s="40" t="n">
        <f aca="false">IF(B133&gt;$C$10,0,I132)</f>
        <v>0</v>
      </c>
      <c r="F133" s="40" t="n">
        <f aca="false">IF(B133&gt;$C$10,0,$C$12)</f>
        <v>0</v>
      </c>
      <c r="G133" s="40" t="n">
        <f aca="false">E133*$C$11</f>
        <v>0</v>
      </c>
      <c r="H133" s="40" t="n">
        <f aca="false">F133-G133</f>
        <v>0</v>
      </c>
      <c r="I133" s="40" t="n">
        <f aca="false">E133-H133</f>
        <v>0</v>
      </c>
    </row>
    <row r="134" customFormat="false" ht="15" hidden="false" customHeight="false" outlineLevel="0" collapsed="false">
      <c r="B134" s="39" t="n">
        <f aca="false">B133+1</f>
        <v>105</v>
      </c>
      <c r="C134" s="38" t="str">
        <f aca="false">IF(B134&gt;$C$10,"",EDATE($C$13,(B134-1)*12/$C$9))</f>
        <v/>
      </c>
      <c r="D134" s="39" t="str">
        <f aca="false">IF(B134&gt;$C$10,"",YEAR(C134))</f>
        <v/>
      </c>
      <c r="E134" s="40" t="n">
        <f aca="false">IF(B134&gt;$C$10,0,I133)</f>
        <v>0</v>
      </c>
      <c r="F134" s="40" t="n">
        <f aca="false">IF(B134&gt;$C$10,0,$C$12)</f>
        <v>0</v>
      </c>
      <c r="G134" s="40" t="n">
        <f aca="false">E134*$C$11</f>
        <v>0</v>
      </c>
      <c r="H134" s="40" t="n">
        <f aca="false">F134-G134</f>
        <v>0</v>
      </c>
      <c r="I134" s="40" t="n">
        <f aca="false">E134-H134</f>
        <v>0</v>
      </c>
    </row>
    <row r="135" customFormat="false" ht="15" hidden="false" customHeight="false" outlineLevel="0" collapsed="false">
      <c r="B135" s="39" t="n">
        <f aca="false">B134+1</f>
        <v>106</v>
      </c>
      <c r="C135" s="38" t="str">
        <f aca="false">IF(B135&gt;$C$10,"",EDATE($C$13,(B135-1)*12/$C$9))</f>
        <v/>
      </c>
      <c r="D135" s="39" t="str">
        <f aca="false">IF(B135&gt;$C$10,"",YEAR(C135))</f>
        <v/>
      </c>
      <c r="E135" s="40" t="n">
        <f aca="false">IF(B135&gt;$C$10,0,I134)</f>
        <v>0</v>
      </c>
      <c r="F135" s="40" t="n">
        <f aca="false">IF(B135&gt;$C$10,0,$C$12)</f>
        <v>0</v>
      </c>
      <c r="G135" s="40" t="n">
        <f aca="false">E135*$C$11</f>
        <v>0</v>
      </c>
      <c r="H135" s="40" t="n">
        <f aca="false">F135-G135</f>
        <v>0</v>
      </c>
      <c r="I135" s="40" t="n">
        <f aca="false">E135-H135</f>
        <v>0</v>
      </c>
    </row>
    <row r="136" customFormat="false" ht="15" hidden="false" customHeight="false" outlineLevel="0" collapsed="false">
      <c r="B136" s="39" t="n">
        <f aca="false">B135+1</f>
        <v>107</v>
      </c>
      <c r="C136" s="38" t="str">
        <f aca="false">IF(B136&gt;$C$10,"",EDATE($C$13,(B136-1)*12/$C$9))</f>
        <v/>
      </c>
      <c r="D136" s="39" t="str">
        <f aca="false">IF(B136&gt;$C$10,"",YEAR(C136))</f>
        <v/>
      </c>
      <c r="E136" s="40" t="n">
        <f aca="false">IF(B136&gt;$C$10,0,I135)</f>
        <v>0</v>
      </c>
      <c r="F136" s="40" t="n">
        <f aca="false">IF(B136&gt;$C$10,0,$C$12)</f>
        <v>0</v>
      </c>
      <c r="G136" s="40" t="n">
        <f aca="false">E136*$C$11</f>
        <v>0</v>
      </c>
      <c r="H136" s="40" t="n">
        <f aca="false">F136-G136</f>
        <v>0</v>
      </c>
      <c r="I136" s="40" t="n">
        <f aca="false">E136-H136</f>
        <v>0</v>
      </c>
    </row>
    <row r="137" customFormat="false" ht="15" hidden="false" customHeight="false" outlineLevel="0" collapsed="false">
      <c r="B137" s="39" t="n">
        <f aca="false">B136+1</f>
        <v>108</v>
      </c>
      <c r="C137" s="38" t="str">
        <f aca="false">IF(B137&gt;$C$10,"",EDATE($C$13,(B137-1)*12/$C$9))</f>
        <v/>
      </c>
      <c r="D137" s="39" t="str">
        <f aca="false">IF(B137&gt;$C$10,"",YEAR(C137))</f>
        <v/>
      </c>
      <c r="E137" s="40" t="n">
        <f aca="false">IF(B137&gt;$C$10,0,I136)</f>
        <v>0</v>
      </c>
      <c r="F137" s="40" t="n">
        <f aca="false">IF(B137&gt;$C$10,0,$C$12)</f>
        <v>0</v>
      </c>
      <c r="G137" s="40" t="n">
        <f aca="false">E137*$C$11</f>
        <v>0</v>
      </c>
      <c r="H137" s="40" t="n">
        <f aca="false">F137-G137</f>
        <v>0</v>
      </c>
      <c r="I137" s="40" t="n">
        <f aca="false">E137-H137</f>
        <v>0</v>
      </c>
    </row>
    <row r="138" customFormat="false" ht="15" hidden="false" customHeight="false" outlineLevel="0" collapsed="false">
      <c r="B138" s="39" t="n">
        <f aca="false">B137+1</f>
        <v>109</v>
      </c>
      <c r="C138" s="38" t="str">
        <f aca="false">IF(B138&gt;$C$10,"",EDATE($C$13,(B138-1)*12/$C$9))</f>
        <v/>
      </c>
      <c r="D138" s="39" t="str">
        <f aca="false">IF(B138&gt;$C$10,"",YEAR(C138))</f>
        <v/>
      </c>
      <c r="E138" s="40" t="n">
        <f aca="false">IF(B138&gt;$C$10,0,I137)</f>
        <v>0</v>
      </c>
      <c r="F138" s="40" t="n">
        <f aca="false">IF(B138&gt;$C$10,0,$C$12)</f>
        <v>0</v>
      </c>
      <c r="G138" s="40" t="n">
        <f aca="false">E138*$C$11</f>
        <v>0</v>
      </c>
      <c r="H138" s="40" t="n">
        <f aca="false">F138-G138</f>
        <v>0</v>
      </c>
      <c r="I138" s="40" t="n">
        <f aca="false">E138-H138</f>
        <v>0</v>
      </c>
    </row>
    <row r="139" customFormat="false" ht="15" hidden="false" customHeight="false" outlineLevel="0" collapsed="false">
      <c r="B139" s="39" t="n">
        <f aca="false">B138+1</f>
        <v>110</v>
      </c>
      <c r="C139" s="38" t="str">
        <f aca="false">IF(B139&gt;$C$10,"",EDATE($C$13,(B139-1)*12/$C$9))</f>
        <v/>
      </c>
      <c r="D139" s="39" t="str">
        <f aca="false">IF(B139&gt;$C$10,"",YEAR(C139))</f>
        <v/>
      </c>
      <c r="E139" s="40" t="n">
        <f aca="false">IF(B139&gt;$C$10,0,I138)</f>
        <v>0</v>
      </c>
      <c r="F139" s="40" t="n">
        <f aca="false">IF(B139&gt;$C$10,0,$C$12)</f>
        <v>0</v>
      </c>
      <c r="G139" s="40" t="n">
        <f aca="false">E139*$C$11</f>
        <v>0</v>
      </c>
      <c r="H139" s="40" t="n">
        <f aca="false">F139-G139</f>
        <v>0</v>
      </c>
      <c r="I139" s="40" t="n">
        <f aca="false">E139-H139</f>
        <v>0</v>
      </c>
    </row>
    <row r="140" customFormat="false" ht="15" hidden="false" customHeight="false" outlineLevel="0" collapsed="false">
      <c r="B140" s="39" t="n">
        <f aca="false">B139+1</f>
        <v>111</v>
      </c>
      <c r="C140" s="38" t="str">
        <f aca="false">IF(B140&gt;$C$10,"",EDATE($C$13,(B140-1)*12/$C$9))</f>
        <v/>
      </c>
      <c r="D140" s="39" t="str">
        <f aca="false">IF(B140&gt;$C$10,"",YEAR(C140))</f>
        <v/>
      </c>
      <c r="E140" s="40" t="n">
        <f aca="false">IF(B140&gt;$C$10,0,I139)</f>
        <v>0</v>
      </c>
      <c r="F140" s="40" t="n">
        <f aca="false">IF(B140&gt;$C$10,0,$C$12)</f>
        <v>0</v>
      </c>
      <c r="G140" s="40" t="n">
        <f aca="false">E140*$C$11</f>
        <v>0</v>
      </c>
      <c r="H140" s="40" t="n">
        <f aca="false">F140-G140</f>
        <v>0</v>
      </c>
      <c r="I140" s="40" t="n">
        <f aca="false">E140-H140</f>
        <v>0</v>
      </c>
    </row>
    <row r="141" customFormat="false" ht="15" hidden="false" customHeight="false" outlineLevel="0" collapsed="false">
      <c r="B141" s="39" t="n">
        <f aca="false">B140+1</f>
        <v>112</v>
      </c>
      <c r="C141" s="38" t="str">
        <f aca="false">IF(B141&gt;$C$10,"",EDATE($C$13,(B141-1)*12/$C$9))</f>
        <v/>
      </c>
      <c r="D141" s="39" t="str">
        <f aca="false">IF(B141&gt;$C$10,"",YEAR(C141))</f>
        <v/>
      </c>
      <c r="E141" s="40" t="n">
        <f aca="false">IF(B141&gt;$C$10,0,I140)</f>
        <v>0</v>
      </c>
      <c r="F141" s="40" t="n">
        <f aca="false">IF(B141&gt;$C$10,0,$C$12)</f>
        <v>0</v>
      </c>
      <c r="G141" s="40" t="n">
        <f aca="false">E141*$C$11</f>
        <v>0</v>
      </c>
      <c r="H141" s="40" t="n">
        <f aca="false">F141-G141</f>
        <v>0</v>
      </c>
      <c r="I141" s="40" t="n">
        <f aca="false">E141-H141</f>
        <v>0</v>
      </c>
    </row>
    <row r="142" customFormat="false" ht="15" hidden="false" customHeight="false" outlineLevel="0" collapsed="false">
      <c r="B142" s="39" t="n">
        <f aca="false">B141+1</f>
        <v>113</v>
      </c>
      <c r="C142" s="38" t="str">
        <f aca="false">IF(B142&gt;$C$10,"",EDATE($C$13,(B142-1)*12/$C$9))</f>
        <v/>
      </c>
      <c r="D142" s="39" t="str">
        <f aca="false">IF(B142&gt;$C$10,"",YEAR(C142))</f>
        <v/>
      </c>
      <c r="E142" s="40" t="n">
        <f aca="false">IF(B142&gt;$C$10,0,I141)</f>
        <v>0</v>
      </c>
      <c r="F142" s="40" t="n">
        <f aca="false">IF(B142&gt;$C$10,0,$C$12)</f>
        <v>0</v>
      </c>
      <c r="G142" s="40" t="n">
        <f aca="false">E142*$C$11</f>
        <v>0</v>
      </c>
      <c r="H142" s="40" t="n">
        <f aca="false">F142-G142</f>
        <v>0</v>
      </c>
      <c r="I142" s="40" t="n">
        <f aca="false">E142-H142</f>
        <v>0</v>
      </c>
    </row>
    <row r="143" customFormat="false" ht="15" hidden="false" customHeight="false" outlineLevel="0" collapsed="false">
      <c r="B143" s="39" t="n">
        <f aca="false">B142+1</f>
        <v>114</v>
      </c>
      <c r="C143" s="38" t="str">
        <f aca="false">IF(B143&gt;$C$10,"",EDATE($C$13,(B143-1)*12/$C$9))</f>
        <v/>
      </c>
      <c r="D143" s="39" t="str">
        <f aca="false">IF(B143&gt;$C$10,"",YEAR(C143))</f>
        <v/>
      </c>
      <c r="E143" s="40" t="n">
        <f aca="false">IF(B143&gt;$C$10,0,I142)</f>
        <v>0</v>
      </c>
      <c r="F143" s="40" t="n">
        <f aca="false">IF(B143&gt;$C$10,0,$C$12)</f>
        <v>0</v>
      </c>
      <c r="G143" s="40" t="n">
        <f aca="false">E143*$C$11</f>
        <v>0</v>
      </c>
      <c r="H143" s="40" t="n">
        <f aca="false">F143-G143</f>
        <v>0</v>
      </c>
      <c r="I143" s="40" t="n">
        <f aca="false">E143-H143</f>
        <v>0</v>
      </c>
    </row>
    <row r="144" customFormat="false" ht="15" hidden="false" customHeight="false" outlineLevel="0" collapsed="false">
      <c r="B144" s="39" t="n">
        <f aca="false">B143+1</f>
        <v>115</v>
      </c>
      <c r="C144" s="38" t="str">
        <f aca="false">IF(B144&gt;$C$10,"",EDATE($C$13,(B144-1)*12/$C$9))</f>
        <v/>
      </c>
      <c r="D144" s="39" t="str">
        <f aca="false">IF(B144&gt;$C$10,"",YEAR(C144))</f>
        <v/>
      </c>
      <c r="E144" s="40" t="n">
        <f aca="false">IF(B144&gt;$C$10,0,I143)</f>
        <v>0</v>
      </c>
      <c r="F144" s="40" t="n">
        <f aca="false">IF(B144&gt;$C$10,0,$C$12)</f>
        <v>0</v>
      </c>
      <c r="G144" s="40" t="n">
        <f aca="false">E144*$C$11</f>
        <v>0</v>
      </c>
      <c r="H144" s="40" t="n">
        <f aca="false">F144-G144</f>
        <v>0</v>
      </c>
      <c r="I144" s="40" t="n">
        <f aca="false">E144-H144</f>
        <v>0</v>
      </c>
    </row>
    <row r="145" customFormat="false" ht="15" hidden="false" customHeight="false" outlineLevel="0" collapsed="false">
      <c r="B145" s="39" t="n">
        <f aca="false">B144+1</f>
        <v>116</v>
      </c>
      <c r="C145" s="38" t="str">
        <f aca="false">IF(B145&gt;$C$10,"",EDATE($C$13,(B145-1)*12/$C$9))</f>
        <v/>
      </c>
      <c r="D145" s="39" t="str">
        <f aca="false">IF(B145&gt;$C$10,"",YEAR(C145))</f>
        <v/>
      </c>
      <c r="E145" s="40" t="n">
        <f aca="false">IF(B145&gt;$C$10,0,I144)</f>
        <v>0</v>
      </c>
      <c r="F145" s="40" t="n">
        <f aca="false">IF(B145&gt;$C$10,0,$C$12)</f>
        <v>0</v>
      </c>
      <c r="G145" s="40" t="n">
        <f aca="false">E145*$C$11</f>
        <v>0</v>
      </c>
      <c r="H145" s="40" t="n">
        <f aca="false">F145-G145</f>
        <v>0</v>
      </c>
      <c r="I145" s="40" t="n">
        <f aca="false">E145-H145</f>
        <v>0</v>
      </c>
    </row>
    <row r="146" customFormat="false" ht="15" hidden="false" customHeight="false" outlineLevel="0" collapsed="false">
      <c r="B146" s="39" t="n">
        <f aca="false">B145+1</f>
        <v>117</v>
      </c>
      <c r="C146" s="38" t="str">
        <f aca="false">IF(B146&gt;$C$10,"",EDATE($C$13,(B146-1)*12/$C$9))</f>
        <v/>
      </c>
      <c r="D146" s="39" t="str">
        <f aca="false">IF(B146&gt;$C$10,"",YEAR(C146))</f>
        <v/>
      </c>
      <c r="E146" s="40" t="n">
        <f aca="false">IF(B146&gt;$C$10,0,I145)</f>
        <v>0</v>
      </c>
      <c r="F146" s="40" t="n">
        <f aca="false">IF(B146&gt;$C$10,0,$C$12)</f>
        <v>0</v>
      </c>
      <c r="G146" s="40" t="n">
        <f aca="false">E146*$C$11</f>
        <v>0</v>
      </c>
      <c r="H146" s="40" t="n">
        <f aca="false">F146-G146</f>
        <v>0</v>
      </c>
      <c r="I146" s="40" t="n">
        <f aca="false">E146-H146</f>
        <v>0</v>
      </c>
    </row>
    <row r="147" customFormat="false" ht="15" hidden="false" customHeight="false" outlineLevel="0" collapsed="false">
      <c r="B147" s="39" t="n">
        <f aca="false">B146+1</f>
        <v>118</v>
      </c>
      <c r="C147" s="38" t="str">
        <f aca="false">IF(B147&gt;$C$10,"",EDATE($C$13,(B147-1)*12/$C$9))</f>
        <v/>
      </c>
      <c r="D147" s="39" t="str">
        <f aca="false">IF(B147&gt;$C$10,"",YEAR(C147))</f>
        <v/>
      </c>
      <c r="E147" s="40" t="n">
        <f aca="false">IF(B147&gt;$C$10,0,I146)</f>
        <v>0</v>
      </c>
      <c r="F147" s="40" t="n">
        <f aca="false">IF(B147&gt;$C$10,0,$C$12)</f>
        <v>0</v>
      </c>
      <c r="G147" s="40" t="n">
        <f aca="false">E147*$C$11</f>
        <v>0</v>
      </c>
      <c r="H147" s="40" t="n">
        <f aca="false">F147-G147</f>
        <v>0</v>
      </c>
      <c r="I147" s="40" t="n">
        <f aca="false">E147-H147</f>
        <v>0</v>
      </c>
    </row>
    <row r="148" customFormat="false" ht="15" hidden="false" customHeight="false" outlineLevel="0" collapsed="false">
      <c r="B148" s="39" t="n">
        <f aca="false">B147+1</f>
        <v>119</v>
      </c>
      <c r="C148" s="38" t="str">
        <f aca="false">IF(B148&gt;$C$10,"",EDATE($C$13,(B148-1)*12/$C$9))</f>
        <v/>
      </c>
      <c r="D148" s="39" t="str">
        <f aca="false">IF(B148&gt;$C$10,"",YEAR(C148))</f>
        <v/>
      </c>
      <c r="E148" s="40" t="n">
        <f aca="false">IF(B148&gt;$C$10,0,I147)</f>
        <v>0</v>
      </c>
      <c r="F148" s="40" t="n">
        <f aca="false">IF(B148&gt;$C$10,0,$C$12)</f>
        <v>0</v>
      </c>
      <c r="G148" s="40" t="n">
        <f aca="false">E148*$C$11</f>
        <v>0</v>
      </c>
      <c r="H148" s="40" t="n">
        <f aca="false">F148-G148</f>
        <v>0</v>
      </c>
      <c r="I148" s="40" t="n">
        <f aca="false">E148-H148</f>
        <v>0</v>
      </c>
    </row>
    <row r="149" customFormat="false" ht="15" hidden="false" customHeight="false" outlineLevel="0" collapsed="false">
      <c r="B149" s="39" t="n">
        <f aca="false">B148+1</f>
        <v>120</v>
      </c>
      <c r="C149" s="38" t="str">
        <f aca="false">IF(B149&gt;$C$10,"",EDATE($C$13,(B149-1)*12/$C$9))</f>
        <v/>
      </c>
      <c r="D149" s="39" t="str">
        <f aca="false">IF(B149&gt;$C$10,"",YEAR(C149))</f>
        <v/>
      </c>
      <c r="E149" s="40" t="n">
        <f aca="false">IF(B149&gt;$C$10,0,I148)</f>
        <v>0</v>
      </c>
      <c r="F149" s="40" t="n">
        <f aca="false">IF(B149&gt;$C$10,0,$C$12)</f>
        <v>0</v>
      </c>
      <c r="G149" s="40" t="n">
        <f aca="false">E149*$C$11</f>
        <v>0</v>
      </c>
      <c r="H149" s="40" t="n">
        <f aca="false">F149-G149</f>
        <v>0</v>
      </c>
      <c r="I149" s="40" t="n">
        <f aca="false">E149-H149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9" min="3" style="0" width="13"/>
  </cols>
  <sheetData>
    <row r="2" customFormat="false" ht="19.7" hidden="false" customHeight="false" outlineLevel="0" collapsed="false">
      <c r="B2" s="1" t="s">
        <v>130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12" t="s">
        <v>18</v>
      </c>
      <c r="C5" s="13" t="s">
        <v>19</v>
      </c>
      <c r="D5" s="13" t="s">
        <v>20</v>
      </c>
      <c r="E5" s="13" t="s">
        <v>21</v>
      </c>
      <c r="F5" s="13" t="s">
        <v>22</v>
      </c>
      <c r="G5" s="13" t="s">
        <v>23</v>
      </c>
      <c r="H5" s="13" t="s">
        <v>24</v>
      </c>
    </row>
    <row r="6" customFormat="false" ht="15" hidden="false" customHeight="false" outlineLevel="0" collapsed="false">
      <c r="B6" s="8" t="s">
        <v>25</v>
      </c>
      <c r="C6" s="41" t="n">
        <v>500</v>
      </c>
      <c r="D6" s="36" t="n">
        <f aca="false">C6*(1+Assumptions!D16)</f>
        <v>540</v>
      </c>
      <c r="E6" s="36" t="n">
        <f aca="false">D6*(1+Assumptions!E16)</f>
        <v>577.8</v>
      </c>
      <c r="F6" s="36" t="n">
        <f aca="false">E6*(1+Assumptions!F16)</f>
        <v>612.468</v>
      </c>
      <c r="G6" s="36" t="n">
        <f aca="false">F6*(1+Assumptions!G16)</f>
        <v>643.0914</v>
      </c>
      <c r="H6" s="36" t="n">
        <f aca="false">G6*(1+Assumptions!H16)</f>
        <v>668.815056</v>
      </c>
    </row>
    <row r="7" customFormat="false" ht="15" hidden="false" customHeight="false" outlineLevel="0" collapsed="false">
      <c r="B7" s="14" t="s">
        <v>131</v>
      </c>
      <c r="C7" s="42"/>
      <c r="D7" s="43" t="n">
        <f aca="false">D6/C6-1</f>
        <v>0.0800000000000001</v>
      </c>
      <c r="E7" s="43" t="n">
        <f aca="false">E6/D6-1</f>
        <v>0.0700000000000001</v>
      </c>
      <c r="F7" s="43" t="n">
        <f aca="false">F6/E6-1</f>
        <v>0.0600000000000001</v>
      </c>
      <c r="G7" s="43" t="n">
        <f aca="false">G6/F6-1</f>
        <v>0.05</v>
      </c>
      <c r="H7" s="43" t="n">
        <f aca="false">H6/G6-1</f>
        <v>0.04</v>
      </c>
    </row>
    <row r="8" customFormat="false" ht="15" hidden="false" customHeight="false" outlineLevel="0" collapsed="false">
      <c r="B8" s="4" t="s">
        <v>132</v>
      </c>
      <c r="C8" s="26" t="n">
        <v>275</v>
      </c>
      <c r="D8" s="15" t="n">
        <f aca="false">D6*Assumptions!D32</f>
        <v>297</v>
      </c>
      <c r="E8" s="15" t="n">
        <f aca="false">E6*Assumptions!E32</f>
        <v>317.79</v>
      </c>
      <c r="F8" s="15" t="n">
        <f aca="false">F6*Assumptions!F32</f>
        <v>336.8574</v>
      </c>
      <c r="G8" s="15" t="n">
        <f aca="false">G6*Assumptions!G32</f>
        <v>353.70027</v>
      </c>
      <c r="H8" s="15" t="n">
        <f aca="false">H6*Assumptions!H32</f>
        <v>367.8482808</v>
      </c>
    </row>
    <row r="9" customFormat="false" ht="15" hidden="false" customHeight="false" outlineLevel="0" collapsed="false">
      <c r="B9" s="8" t="s">
        <v>133</v>
      </c>
      <c r="C9" s="44" t="n">
        <f aca="false">C6-C8</f>
        <v>225</v>
      </c>
      <c r="D9" s="44" t="n">
        <f aca="false">D6-D8</f>
        <v>243</v>
      </c>
      <c r="E9" s="44" t="n">
        <f aca="false">E6-E8</f>
        <v>260.01</v>
      </c>
      <c r="F9" s="44" t="n">
        <f aca="false">F6-F8</f>
        <v>275.6106</v>
      </c>
      <c r="G9" s="44" t="n">
        <f aca="false">G6-G8</f>
        <v>289.39113</v>
      </c>
      <c r="H9" s="44" t="n">
        <f aca="false">H6-H8</f>
        <v>300.9667752</v>
      </c>
    </row>
    <row r="10" customFormat="false" ht="15" hidden="false" customHeight="false" outlineLevel="0" collapsed="false">
      <c r="B10" s="14" t="s">
        <v>134</v>
      </c>
      <c r="C10" s="43" t="n">
        <f aca="false">C9/C6</f>
        <v>0.45</v>
      </c>
      <c r="D10" s="43" t="n">
        <f aca="false">D9/D6</f>
        <v>0.45</v>
      </c>
      <c r="E10" s="43" t="n">
        <f aca="false">E9/E6</f>
        <v>0.45</v>
      </c>
      <c r="F10" s="43" t="n">
        <f aca="false">F9/F6</f>
        <v>0.45</v>
      </c>
      <c r="G10" s="43" t="n">
        <f aca="false">G9/G6</f>
        <v>0.45</v>
      </c>
      <c r="H10" s="43" t="n">
        <f aca="false">H9/H6</f>
        <v>0.45</v>
      </c>
    </row>
    <row r="11" customFormat="false" ht="15" hidden="false" customHeight="false" outlineLevel="0" collapsed="false">
      <c r="B11" s="4" t="s">
        <v>135</v>
      </c>
      <c r="C11" s="26" t="n">
        <v>90</v>
      </c>
      <c r="D11" s="15" t="n">
        <f aca="false">D6*Assumptions!D33</f>
        <v>97.2</v>
      </c>
      <c r="E11" s="15" t="n">
        <f aca="false">E6*Assumptions!E33</f>
        <v>102.8484</v>
      </c>
      <c r="F11" s="15" t="n">
        <f aca="false">F6*Assumptions!F33</f>
        <v>107.794368</v>
      </c>
      <c r="G11" s="15" t="n">
        <f aca="false">G6*Assumptions!G33</f>
        <v>111.8979036</v>
      </c>
      <c r="H11" s="15" t="n">
        <f aca="false">H6*Assumptions!H33</f>
        <v>115.036189632</v>
      </c>
    </row>
    <row r="12" customFormat="false" ht="15" hidden="false" customHeight="false" outlineLevel="0" collapsed="false">
      <c r="B12" s="4" t="s">
        <v>136</v>
      </c>
      <c r="C12" s="26" t="n">
        <v>40</v>
      </c>
      <c r="D12" s="15" t="n">
        <f aca="false">D6*Assumptions!D34</f>
        <v>43.2</v>
      </c>
      <c r="E12" s="15" t="n">
        <f aca="false">E6*Assumptions!E34</f>
        <v>46.224</v>
      </c>
      <c r="F12" s="15" t="n">
        <f aca="false">F6*Assumptions!F34</f>
        <v>48.99744</v>
      </c>
      <c r="G12" s="15" t="n">
        <f aca="false">G6*Assumptions!G34</f>
        <v>51.447312</v>
      </c>
      <c r="H12" s="15" t="n">
        <f aca="false">H6*Assumptions!H34</f>
        <v>53.50520448</v>
      </c>
    </row>
    <row r="13" customFormat="false" ht="15" hidden="false" customHeight="false" outlineLevel="0" collapsed="false">
      <c r="B13" s="4" t="s">
        <v>137</v>
      </c>
      <c r="C13" s="15" t="n">
        <f aca="false">C11+C12</f>
        <v>130</v>
      </c>
      <c r="D13" s="15" t="n">
        <f aca="false">D11+D12</f>
        <v>140.4</v>
      </c>
      <c r="E13" s="15" t="n">
        <f aca="false">E11+E12</f>
        <v>149.0724</v>
      </c>
      <c r="F13" s="15" t="n">
        <f aca="false">F11+F12</f>
        <v>156.791808</v>
      </c>
      <c r="G13" s="15" t="n">
        <f aca="false">G11+G12</f>
        <v>163.3452156</v>
      </c>
      <c r="H13" s="15" t="n">
        <f aca="false">H11+H12</f>
        <v>168.541394112</v>
      </c>
    </row>
    <row r="14" customFormat="false" ht="15" hidden="false" customHeight="false" outlineLevel="0" collapsed="false">
      <c r="B14" s="8" t="s">
        <v>26</v>
      </c>
      <c r="C14" s="44" t="n">
        <f aca="false">C9-C13</f>
        <v>95</v>
      </c>
      <c r="D14" s="44" t="n">
        <f aca="false">D9-D13</f>
        <v>102.6</v>
      </c>
      <c r="E14" s="44" t="n">
        <f aca="false">E9-E13</f>
        <v>110.9376</v>
      </c>
      <c r="F14" s="44" t="n">
        <f aca="false">F9-F13</f>
        <v>118.818792</v>
      </c>
      <c r="G14" s="44" t="n">
        <f aca="false">G9-G13</f>
        <v>126.0459144</v>
      </c>
      <c r="H14" s="44" t="n">
        <f aca="false">H9-H13</f>
        <v>132.425381088</v>
      </c>
    </row>
    <row r="15" customFormat="false" ht="15" hidden="false" customHeight="false" outlineLevel="0" collapsed="false">
      <c r="B15" s="14" t="s">
        <v>27</v>
      </c>
      <c r="C15" s="43" t="n">
        <f aca="false">C14/C6</f>
        <v>0.19</v>
      </c>
      <c r="D15" s="43" t="n">
        <f aca="false">D14/D6</f>
        <v>0.19</v>
      </c>
      <c r="E15" s="43" t="n">
        <f aca="false">E14/E6</f>
        <v>0.192</v>
      </c>
      <c r="F15" s="43" t="n">
        <f aca="false">F14/F6</f>
        <v>0.194</v>
      </c>
      <c r="G15" s="43" t="n">
        <f aca="false">G14/G6</f>
        <v>0.196</v>
      </c>
      <c r="H15" s="43" t="n">
        <f aca="false">H14/H6</f>
        <v>0.198</v>
      </c>
    </row>
    <row r="16" customFormat="false" ht="15" hidden="false" customHeight="false" outlineLevel="0" collapsed="false">
      <c r="B16" s="4" t="s">
        <v>138</v>
      </c>
      <c r="C16" s="26" t="n">
        <v>20</v>
      </c>
      <c r="D16" s="15" t="n">
        <f aca="false">D6*Assumptions!D35</f>
        <v>21.6</v>
      </c>
      <c r="E16" s="15" t="n">
        <f aca="false">E6*Assumptions!E35</f>
        <v>23.112</v>
      </c>
      <c r="F16" s="15" t="n">
        <f aca="false">F6*Assumptions!F35</f>
        <v>24.49872</v>
      </c>
      <c r="G16" s="15" t="n">
        <f aca="false">G6*Assumptions!G35</f>
        <v>25.723656</v>
      </c>
      <c r="H16" s="15" t="n">
        <f aca="false">H6*Assumptions!H35</f>
        <v>26.75260224</v>
      </c>
    </row>
    <row r="17" customFormat="false" ht="15" hidden="false" customHeight="false" outlineLevel="0" collapsed="false">
      <c r="B17" s="8" t="s">
        <v>139</v>
      </c>
      <c r="C17" s="44" t="n">
        <f aca="false">C14-C16</f>
        <v>75</v>
      </c>
      <c r="D17" s="44" t="n">
        <f aca="false">D14-D16</f>
        <v>81</v>
      </c>
      <c r="E17" s="44" t="n">
        <f aca="false">E14-E16</f>
        <v>87.8256</v>
      </c>
      <c r="F17" s="44" t="n">
        <f aca="false">F14-F16</f>
        <v>94.320072</v>
      </c>
      <c r="G17" s="44" t="n">
        <f aca="false">G14-G16</f>
        <v>100.3222584</v>
      </c>
      <c r="H17" s="44" t="n">
        <f aca="false">H14-H16</f>
        <v>105.672778848</v>
      </c>
    </row>
    <row r="18" customFormat="false" ht="15" hidden="false" customHeight="false" outlineLevel="0" collapsed="false">
      <c r="B18" s="14" t="s">
        <v>140</v>
      </c>
      <c r="C18" s="43" t="n">
        <f aca="false">C17/C6</f>
        <v>0.15</v>
      </c>
      <c r="D18" s="43" t="n">
        <f aca="false">D17/D6</f>
        <v>0.15</v>
      </c>
      <c r="E18" s="43" t="n">
        <f aca="false">E17/E6</f>
        <v>0.152</v>
      </c>
      <c r="F18" s="43" t="n">
        <f aca="false">F17/F6</f>
        <v>0.154</v>
      </c>
      <c r="G18" s="43" t="n">
        <f aca="false">G17/G6</f>
        <v>0.156</v>
      </c>
      <c r="H18" s="43" t="n">
        <f aca="false">H17/H6</f>
        <v>0.158</v>
      </c>
    </row>
    <row r="19" customFormat="false" ht="15" hidden="false" customHeight="false" outlineLevel="0" collapsed="false">
      <c r="B19" s="4" t="s">
        <v>115</v>
      </c>
      <c r="C19" s="26" t="n">
        <v>10</v>
      </c>
      <c r="D19" s="7" t="n">
        <f aca="false">'Debt Schedule'!D20</f>
        <v>9.9547375070967</v>
      </c>
      <c r="E19" s="7" t="n">
        <f aca="false">'Debt Schedule'!E20</f>
        <v>8.71047438513775</v>
      </c>
      <c r="F19" s="7" t="n">
        <f aca="false">'Debt Schedule'!F20</f>
        <v>7.37626338148596</v>
      </c>
      <c r="G19" s="7" t="n">
        <f aca="false">'Debt Schedule'!G20</f>
        <v>5.9456021565009</v>
      </c>
      <c r="H19" s="7" t="n">
        <f aca="false">'Debt Schedule'!H20</f>
        <v>4.41151831588379</v>
      </c>
    </row>
    <row r="20" customFormat="false" ht="15" hidden="false" customHeight="false" outlineLevel="0" collapsed="false">
      <c r="B20" s="4" t="s">
        <v>141</v>
      </c>
      <c r="C20" s="26" t="n">
        <v>1</v>
      </c>
      <c r="D20" s="15" t="n">
        <f aca="false">'Balance Sheet'!C7*Assumptions!D44</f>
        <v>1.8</v>
      </c>
      <c r="E20" s="15" t="n">
        <f aca="false">'Balance Sheet'!D7*Assumptions!E44</f>
        <v>2.29337267899214</v>
      </c>
      <c r="F20" s="15" t="n">
        <f aca="false">'Balance Sheet'!E7*Assumptions!F44</f>
        <v>2.89173159915359</v>
      </c>
      <c r="G20" s="15" t="n">
        <f aca="false">'Balance Sheet'!F7*Assumptions!G44</f>
        <v>3.63969560465604</v>
      </c>
      <c r="H20" s="15" t="n">
        <f aca="false">'Balance Sheet'!G7*Assumptions!H44</f>
        <v>4.5382063518536</v>
      </c>
    </row>
    <row r="21" customFormat="false" ht="15" hidden="false" customHeight="false" outlineLevel="0" collapsed="false">
      <c r="B21" s="8" t="s">
        <v>142</v>
      </c>
      <c r="C21" s="44" t="n">
        <f aca="false">C17-C19+C20</f>
        <v>66</v>
      </c>
      <c r="D21" s="44" t="n">
        <f aca="false">D17-D19+D20</f>
        <v>72.8452624929033</v>
      </c>
      <c r="E21" s="44" t="n">
        <f aca="false">E17-E19+E20</f>
        <v>81.4084982938544</v>
      </c>
      <c r="F21" s="44" t="n">
        <f aca="false">F17-F19+F20</f>
        <v>89.8355402176677</v>
      </c>
      <c r="G21" s="44" t="n">
        <f aca="false">G17-G19+G20</f>
        <v>98.0163518481552</v>
      </c>
      <c r="H21" s="44" t="n">
        <f aca="false">H17-H19+H20</f>
        <v>105.79946688397</v>
      </c>
    </row>
    <row r="22" customFormat="false" ht="15" hidden="false" customHeight="false" outlineLevel="0" collapsed="false">
      <c r="B22" s="4" t="s">
        <v>143</v>
      </c>
      <c r="C22" s="26" t="n">
        <v>16.5</v>
      </c>
      <c r="D22" s="15" t="n">
        <f aca="false">MAX(0,D21*Assumptions!D37)</f>
        <v>18.2113156232258</v>
      </c>
      <c r="E22" s="15" t="n">
        <f aca="false">MAX(0,E21*Assumptions!E37)</f>
        <v>20.3521245734636</v>
      </c>
      <c r="F22" s="15" t="n">
        <f aca="false">MAX(0,F21*Assumptions!F37)</f>
        <v>22.4588850544169</v>
      </c>
      <c r="G22" s="15" t="n">
        <f aca="false">MAX(0,G21*Assumptions!G37)</f>
        <v>24.5040879620388</v>
      </c>
      <c r="H22" s="15" t="n">
        <f aca="false">MAX(0,H21*Assumptions!H37)</f>
        <v>26.4498667209925</v>
      </c>
    </row>
    <row r="23" customFormat="false" ht="15" hidden="false" customHeight="false" outlineLevel="0" collapsed="false">
      <c r="B23" s="8" t="s">
        <v>28</v>
      </c>
      <c r="C23" s="45" t="n">
        <f aca="false">C21-C22</f>
        <v>49.5</v>
      </c>
      <c r="D23" s="45" t="n">
        <f aca="false">D21-D22</f>
        <v>54.6339468696775</v>
      </c>
      <c r="E23" s="45" t="n">
        <f aca="false">E21-E22</f>
        <v>61.0563737203908</v>
      </c>
      <c r="F23" s="45" t="n">
        <f aca="false">F21-F22</f>
        <v>67.3766551632508</v>
      </c>
      <c r="G23" s="45" t="n">
        <f aca="false">G21-G22</f>
        <v>73.5122638861164</v>
      </c>
      <c r="H23" s="45" t="n">
        <f aca="false">H21-H22</f>
        <v>79.3496001629774</v>
      </c>
    </row>
    <row r="24" customFormat="false" ht="15" hidden="false" customHeight="false" outlineLevel="0" collapsed="false">
      <c r="B24" s="14" t="s">
        <v>144</v>
      </c>
      <c r="C24" s="43" t="n">
        <f aca="false">C23/C6</f>
        <v>0.099</v>
      </c>
      <c r="D24" s="43" t="n">
        <f aca="false">D23/D6</f>
        <v>0.101173975684588</v>
      </c>
      <c r="E24" s="43" t="n">
        <f aca="false">E23/E6</f>
        <v>0.105670428730341</v>
      </c>
      <c r="F24" s="43" t="n">
        <f aca="false">F23/F6</f>
        <v>0.110008449687577</v>
      </c>
      <c r="G24" s="43" t="n">
        <f aca="false">G23/G6</f>
        <v>0.114310755650155</v>
      </c>
      <c r="H24" s="43" t="n">
        <f aca="false">H23/H6</f>
        <v>0.118642066220138</v>
      </c>
    </row>
    <row r="25" customFormat="false" ht="15" hidden="false" customHeight="false" outlineLevel="0" collapsed="false">
      <c r="B25" s="4" t="s">
        <v>97</v>
      </c>
      <c r="C25" s="7" t="n">
        <f aca="false">Assumptions!$C$53</f>
        <v>50</v>
      </c>
      <c r="D25" s="7" t="n">
        <f aca="false">Assumptions!$C$53</f>
        <v>50</v>
      </c>
      <c r="E25" s="7" t="n">
        <f aca="false">Assumptions!$C$53</f>
        <v>50</v>
      </c>
      <c r="F25" s="7" t="n">
        <f aca="false">Assumptions!$C$53</f>
        <v>50</v>
      </c>
      <c r="G25" s="7" t="n">
        <f aca="false">Assumptions!$C$53</f>
        <v>50</v>
      </c>
      <c r="H25" s="7" t="n">
        <f aca="false">Assumptions!$C$53</f>
        <v>50</v>
      </c>
    </row>
    <row r="26" customFormat="false" ht="15" hidden="false" customHeight="false" outlineLevel="0" collapsed="false">
      <c r="B26" s="8" t="s">
        <v>29</v>
      </c>
      <c r="C26" s="46" t="n">
        <f aca="false">C23/C25</f>
        <v>0.99</v>
      </c>
      <c r="D26" s="46" t="n">
        <f aca="false">D23/D25</f>
        <v>1.09267893739355</v>
      </c>
      <c r="E26" s="46" t="n">
        <f aca="false">E23/E25</f>
        <v>1.22112747440782</v>
      </c>
      <c r="F26" s="46" t="n">
        <f aca="false">F23/F25</f>
        <v>1.34753310326501</v>
      </c>
      <c r="G26" s="46" t="n">
        <f aca="false">G23/G25</f>
        <v>1.47024527772233</v>
      </c>
      <c r="H26" s="46" t="n">
        <f aca="false">H23/H25</f>
        <v>1.58699200325955</v>
      </c>
    </row>
    <row r="27" customFormat="false" ht="15" hidden="false" customHeight="false" outlineLevel="0" collapsed="false">
      <c r="B27" s="4" t="s">
        <v>145</v>
      </c>
      <c r="C27" s="26" t="n">
        <v>10</v>
      </c>
      <c r="D27" s="15" t="n">
        <f aca="false">D23*Assumptions!D43</f>
        <v>10.9267893739355</v>
      </c>
      <c r="E27" s="15" t="n">
        <f aca="false">E23*Assumptions!E43</f>
        <v>12.2112747440782</v>
      </c>
      <c r="F27" s="15" t="n">
        <f aca="false">F23*Assumptions!F43</f>
        <v>13.4753310326502</v>
      </c>
      <c r="G27" s="15" t="n">
        <f aca="false">G23*Assumptions!G43</f>
        <v>14.7024527772233</v>
      </c>
      <c r="H27" s="15" t="n">
        <f aca="false">H23*Assumptions!H43</f>
        <v>15.8699200325955</v>
      </c>
    </row>
    <row r="28" customFormat="false" ht="15" hidden="false" customHeight="false" outlineLevel="0" collapsed="false">
      <c r="B28" s="4" t="s">
        <v>146</v>
      </c>
      <c r="C28" s="47" t="n">
        <f aca="false">C27/C25</f>
        <v>0.2</v>
      </c>
      <c r="D28" s="47" t="n">
        <f aca="false">D27/D25</f>
        <v>0.21853578747871</v>
      </c>
      <c r="E28" s="47" t="n">
        <f aca="false">E27/E25</f>
        <v>0.244225494881563</v>
      </c>
      <c r="F28" s="47" t="n">
        <f aca="false">F27/F25</f>
        <v>0.269506620653003</v>
      </c>
      <c r="G28" s="47" t="n">
        <f aca="false">G27/G25</f>
        <v>0.294049055544465</v>
      </c>
      <c r="H28" s="47" t="n">
        <f aca="false">H27/H25</f>
        <v>0.317398400651909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9" min="3" style="0" width="13"/>
  </cols>
  <sheetData>
    <row r="2" customFormat="false" ht="19.7" hidden="false" customHeight="false" outlineLevel="0" collapsed="false">
      <c r="B2" s="1" t="s">
        <v>147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12" t="s">
        <v>18</v>
      </c>
      <c r="C5" s="13" t="s">
        <v>19</v>
      </c>
      <c r="D5" s="13" t="s">
        <v>20</v>
      </c>
      <c r="E5" s="13" t="s">
        <v>21</v>
      </c>
      <c r="F5" s="13" t="s">
        <v>22</v>
      </c>
      <c r="G5" s="13" t="s">
        <v>23</v>
      </c>
      <c r="H5" s="13" t="s">
        <v>24</v>
      </c>
    </row>
    <row r="6" customFormat="false" ht="15" hidden="false" customHeight="false" outlineLevel="0" collapsed="false">
      <c r="B6" s="3" t="s">
        <v>148</v>
      </c>
    </row>
    <row r="7" customFormat="false" ht="15" hidden="false" customHeight="false" outlineLevel="0" collapsed="false">
      <c r="B7" s="4" t="s">
        <v>149</v>
      </c>
      <c r="C7" s="26" t="n">
        <v>60</v>
      </c>
      <c r="D7" s="7" t="n">
        <f aca="false">'Cash Flow'!D28</f>
        <v>76.4457559664046</v>
      </c>
      <c r="E7" s="7" t="n">
        <f aca="false">'Cash Flow'!E28</f>
        <v>96.3910533051195</v>
      </c>
      <c r="F7" s="7" t="n">
        <f aca="false">'Cash Flow'!F28</f>
        <v>121.323186821868</v>
      </c>
      <c r="G7" s="7" t="n">
        <f aca="false">'Cash Flow'!G28</f>
        <v>151.273545061787</v>
      </c>
      <c r="H7" s="7" t="n">
        <f aca="false">'Cash Flow'!H28</f>
        <v>185.478910827783</v>
      </c>
    </row>
    <row r="8" customFormat="false" ht="15" hidden="false" customHeight="false" outlineLevel="0" collapsed="false">
      <c r="B8" s="4" t="s">
        <v>150</v>
      </c>
      <c r="C8" s="26" t="n">
        <v>62</v>
      </c>
      <c r="D8" s="15" t="n">
        <f aca="false">'Income Statement'!D6*Assumptions!D38/365</f>
        <v>66.5753424657534</v>
      </c>
      <c r="E8" s="15" t="n">
        <f aca="false">'Income Statement'!E6*Assumptions!E38/365</f>
        <v>71.2356164383562</v>
      </c>
      <c r="F8" s="15" t="n">
        <f aca="false">'Income Statement'!F6*Assumptions!F38/365</f>
        <v>75.5097534246576</v>
      </c>
      <c r="G8" s="15" t="n">
        <f aca="false">'Income Statement'!G6*Assumptions!G38/365</f>
        <v>79.2852410958904</v>
      </c>
      <c r="H8" s="15" t="n">
        <f aca="false">'Income Statement'!H6*Assumptions!H38/365</f>
        <v>82.456650739726</v>
      </c>
    </row>
    <row r="9" customFormat="false" ht="15" hidden="false" customHeight="false" outlineLevel="0" collapsed="false">
      <c r="B9" s="4" t="s">
        <v>151</v>
      </c>
      <c r="C9" s="26" t="n">
        <v>45</v>
      </c>
      <c r="D9" s="15" t="n">
        <f aca="false">'Income Statement'!D8*Assumptions!D39/365</f>
        <v>48.8219178082192</v>
      </c>
      <c r="E9" s="15" t="n">
        <f aca="false">'Income Statement'!E8*Assumptions!E39/365</f>
        <v>52.2394520547945</v>
      </c>
      <c r="F9" s="15" t="n">
        <f aca="false">'Income Statement'!F8*Assumptions!F39/365</f>
        <v>55.3738191780822</v>
      </c>
      <c r="G9" s="15" t="n">
        <f aca="false">'Income Statement'!G8*Assumptions!G39/365</f>
        <v>58.1425101369863</v>
      </c>
      <c r="H9" s="15" t="n">
        <f aca="false">'Income Statement'!H8*Assumptions!H39/365</f>
        <v>60.4682105424658</v>
      </c>
    </row>
    <row r="10" customFormat="false" ht="15" hidden="false" customHeight="false" outlineLevel="0" collapsed="false">
      <c r="B10" s="4" t="s">
        <v>152</v>
      </c>
      <c r="C10" s="26" t="n">
        <v>10</v>
      </c>
      <c r="D10" s="15" t="n">
        <f aca="false">'Income Statement'!D6*Assumptions!D41</f>
        <v>10.8</v>
      </c>
      <c r="E10" s="15" t="n">
        <f aca="false">'Income Statement'!E6*Assumptions!E41</f>
        <v>11.556</v>
      </c>
      <c r="F10" s="15" t="n">
        <f aca="false">'Income Statement'!F6*Assumptions!F41</f>
        <v>12.24936</v>
      </c>
      <c r="G10" s="15" t="n">
        <f aca="false">'Income Statement'!G6*Assumptions!G41</f>
        <v>12.861828</v>
      </c>
      <c r="H10" s="15" t="n">
        <f aca="false">'Income Statement'!H6*Assumptions!H41</f>
        <v>13.37630112</v>
      </c>
    </row>
    <row r="11" customFormat="false" ht="15" hidden="false" customHeight="false" outlineLevel="0" collapsed="false">
      <c r="B11" s="8" t="s">
        <v>153</v>
      </c>
      <c r="C11" s="44" t="n">
        <f aca="false">SUM(C7:C10)</f>
        <v>177</v>
      </c>
      <c r="D11" s="44" t="n">
        <f aca="false">SUM(D7:D10)</f>
        <v>202.643016240377</v>
      </c>
      <c r="E11" s="44" t="n">
        <f aca="false">SUM(E7:E10)</f>
        <v>231.42212179827</v>
      </c>
      <c r="F11" s="44" t="n">
        <f aca="false">SUM(F7:F10)</f>
        <v>264.456119424608</v>
      </c>
      <c r="G11" s="44" t="n">
        <f aca="false">SUM(G7:G10)</f>
        <v>301.563124294664</v>
      </c>
      <c r="H11" s="44" t="n">
        <f aca="false">SUM(H7:H10)</f>
        <v>341.780073229975</v>
      </c>
    </row>
    <row r="12" customFormat="false" ht="15" hidden="false" customHeight="false" outlineLevel="0" collapsed="false">
      <c r="B12" s="4" t="s">
        <v>154</v>
      </c>
      <c r="C12" s="26" t="n">
        <v>180</v>
      </c>
      <c r="D12" s="15" t="n">
        <f aca="false">C12-'Cash Flow'!D17-'Income Statement'!D16</f>
        <v>185.4</v>
      </c>
      <c r="E12" s="15" t="n">
        <f aca="false">D12-'Cash Flow'!E17-'Income Statement'!E16</f>
        <v>191.178</v>
      </c>
      <c r="F12" s="15" t="n">
        <f aca="false">E12-'Cash Flow'!F17-'Income Statement'!F16</f>
        <v>196.077744</v>
      </c>
      <c r="G12" s="15" t="n">
        <f aca="false">F12-'Cash Flow'!G17-'Income Statement'!G16</f>
        <v>199.9362924</v>
      </c>
      <c r="H12" s="15" t="n">
        <f aca="false">G12-'Cash Flow'!H17-'Income Statement'!H16</f>
        <v>203.28036768</v>
      </c>
    </row>
    <row r="13" customFormat="false" ht="15" hidden="false" customHeight="false" outlineLevel="0" collapsed="false">
      <c r="B13" s="4" t="s">
        <v>155</v>
      </c>
      <c r="C13" s="26" t="n">
        <v>100</v>
      </c>
      <c r="D13" s="15" t="n">
        <f aca="false">C13</f>
        <v>100</v>
      </c>
      <c r="E13" s="15" t="n">
        <f aca="false">D13</f>
        <v>100</v>
      </c>
      <c r="F13" s="15" t="n">
        <f aca="false">E13</f>
        <v>100</v>
      </c>
      <c r="G13" s="15" t="n">
        <f aca="false">F13</f>
        <v>100</v>
      </c>
      <c r="H13" s="15" t="n">
        <f aca="false">G13</f>
        <v>100</v>
      </c>
    </row>
    <row r="14" customFormat="false" ht="15" hidden="false" customHeight="false" outlineLevel="0" collapsed="false">
      <c r="B14" s="8" t="s">
        <v>156</v>
      </c>
      <c r="C14" s="45" t="n">
        <f aca="false">C11+C12+C13</f>
        <v>457</v>
      </c>
      <c r="D14" s="45" t="n">
        <f aca="false">D11+D12+D13</f>
        <v>488.043016240377</v>
      </c>
      <c r="E14" s="45" t="n">
        <f aca="false">E11+E12+E13</f>
        <v>522.60012179827</v>
      </c>
      <c r="F14" s="45" t="n">
        <f aca="false">F11+F12+F13</f>
        <v>560.533863424608</v>
      </c>
      <c r="G14" s="45" t="n">
        <f aca="false">G11+G12+G13</f>
        <v>601.499416694664</v>
      </c>
      <c r="H14" s="45" t="n">
        <f aca="false">H11+H12+H13</f>
        <v>645.060440909975</v>
      </c>
    </row>
    <row r="16" customFormat="false" ht="15" hidden="false" customHeight="false" outlineLevel="0" collapsed="false">
      <c r="B16" s="3" t="s">
        <v>157</v>
      </c>
    </row>
    <row r="17" customFormat="false" ht="15" hidden="false" customHeight="false" outlineLevel="0" collapsed="false">
      <c r="B17" s="4" t="s">
        <v>158</v>
      </c>
      <c r="C17" s="26" t="n">
        <v>30</v>
      </c>
      <c r="D17" s="15" t="n">
        <f aca="false">'Income Statement'!D8*Assumptions!D40/365</f>
        <v>32.5479452054795</v>
      </c>
      <c r="E17" s="15" t="n">
        <f aca="false">'Income Statement'!E8*Assumptions!E40/365</f>
        <v>34.826301369863</v>
      </c>
      <c r="F17" s="15" t="n">
        <f aca="false">'Income Statement'!F8*Assumptions!F40/365</f>
        <v>36.9158794520548</v>
      </c>
      <c r="G17" s="15" t="n">
        <f aca="false">'Income Statement'!G8*Assumptions!G40/365</f>
        <v>38.7616734246575</v>
      </c>
      <c r="H17" s="15" t="n">
        <f aca="false">'Income Statement'!H8*Assumptions!H40/365</f>
        <v>40.3121403616439</v>
      </c>
    </row>
    <row r="18" customFormat="false" ht="15" hidden="false" customHeight="false" outlineLevel="0" collapsed="false">
      <c r="B18" s="4" t="s">
        <v>159</v>
      </c>
      <c r="C18" s="26" t="n">
        <v>25</v>
      </c>
      <c r="D18" s="15" t="n">
        <f aca="false">'Income Statement'!D6*Assumptions!D42</f>
        <v>27</v>
      </c>
      <c r="E18" s="15" t="n">
        <f aca="false">'Income Statement'!E6*Assumptions!E42</f>
        <v>28.89</v>
      </c>
      <c r="F18" s="15" t="n">
        <f aca="false">'Income Statement'!F6*Assumptions!F42</f>
        <v>30.6234</v>
      </c>
      <c r="G18" s="15" t="n">
        <f aca="false">'Income Statement'!G6*Assumptions!G42</f>
        <v>32.15457</v>
      </c>
      <c r="H18" s="15" t="n">
        <f aca="false">'Income Statement'!H6*Assumptions!H42</f>
        <v>33.4407528</v>
      </c>
    </row>
    <row r="19" customFormat="false" ht="15" hidden="false" customHeight="false" outlineLevel="0" collapsed="false">
      <c r="B19" s="4" t="s">
        <v>160</v>
      </c>
      <c r="C19" s="7" t="n">
        <f aca="false">'Debt Schedule'!C24</f>
        <v>17.2120864608442</v>
      </c>
      <c r="D19" s="7" t="n">
        <f aca="false">'Debt Schedule'!D24</f>
        <v>18.4563495828032</v>
      </c>
      <c r="E19" s="7" t="n">
        <f aca="false">'Debt Schedule'!E24</f>
        <v>19.7905605864549</v>
      </c>
      <c r="F19" s="7" t="n">
        <f aca="false">'Debt Schedule'!F24</f>
        <v>21.22122181144</v>
      </c>
      <c r="G19" s="7" t="n">
        <f aca="false">'Debt Schedule'!G24</f>
        <v>22.7553056520571</v>
      </c>
      <c r="H19" s="7" t="n">
        <f aca="false">'Debt Schedule'!H24</f>
        <v>24.4002885375527</v>
      </c>
    </row>
    <row r="20" customFormat="false" ht="15" hidden="false" customHeight="false" outlineLevel="0" collapsed="false">
      <c r="B20" s="8" t="s">
        <v>161</v>
      </c>
      <c r="C20" s="44" t="n">
        <f aca="false">SUM(C17:C19)</f>
        <v>72.2120864608442</v>
      </c>
      <c r="D20" s="44" t="n">
        <f aca="false">SUM(D17:D19)</f>
        <v>78.0042947882826</v>
      </c>
      <c r="E20" s="44" t="n">
        <f aca="false">SUM(E17:E19)</f>
        <v>83.506861956318</v>
      </c>
      <c r="F20" s="44" t="n">
        <f aca="false">SUM(F17:F19)</f>
        <v>88.7605012634948</v>
      </c>
      <c r="G20" s="44" t="n">
        <f aca="false">SUM(G17:G19)</f>
        <v>93.6715490767147</v>
      </c>
      <c r="H20" s="44" t="n">
        <f aca="false">SUM(H17:H19)</f>
        <v>98.1531816991965</v>
      </c>
    </row>
    <row r="21" customFormat="false" ht="15" hidden="false" customHeight="false" outlineLevel="0" collapsed="false">
      <c r="B21" s="4" t="s">
        <v>162</v>
      </c>
      <c r="C21" s="7" t="n">
        <f aca="false">'Debt Schedule'!C25</f>
        <v>132.787913539156</v>
      </c>
      <c r="D21" s="7" t="n">
        <f aca="false">'Debt Schedule'!D25</f>
        <v>114.331563956353</v>
      </c>
      <c r="E21" s="7" t="n">
        <f aca="false">'Debt Schedule'!E25</f>
        <v>94.5410033698977</v>
      </c>
      <c r="F21" s="7" t="n">
        <f aca="false">'Debt Schedule'!F25</f>
        <v>73.3197815584577</v>
      </c>
      <c r="G21" s="7" t="n">
        <f aca="false">'Debt Schedule'!G25</f>
        <v>50.5644759064006</v>
      </c>
      <c r="H21" s="7" t="n">
        <f aca="false">'Debt Schedule'!H25</f>
        <v>26.1641873688479</v>
      </c>
    </row>
    <row r="22" customFormat="false" ht="15" hidden="false" customHeight="false" outlineLevel="0" collapsed="false">
      <c r="B22" s="8" t="s">
        <v>163</v>
      </c>
      <c r="C22" s="44" t="n">
        <f aca="false">C20+C21</f>
        <v>205</v>
      </c>
      <c r="D22" s="44" t="n">
        <f aca="false">D20+D21</f>
        <v>192.335858744635</v>
      </c>
      <c r="E22" s="44" t="n">
        <f aca="false">E20+E21</f>
        <v>178.047865326216</v>
      </c>
      <c r="F22" s="44" t="n">
        <f aca="false">F20+F21</f>
        <v>162.080282821953</v>
      </c>
      <c r="G22" s="44" t="n">
        <f aca="false">G20+G21</f>
        <v>144.236024983115</v>
      </c>
      <c r="H22" s="44" t="n">
        <f aca="false">H20+H21</f>
        <v>124.317369068044</v>
      </c>
    </row>
    <row r="23" customFormat="false" ht="15" hidden="false" customHeight="false" outlineLevel="0" collapsed="false">
      <c r="B23" s="4" t="s">
        <v>164</v>
      </c>
      <c r="C23" s="26" t="n">
        <v>100</v>
      </c>
      <c r="D23" s="15" t="n">
        <f aca="false">C23+Assumptions!D45</f>
        <v>100</v>
      </c>
      <c r="E23" s="15" t="n">
        <f aca="false">D23+Assumptions!E45</f>
        <v>100</v>
      </c>
      <c r="F23" s="15" t="n">
        <f aca="false">E23+Assumptions!F45</f>
        <v>100</v>
      </c>
      <c r="G23" s="15" t="n">
        <f aca="false">F23+Assumptions!G45</f>
        <v>100</v>
      </c>
      <c r="H23" s="15" t="n">
        <f aca="false">G23+Assumptions!H45</f>
        <v>100</v>
      </c>
    </row>
    <row r="24" customFormat="false" ht="15" hidden="false" customHeight="false" outlineLevel="0" collapsed="false">
      <c r="B24" s="4" t="s">
        <v>165</v>
      </c>
      <c r="C24" s="26" t="n">
        <v>152</v>
      </c>
      <c r="D24" s="15" t="n">
        <f aca="false">C24+'Income Statement'!D23-'Income Statement'!D27</f>
        <v>195.707157495742</v>
      </c>
      <c r="E24" s="15" t="n">
        <f aca="false">D24+'Income Statement'!E23-'Income Statement'!E27</f>
        <v>244.552256472055</v>
      </c>
      <c r="F24" s="15" t="n">
        <f aca="false">E24+'Income Statement'!F23-'Income Statement'!F27</f>
        <v>298.453580602655</v>
      </c>
      <c r="G24" s="15" t="n">
        <f aca="false">F24+'Income Statement'!G23-'Income Statement'!G27</f>
        <v>357.263391711548</v>
      </c>
      <c r="H24" s="15" t="n">
        <f aca="false">G24+'Income Statement'!H23-'Income Statement'!H27</f>
        <v>420.74307184193</v>
      </c>
    </row>
    <row r="25" customFormat="false" ht="15" hidden="false" customHeight="false" outlineLevel="0" collapsed="false">
      <c r="B25" s="8" t="s">
        <v>166</v>
      </c>
      <c r="C25" s="44" t="n">
        <f aca="false">C23+C24</f>
        <v>252</v>
      </c>
      <c r="D25" s="44" t="n">
        <f aca="false">D23+D24</f>
        <v>295.707157495742</v>
      </c>
      <c r="E25" s="44" t="n">
        <f aca="false">E23+E24</f>
        <v>344.552256472055</v>
      </c>
      <c r="F25" s="44" t="n">
        <f aca="false">F23+F24</f>
        <v>398.453580602655</v>
      </c>
      <c r="G25" s="44" t="n">
        <f aca="false">G23+G24</f>
        <v>457.263391711548</v>
      </c>
      <c r="H25" s="44" t="n">
        <f aca="false">H23+H24</f>
        <v>520.74307184193</v>
      </c>
    </row>
    <row r="26" customFormat="false" ht="15" hidden="false" customHeight="false" outlineLevel="0" collapsed="false">
      <c r="B26" s="8" t="s">
        <v>167</v>
      </c>
      <c r="C26" s="45" t="n">
        <f aca="false">C22+C25</f>
        <v>457</v>
      </c>
      <c r="D26" s="45" t="n">
        <f aca="false">D22+D25</f>
        <v>488.043016240377</v>
      </c>
      <c r="E26" s="45" t="n">
        <f aca="false">E22+E25</f>
        <v>522.60012179827</v>
      </c>
      <c r="F26" s="45" t="n">
        <f aca="false">F22+F25</f>
        <v>560.533863424608</v>
      </c>
      <c r="G26" s="45" t="n">
        <f aca="false">G22+G25</f>
        <v>601.499416694664</v>
      </c>
      <c r="H26" s="45" t="n">
        <f aca="false">H22+H25</f>
        <v>645.060440909975</v>
      </c>
    </row>
    <row r="28" customFormat="false" ht="15" hidden="false" customHeight="false" outlineLevel="0" collapsed="false">
      <c r="B28" s="4" t="s">
        <v>168</v>
      </c>
      <c r="C28" s="15" t="n">
        <f aca="false">ROUND(C14-C26,4)</f>
        <v>0</v>
      </c>
      <c r="D28" s="15" t="n">
        <f aca="false">ROUND(D14-D26,4)</f>
        <v>0</v>
      </c>
      <c r="E28" s="15" t="n">
        <f aca="false">ROUND(E14-E26,4)</f>
        <v>0</v>
      </c>
      <c r="F28" s="15" t="n">
        <f aca="false">ROUND(F14-F26,4)</f>
        <v>0</v>
      </c>
      <c r="G28" s="15" t="n">
        <f aca="false">ROUND(G14-G26,4)</f>
        <v>0</v>
      </c>
      <c r="H28" s="15" t="n">
        <f aca="false">ROUND(H14-H26,4)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9" min="3" style="0" width="13"/>
  </cols>
  <sheetData>
    <row r="2" customFormat="false" ht="19.7" hidden="false" customHeight="false" outlineLevel="0" collapsed="false">
      <c r="B2" s="1" t="s">
        <v>169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12" t="s">
        <v>18</v>
      </c>
      <c r="C5" s="13" t="s">
        <v>19</v>
      </c>
      <c r="D5" s="13" t="s">
        <v>20</v>
      </c>
      <c r="E5" s="13" t="s">
        <v>21</v>
      </c>
      <c r="F5" s="13" t="s">
        <v>22</v>
      </c>
      <c r="G5" s="13" t="s">
        <v>23</v>
      </c>
      <c r="H5" s="13" t="s">
        <v>24</v>
      </c>
    </row>
    <row r="6" customFormat="false" ht="15" hidden="false" customHeight="false" outlineLevel="0" collapsed="false">
      <c r="B6" s="3" t="s">
        <v>170</v>
      </c>
    </row>
    <row r="7" customFormat="false" ht="15" hidden="false" customHeight="false" outlineLevel="0" collapsed="false">
      <c r="B7" s="4" t="s">
        <v>28</v>
      </c>
      <c r="C7" s="48" t="s">
        <v>171</v>
      </c>
      <c r="D7" s="7" t="n">
        <f aca="false">'Income Statement'!D23</f>
        <v>54.6339468696775</v>
      </c>
      <c r="E7" s="7" t="n">
        <f aca="false">'Income Statement'!E23</f>
        <v>61.0563737203908</v>
      </c>
      <c r="F7" s="7" t="n">
        <f aca="false">'Income Statement'!F23</f>
        <v>67.3766551632508</v>
      </c>
      <c r="G7" s="7" t="n">
        <f aca="false">'Income Statement'!G23</f>
        <v>73.5122638861164</v>
      </c>
      <c r="H7" s="7" t="n">
        <f aca="false">'Income Statement'!H23</f>
        <v>79.3496001629774</v>
      </c>
    </row>
    <row r="8" customFormat="false" ht="15" hidden="false" customHeight="false" outlineLevel="0" collapsed="false">
      <c r="B8" s="4" t="s">
        <v>138</v>
      </c>
      <c r="C8" s="49"/>
      <c r="D8" s="7" t="n">
        <f aca="false">'Income Statement'!D16</f>
        <v>21.6</v>
      </c>
      <c r="E8" s="7" t="n">
        <f aca="false">'Income Statement'!E16</f>
        <v>23.112</v>
      </c>
      <c r="F8" s="7" t="n">
        <f aca="false">'Income Statement'!F16</f>
        <v>24.49872</v>
      </c>
      <c r="G8" s="7" t="n">
        <f aca="false">'Income Statement'!G16</f>
        <v>25.723656</v>
      </c>
      <c r="H8" s="7" t="n">
        <f aca="false">'Income Statement'!H16</f>
        <v>26.75260224</v>
      </c>
    </row>
    <row r="9" customFormat="false" ht="15" hidden="false" customHeight="false" outlineLevel="0" collapsed="false">
      <c r="B9" s="4" t="s">
        <v>172</v>
      </c>
      <c r="C9" s="49"/>
      <c r="D9" s="15" t="n">
        <f aca="false">'Balance Sheet'!C8-'Balance Sheet'!D8</f>
        <v>-4.57534246575342</v>
      </c>
      <c r="E9" s="15" t="n">
        <f aca="false">'Balance Sheet'!D8-'Balance Sheet'!E8</f>
        <v>-4.66027397260275</v>
      </c>
      <c r="F9" s="15" t="n">
        <f aca="false">'Balance Sheet'!E8-'Balance Sheet'!F8</f>
        <v>-4.27413698630137</v>
      </c>
      <c r="G9" s="15" t="n">
        <f aca="false">'Balance Sheet'!F8-'Balance Sheet'!G8</f>
        <v>-3.77548767123288</v>
      </c>
      <c r="H9" s="15" t="n">
        <f aca="false">'Balance Sheet'!G8-'Balance Sheet'!H8</f>
        <v>-3.17140964383562</v>
      </c>
    </row>
    <row r="10" customFormat="false" ht="15" hidden="false" customHeight="false" outlineLevel="0" collapsed="false">
      <c r="B10" s="4" t="s">
        <v>173</v>
      </c>
      <c r="C10" s="49"/>
      <c r="D10" s="15" t="n">
        <f aca="false">'Balance Sheet'!C9-'Balance Sheet'!D9</f>
        <v>-3.82191780821918</v>
      </c>
      <c r="E10" s="15" t="n">
        <f aca="false">'Balance Sheet'!D9-'Balance Sheet'!E9</f>
        <v>-3.41753424657536</v>
      </c>
      <c r="F10" s="15" t="n">
        <f aca="false">'Balance Sheet'!E9-'Balance Sheet'!F9</f>
        <v>-3.13436712328767</v>
      </c>
      <c r="G10" s="15" t="n">
        <f aca="false">'Balance Sheet'!F9-'Balance Sheet'!G9</f>
        <v>-2.76869095890412</v>
      </c>
      <c r="H10" s="15" t="n">
        <f aca="false">'Balance Sheet'!G9-'Balance Sheet'!H9</f>
        <v>-2.32570040547946</v>
      </c>
    </row>
    <row r="11" customFormat="false" ht="15" hidden="false" customHeight="false" outlineLevel="0" collapsed="false">
      <c r="B11" s="4" t="s">
        <v>174</v>
      </c>
      <c r="C11" s="49"/>
      <c r="D11" s="15" t="n">
        <f aca="false">'Balance Sheet'!C10-'Balance Sheet'!D10</f>
        <v>-0.800000000000001</v>
      </c>
      <c r="E11" s="15" t="n">
        <f aca="false">'Balance Sheet'!D10-'Balance Sheet'!E10</f>
        <v>-0.756</v>
      </c>
      <c r="F11" s="15" t="n">
        <f aca="false">'Balance Sheet'!E10-'Balance Sheet'!F10</f>
        <v>-0.69336</v>
      </c>
      <c r="G11" s="15" t="n">
        <f aca="false">'Balance Sheet'!F10-'Balance Sheet'!G10</f>
        <v>-0.612468000000002</v>
      </c>
      <c r="H11" s="15" t="n">
        <f aca="false">'Balance Sheet'!G10-'Balance Sheet'!H10</f>
        <v>-0.51447312</v>
      </c>
    </row>
    <row r="12" customFormat="false" ht="15" hidden="false" customHeight="false" outlineLevel="0" collapsed="false">
      <c r="B12" s="4" t="s">
        <v>175</v>
      </c>
      <c r="C12" s="49"/>
      <c r="D12" s="15" t="n">
        <f aca="false">'Balance Sheet'!D17-'Balance Sheet'!C17</f>
        <v>2.54794520547945</v>
      </c>
      <c r="E12" s="15" t="n">
        <f aca="false">'Balance Sheet'!E17-'Balance Sheet'!D17</f>
        <v>2.27835616438357</v>
      </c>
      <c r="F12" s="15" t="n">
        <f aca="false">'Balance Sheet'!F17-'Balance Sheet'!E17</f>
        <v>2.08957808219179</v>
      </c>
      <c r="G12" s="15" t="n">
        <f aca="false">'Balance Sheet'!G17-'Balance Sheet'!F17</f>
        <v>1.84579397260274</v>
      </c>
      <c r="H12" s="15" t="n">
        <f aca="false">'Balance Sheet'!H17-'Balance Sheet'!G17</f>
        <v>1.5504669369863</v>
      </c>
    </row>
    <row r="13" customFormat="false" ht="15" hidden="false" customHeight="false" outlineLevel="0" collapsed="false">
      <c r="B13" s="4" t="s">
        <v>176</v>
      </c>
      <c r="C13" s="49"/>
      <c r="D13" s="15" t="n">
        <f aca="false">'Balance Sheet'!D18-'Balance Sheet'!C18</f>
        <v>2</v>
      </c>
      <c r="E13" s="15" t="n">
        <f aca="false">'Balance Sheet'!E18-'Balance Sheet'!D18</f>
        <v>1.89</v>
      </c>
      <c r="F13" s="15" t="n">
        <f aca="false">'Balance Sheet'!F18-'Balance Sheet'!E18</f>
        <v>1.7334</v>
      </c>
      <c r="G13" s="15" t="n">
        <f aca="false">'Balance Sheet'!G18-'Balance Sheet'!F18</f>
        <v>1.53117</v>
      </c>
      <c r="H13" s="15" t="n">
        <f aca="false">'Balance Sheet'!H18-'Balance Sheet'!G18</f>
        <v>1.2861828</v>
      </c>
    </row>
    <row r="14" customFormat="false" ht="15" hidden="false" customHeight="false" outlineLevel="0" collapsed="false">
      <c r="B14" s="8" t="s">
        <v>177</v>
      </c>
      <c r="C14" s="49"/>
      <c r="D14" s="44" t="n">
        <f aca="false">SUM(D7:D13)</f>
        <v>71.5846318011843</v>
      </c>
      <c r="E14" s="44" t="n">
        <f aca="false">SUM(E7:E13)</f>
        <v>79.5029216655962</v>
      </c>
      <c r="F14" s="44" t="n">
        <f aca="false">SUM(F7:F13)</f>
        <v>87.5964891358535</v>
      </c>
      <c r="G14" s="44" t="n">
        <f aca="false">SUM(G7:G13)</f>
        <v>95.4562372285821</v>
      </c>
      <c r="H14" s="44" t="n">
        <f aca="false">SUM(H7:H13)</f>
        <v>102.927268970649</v>
      </c>
    </row>
    <row r="16" customFormat="false" ht="15" hidden="false" customHeight="false" outlineLevel="0" collapsed="false">
      <c r="B16" s="3" t="s">
        <v>178</v>
      </c>
    </row>
    <row r="17" customFormat="false" ht="15" hidden="false" customHeight="false" outlineLevel="0" collapsed="false">
      <c r="B17" s="4" t="s">
        <v>179</v>
      </c>
      <c r="C17" s="49"/>
      <c r="D17" s="15" t="n">
        <f aca="false">-'Income Statement'!D6*Assumptions!D36</f>
        <v>-27</v>
      </c>
      <c r="E17" s="15" t="n">
        <f aca="false">-'Income Statement'!E6*Assumptions!E36</f>
        <v>-28.89</v>
      </c>
      <c r="F17" s="15" t="n">
        <f aca="false">-'Income Statement'!F6*Assumptions!F36</f>
        <v>-29.398464</v>
      </c>
      <c r="G17" s="15" t="n">
        <f aca="false">-'Income Statement'!G6*Assumptions!G36</f>
        <v>-29.5822044</v>
      </c>
      <c r="H17" s="15" t="n">
        <f aca="false">-'Income Statement'!H6*Assumptions!H36</f>
        <v>-30.09667752</v>
      </c>
    </row>
    <row r="18" customFormat="false" ht="15" hidden="false" customHeight="false" outlineLevel="0" collapsed="false">
      <c r="B18" s="8" t="s">
        <v>180</v>
      </c>
      <c r="C18" s="49"/>
      <c r="D18" s="44" t="n">
        <f aca="false">D17</f>
        <v>-27</v>
      </c>
      <c r="E18" s="44" t="n">
        <f aca="false">E17</f>
        <v>-28.89</v>
      </c>
      <c r="F18" s="44" t="n">
        <f aca="false">F17</f>
        <v>-29.398464</v>
      </c>
      <c r="G18" s="44" t="n">
        <f aca="false">G17</f>
        <v>-29.5822044</v>
      </c>
      <c r="H18" s="44" t="n">
        <f aca="false">H17</f>
        <v>-30.09667752</v>
      </c>
    </row>
    <row r="20" customFormat="false" ht="15" hidden="false" customHeight="false" outlineLevel="0" collapsed="false">
      <c r="B20" s="3" t="s">
        <v>181</v>
      </c>
    </row>
    <row r="21" customFormat="false" ht="15" hidden="false" customHeight="false" outlineLevel="0" collapsed="false">
      <c r="B21" s="4" t="s">
        <v>182</v>
      </c>
      <c r="C21" s="49"/>
      <c r="D21" s="15" t="n">
        <f aca="false">-'Debt Schedule'!D21</f>
        <v>-17.2120864608442</v>
      </c>
      <c r="E21" s="15" t="n">
        <f aca="false">-'Debt Schedule'!E21</f>
        <v>-18.4563495828032</v>
      </c>
      <c r="F21" s="15" t="n">
        <f aca="false">-'Debt Schedule'!F21</f>
        <v>-19.7905605864549</v>
      </c>
      <c r="G21" s="15" t="n">
        <f aca="false">-'Debt Schedule'!G21</f>
        <v>-21.22122181144</v>
      </c>
      <c r="H21" s="15" t="n">
        <f aca="false">-'Debt Schedule'!H21</f>
        <v>-22.7553056520571</v>
      </c>
    </row>
    <row r="22" customFormat="false" ht="15" hidden="false" customHeight="false" outlineLevel="0" collapsed="false">
      <c r="B22" s="4" t="s">
        <v>183</v>
      </c>
      <c r="C22" s="49"/>
      <c r="D22" s="15" t="n">
        <f aca="false">-'Income Statement'!D27</f>
        <v>-10.9267893739355</v>
      </c>
      <c r="E22" s="15" t="n">
        <f aca="false">-'Income Statement'!E27</f>
        <v>-12.2112747440782</v>
      </c>
      <c r="F22" s="15" t="n">
        <f aca="false">-'Income Statement'!F27</f>
        <v>-13.4753310326502</v>
      </c>
      <c r="G22" s="15" t="n">
        <f aca="false">-'Income Statement'!G27</f>
        <v>-14.7024527772233</v>
      </c>
      <c r="H22" s="15" t="n">
        <f aca="false">-'Income Statement'!H27</f>
        <v>-15.8699200325955</v>
      </c>
    </row>
    <row r="23" customFormat="false" ht="15" hidden="false" customHeight="false" outlineLevel="0" collapsed="false">
      <c r="B23" s="4" t="s">
        <v>184</v>
      </c>
      <c r="C23" s="49"/>
      <c r="D23" s="7" t="n">
        <f aca="false">Assumptions!D45</f>
        <v>0</v>
      </c>
      <c r="E23" s="7" t="n">
        <f aca="false">Assumptions!E45</f>
        <v>0</v>
      </c>
      <c r="F23" s="7" t="n">
        <f aca="false">Assumptions!F45</f>
        <v>0</v>
      </c>
      <c r="G23" s="7" t="n">
        <f aca="false">Assumptions!G45</f>
        <v>0</v>
      </c>
      <c r="H23" s="7" t="n">
        <f aca="false">Assumptions!H45</f>
        <v>0</v>
      </c>
    </row>
    <row r="24" customFormat="false" ht="15" hidden="false" customHeight="false" outlineLevel="0" collapsed="false">
      <c r="B24" s="8" t="s">
        <v>185</v>
      </c>
      <c r="C24" s="49"/>
      <c r="D24" s="44" t="n">
        <f aca="false">SUM(D21:D23)</f>
        <v>-28.1388758347797</v>
      </c>
      <c r="E24" s="44" t="n">
        <f aca="false">SUM(E21:E23)</f>
        <v>-30.6676243268813</v>
      </c>
      <c r="F24" s="44" t="n">
        <f aca="false">SUM(F21:F23)</f>
        <v>-33.2658916191051</v>
      </c>
      <c r="G24" s="44" t="n">
        <f aca="false">SUM(G21:G23)</f>
        <v>-35.9236745886633</v>
      </c>
      <c r="H24" s="44" t="n">
        <f aca="false">SUM(H21:H23)</f>
        <v>-38.6252256846526</v>
      </c>
    </row>
    <row r="26" customFormat="false" ht="15" hidden="false" customHeight="false" outlineLevel="0" collapsed="false">
      <c r="B26" s="8" t="s">
        <v>186</v>
      </c>
      <c r="C26" s="49"/>
      <c r="D26" s="44" t="n">
        <f aca="false">D14+D18+D24</f>
        <v>16.4457559664046</v>
      </c>
      <c r="E26" s="44" t="n">
        <f aca="false">E14+E18+E24</f>
        <v>19.9452973387149</v>
      </c>
      <c r="F26" s="44" t="n">
        <f aca="false">F14+F18+F24</f>
        <v>24.9321335167484</v>
      </c>
      <c r="G26" s="44" t="n">
        <f aca="false">G14+G18+G24</f>
        <v>29.9503582399188</v>
      </c>
      <c r="H26" s="44" t="n">
        <f aca="false">H14+H18+H24</f>
        <v>34.205365765996</v>
      </c>
    </row>
    <row r="27" customFormat="false" ht="15" hidden="false" customHeight="false" outlineLevel="0" collapsed="false">
      <c r="B27" s="4" t="s">
        <v>187</v>
      </c>
      <c r="C27" s="49"/>
      <c r="D27" s="7" t="n">
        <f aca="false">'Balance Sheet'!C7</f>
        <v>60</v>
      </c>
      <c r="E27" s="7" t="n">
        <f aca="false">'Balance Sheet'!D7</f>
        <v>76.4457559664046</v>
      </c>
      <c r="F27" s="7" t="n">
        <f aca="false">'Balance Sheet'!E7</f>
        <v>96.3910533051195</v>
      </c>
      <c r="G27" s="7" t="n">
        <f aca="false">'Balance Sheet'!F7</f>
        <v>121.323186821868</v>
      </c>
      <c r="H27" s="7" t="n">
        <f aca="false">'Balance Sheet'!G7</f>
        <v>151.273545061787</v>
      </c>
    </row>
    <row r="28" customFormat="false" ht="15" hidden="false" customHeight="false" outlineLevel="0" collapsed="false">
      <c r="B28" s="8" t="s">
        <v>188</v>
      </c>
      <c r="C28" s="49"/>
      <c r="D28" s="45" t="n">
        <f aca="false">D26+D27</f>
        <v>76.4457559664046</v>
      </c>
      <c r="E28" s="45" t="n">
        <f aca="false">E26+E27</f>
        <v>96.3910533051195</v>
      </c>
      <c r="F28" s="45" t="n">
        <f aca="false">F26+F27</f>
        <v>121.323186821868</v>
      </c>
      <c r="G28" s="45" t="n">
        <f aca="false">G26+G27</f>
        <v>151.273545061787</v>
      </c>
      <c r="H28" s="45" t="n">
        <f aca="false">H26+H27</f>
        <v>185.478910827783</v>
      </c>
    </row>
    <row r="30" customFormat="false" ht="15" hidden="false" customHeight="false" outlineLevel="0" collapsed="false">
      <c r="B30" s="4" t="s">
        <v>189</v>
      </c>
      <c r="C30" s="49"/>
      <c r="D30" s="15" t="n">
        <f aca="false">D14+D17</f>
        <v>44.5846318011843</v>
      </c>
      <c r="E30" s="15" t="n">
        <f aca="false">E14+E17</f>
        <v>50.6129216655962</v>
      </c>
      <c r="F30" s="15" t="n">
        <f aca="false">F14+F17</f>
        <v>58.1980251358535</v>
      </c>
      <c r="G30" s="15" t="n">
        <f aca="false">G14+G17</f>
        <v>65.8740328285821</v>
      </c>
      <c r="H30" s="15" t="n">
        <f aca="false">H14+H17</f>
        <v>72.8305914506486</v>
      </c>
    </row>
    <row r="31" customFormat="false" ht="15" hidden="false" customHeight="false" outlineLevel="0" collapsed="false">
      <c r="B31" s="4" t="s">
        <v>190</v>
      </c>
      <c r="C31" s="49"/>
      <c r="D31" s="15" t="n">
        <f aca="false">SUM(D9:D13)</f>
        <v>-4.64931506849315</v>
      </c>
      <c r="E31" s="15" t="n">
        <f aca="false">SUM(E9:E13)</f>
        <v>-4.66545205479454</v>
      </c>
      <c r="F31" s="15" t="n">
        <f aca="false">SUM(F9:F13)</f>
        <v>-4.27888602739725</v>
      </c>
      <c r="G31" s="15" t="n">
        <f aca="false">SUM(G9:G13)</f>
        <v>-3.77968265753425</v>
      </c>
      <c r="H31" s="15" t="n">
        <f aca="false">SUM(H9:H13)</f>
        <v>-3.17493343232877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3" min="3" style="0" width="15"/>
    <col collapsed="false" customWidth="true" hidden="false" outlineLevel="0" max="9" min="4" style="0" width="13"/>
  </cols>
  <sheetData>
    <row r="2" customFormat="false" ht="19.7" hidden="false" customHeight="false" outlineLevel="0" collapsed="false">
      <c r="B2" s="1" t="s">
        <v>191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192</v>
      </c>
    </row>
    <row r="6" customFormat="false" ht="15" hidden="false" customHeight="false" outlineLevel="0" collapsed="false">
      <c r="B6" s="4" t="s">
        <v>193</v>
      </c>
      <c r="C6" s="6" t="n">
        <f aca="false">Assumptions!F28</f>
        <v>0.1031</v>
      </c>
    </row>
    <row r="7" customFormat="false" ht="15" hidden="false" customHeight="false" outlineLevel="0" collapsed="false">
      <c r="B7" s="4" t="s">
        <v>194</v>
      </c>
      <c r="C7" s="6" t="n">
        <f aca="false">Assumptions!I16</f>
        <v>0.025</v>
      </c>
    </row>
    <row r="8" customFormat="false" ht="15" hidden="false" customHeight="false" outlineLevel="0" collapsed="false">
      <c r="B8" s="4" t="s">
        <v>99</v>
      </c>
      <c r="C8" s="50" t="n">
        <f aca="false">Assumptions!C55</f>
        <v>8</v>
      </c>
    </row>
    <row r="9" customFormat="false" ht="15" hidden="false" customHeight="false" outlineLevel="0" collapsed="false">
      <c r="B9" s="4" t="s">
        <v>195</v>
      </c>
      <c r="C9" s="6" t="n">
        <f aca="false">Assumptions!C54</f>
        <v>0.25</v>
      </c>
    </row>
    <row r="10" customFormat="false" ht="15" hidden="false" customHeight="false" outlineLevel="0" collapsed="false">
      <c r="B10" s="4" t="s">
        <v>196</v>
      </c>
      <c r="C10" s="31" t="n">
        <f aca="false">Assumptions!D9</f>
        <v>1</v>
      </c>
    </row>
    <row r="11" customFormat="false" ht="15" hidden="false" customHeight="false" outlineLevel="0" collapsed="false">
      <c r="B11" s="4" t="s">
        <v>197</v>
      </c>
      <c r="C11" s="31" t="n">
        <f aca="false">Assumptions!D8</f>
        <v>1</v>
      </c>
    </row>
    <row r="12" customFormat="false" ht="15" hidden="false" customHeight="false" outlineLevel="0" collapsed="false">
      <c r="B12" s="4" t="s">
        <v>198</v>
      </c>
      <c r="C12" s="51" t="str">
        <f aca="false">"Growth: "&amp;Assumptions!C6&amp;" | WACC: "&amp;Assumptions!C7&amp;" | TV: "&amp;Assumptions!C8</f>
        <v>Growth: Base | WACC: Base | TV: Perpetuity Growth</v>
      </c>
    </row>
    <row r="14" customFormat="false" ht="15" hidden="false" customHeight="false" outlineLevel="0" collapsed="false">
      <c r="B14" s="3" t="s">
        <v>199</v>
      </c>
    </row>
    <row r="15" customFormat="false" ht="15" hidden="false" customHeight="false" outlineLevel="0" collapsed="false">
      <c r="B15" s="12" t="s">
        <v>18</v>
      </c>
      <c r="C15" s="12"/>
      <c r="D15" s="13" t="s">
        <v>20</v>
      </c>
      <c r="E15" s="13" t="s">
        <v>21</v>
      </c>
      <c r="F15" s="13" t="s">
        <v>22</v>
      </c>
      <c r="G15" s="13" t="s">
        <v>23</v>
      </c>
      <c r="H15" s="13" t="s">
        <v>24</v>
      </c>
    </row>
    <row r="16" customFormat="false" ht="15" hidden="false" customHeight="false" outlineLevel="0" collapsed="false">
      <c r="B16" s="4" t="s">
        <v>25</v>
      </c>
      <c r="D16" s="7" t="n">
        <f aca="false">'Income Statement'!D6</f>
        <v>540</v>
      </c>
      <c r="E16" s="7" t="n">
        <f aca="false">'Income Statement'!E6</f>
        <v>577.8</v>
      </c>
      <c r="F16" s="7" t="n">
        <f aca="false">'Income Statement'!F6</f>
        <v>612.468</v>
      </c>
      <c r="G16" s="7" t="n">
        <f aca="false">'Income Statement'!G6</f>
        <v>643.0914</v>
      </c>
      <c r="H16" s="7" t="n">
        <f aca="false">'Income Statement'!H6</f>
        <v>668.815056</v>
      </c>
    </row>
    <row r="17" customFormat="false" ht="15" hidden="false" customHeight="false" outlineLevel="0" collapsed="false">
      <c r="B17" s="4" t="s">
        <v>26</v>
      </c>
      <c r="D17" s="7" t="n">
        <f aca="false">'Income Statement'!D14</f>
        <v>102.6</v>
      </c>
      <c r="E17" s="7" t="n">
        <f aca="false">'Income Statement'!E14</f>
        <v>110.9376</v>
      </c>
      <c r="F17" s="7" t="n">
        <f aca="false">'Income Statement'!F14</f>
        <v>118.818792</v>
      </c>
      <c r="G17" s="7" t="n">
        <f aca="false">'Income Statement'!G14</f>
        <v>126.0459144</v>
      </c>
      <c r="H17" s="7" t="n">
        <f aca="false">'Income Statement'!H14</f>
        <v>132.425381088</v>
      </c>
    </row>
    <row r="18" customFormat="false" ht="15" hidden="false" customHeight="false" outlineLevel="0" collapsed="false">
      <c r="B18" s="4" t="s">
        <v>200</v>
      </c>
      <c r="D18" s="7" t="n">
        <f aca="false">'Income Statement'!D17</f>
        <v>81</v>
      </c>
      <c r="E18" s="7" t="n">
        <f aca="false">'Income Statement'!E17</f>
        <v>87.8256</v>
      </c>
      <c r="F18" s="7" t="n">
        <f aca="false">'Income Statement'!F17</f>
        <v>94.320072</v>
      </c>
      <c r="G18" s="7" t="n">
        <f aca="false">'Income Statement'!G17</f>
        <v>100.3222584</v>
      </c>
      <c r="H18" s="7" t="n">
        <f aca="false">'Income Statement'!H17</f>
        <v>105.672778848</v>
      </c>
    </row>
    <row r="19" customFormat="false" ht="15" hidden="false" customHeight="false" outlineLevel="0" collapsed="false">
      <c r="B19" s="4" t="s">
        <v>201</v>
      </c>
      <c r="D19" s="15" t="n">
        <f aca="false">-D18*$C$9</f>
        <v>-20.25</v>
      </c>
      <c r="E19" s="15" t="n">
        <f aca="false">-E18*$C$9</f>
        <v>-21.9564</v>
      </c>
      <c r="F19" s="15" t="n">
        <f aca="false">-F18*$C$9</f>
        <v>-23.580018</v>
      </c>
      <c r="G19" s="15" t="n">
        <f aca="false">-G18*$C$9</f>
        <v>-25.0805646</v>
      </c>
      <c r="H19" s="15" t="n">
        <f aca="false">-H18*$C$9</f>
        <v>-26.418194712</v>
      </c>
    </row>
    <row r="20" customFormat="false" ht="15" hidden="false" customHeight="false" outlineLevel="0" collapsed="false">
      <c r="B20" s="8" t="s">
        <v>202</v>
      </c>
      <c r="D20" s="44" t="n">
        <f aca="false">D18+D19</f>
        <v>60.75</v>
      </c>
      <c r="E20" s="44" t="n">
        <f aca="false">E18+E19</f>
        <v>65.8692</v>
      </c>
      <c r="F20" s="44" t="n">
        <f aca="false">F18+F19</f>
        <v>70.740054</v>
      </c>
      <c r="G20" s="44" t="n">
        <f aca="false">G18+G19</f>
        <v>75.2416938</v>
      </c>
      <c r="H20" s="44" t="n">
        <f aca="false">H18+H19</f>
        <v>79.254584136</v>
      </c>
    </row>
    <row r="21" customFormat="false" ht="15" hidden="false" customHeight="false" outlineLevel="0" collapsed="false">
      <c r="B21" s="4" t="s">
        <v>203</v>
      </c>
      <c r="D21" s="7" t="n">
        <f aca="false">'Income Statement'!D16</f>
        <v>21.6</v>
      </c>
      <c r="E21" s="7" t="n">
        <f aca="false">'Income Statement'!E16</f>
        <v>23.112</v>
      </c>
      <c r="F21" s="7" t="n">
        <f aca="false">'Income Statement'!F16</f>
        <v>24.49872</v>
      </c>
      <c r="G21" s="7" t="n">
        <f aca="false">'Income Statement'!G16</f>
        <v>25.723656</v>
      </c>
      <c r="H21" s="7" t="n">
        <f aca="false">'Income Statement'!H16</f>
        <v>26.75260224</v>
      </c>
    </row>
    <row r="22" customFormat="false" ht="15" hidden="false" customHeight="false" outlineLevel="0" collapsed="false">
      <c r="B22" s="4" t="s">
        <v>204</v>
      </c>
      <c r="D22" s="7" t="n">
        <f aca="false">'Cash Flow'!D17</f>
        <v>-27</v>
      </c>
      <c r="E22" s="7" t="n">
        <f aca="false">'Cash Flow'!E17</f>
        <v>-28.89</v>
      </c>
      <c r="F22" s="7" t="n">
        <f aca="false">'Cash Flow'!F17</f>
        <v>-29.398464</v>
      </c>
      <c r="G22" s="7" t="n">
        <f aca="false">'Cash Flow'!G17</f>
        <v>-29.5822044</v>
      </c>
      <c r="H22" s="7" t="n">
        <f aca="false">'Cash Flow'!H17</f>
        <v>-30.09667752</v>
      </c>
    </row>
    <row r="23" customFormat="false" ht="15" hidden="false" customHeight="false" outlineLevel="0" collapsed="false">
      <c r="B23" s="4" t="s">
        <v>205</v>
      </c>
      <c r="D23" s="7" t="n">
        <f aca="false">'Cash Flow'!D31</f>
        <v>-4.64931506849315</v>
      </c>
      <c r="E23" s="7" t="n">
        <f aca="false">'Cash Flow'!E31</f>
        <v>-4.66545205479454</v>
      </c>
      <c r="F23" s="7" t="n">
        <f aca="false">'Cash Flow'!F31</f>
        <v>-4.27888602739725</v>
      </c>
      <c r="G23" s="7" t="n">
        <f aca="false">'Cash Flow'!G31</f>
        <v>-3.77968265753425</v>
      </c>
      <c r="H23" s="7" t="n">
        <f aca="false">'Cash Flow'!H31</f>
        <v>-3.17493343232877</v>
      </c>
    </row>
    <row r="24" customFormat="false" ht="15" hidden="false" customHeight="false" outlineLevel="0" collapsed="false">
      <c r="B24" s="8" t="s">
        <v>30</v>
      </c>
      <c r="D24" s="45" t="n">
        <f aca="false">D20+D21+D22+D23</f>
        <v>50.7006849315068</v>
      </c>
      <c r="E24" s="45" t="n">
        <f aca="false">E20+E21+E22+E23</f>
        <v>55.4257479452054</v>
      </c>
      <c r="F24" s="45" t="n">
        <f aca="false">F20+F21+F22+F23</f>
        <v>61.5614239726028</v>
      </c>
      <c r="G24" s="45" t="n">
        <f aca="false">G20+G21+G22+G23</f>
        <v>67.6034627424658</v>
      </c>
      <c r="H24" s="45" t="n">
        <f aca="false">H20+H21+H22+H23</f>
        <v>72.7355754236712</v>
      </c>
    </row>
    <row r="25" customFormat="false" ht="15" hidden="false" customHeight="false" outlineLevel="0" collapsed="false">
      <c r="B25" s="4" t="s">
        <v>206</v>
      </c>
      <c r="D25" s="52" t="n">
        <v>1</v>
      </c>
      <c r="E25" s="53" t="n">
        <f aca="false">D25+1</f>
        <v>2</v>
      </c>
      <c r="F25" s="53" t="n">
        <f aca="false">E25+1</f>
        <v>3</v>
      </c>
      <c r="G25" s="53" t="n">
        <f aca="false">F25+1</f>
        <v>4</v>
      </c>
      <c r="H25" s="53" t="n">
        <f aca="false">G25+1</f>
        <v>5</v>
      </c>
    </row>
    <row r="26" customFormat="false" ht="15" hidden="false" customHeight="false" outlineLevel="0" collapsed="false">
      <c r="B26" s="4" t="s">
        <v>207</v>
      </c>
      <c r="D26" s="53" t="n">
        <f aca="false">D25-0.5*$C$10</f>
        <v>0.5</v>
      </c>
      <c r="E26" s="53" t="n">
        <f aca="false">E25-0.5*$C$10</f>
        <v>1.5</v>
      </c>
      <c r="F26" s="53" t="n">
        <f aca="false">F25-0.5*$C$10</f>
        <v>2.5</v>
      </c>
      <c r="G26" s="53" t="n">
        <f aca="false">G25-0.5*$C$10</f>
        <v>3.5</v>
      </c>
      <c r="H26" s="53" t="n">
        <f aca="false">H25-0.5*$C$10</f>
        <v>4.5</v>
      </c>
    </row>
    <row r="27" customFormat="false" ht="15" hidden="false" customHeight="false" outlineLevel="0" collapsed="false">
      <c r="B27" s="4" t="s">
        <v>208</v>
      </c>
      <c r="D27" s="54" t="n">
        <f aca="false">1/(1+$C$6)^D26</f>
        <v>0.952121906829477</v>
      </c>
      <c r="E27" s="54" t="n">
        <f aca="false">1/(1+$C$6)^E26</f>
        <v>0.863132904387161</v>
      </c>
      <c r="F27" s="54" t="n">
        <f aca="false">1/(1+$C$6)^F26</f>
        <v>0.782461158904144</v>
      </c>
      <c r="G27" s="54" t="n">
        <f aca="false">1/(1+$C$6)^G26</f>
        <v>0.709329307319503</v>
      </c>
      <c r="H27" s="54" t="n">
        <f aca="false">1/(1+$C$6)^H26</f>
        <v>0.643032641935911</v>
      </c>
    </row>
    <row r="28" customFormat="false" ht="15" hidden="false" customHeight="false" outlineLevel="0" collapsed="false">
      <c r="B28" s="8" t="s">
        <v>209</v>
      </c>
      <c r="D28" s="36" t="n">
        <f aca="false">D24*D27</f>
        <v>48.2732328145468</v>
      </c>
      <c r="E28" s="36" t="n">
        <f aca="false">E24*E27</f>
        <v>47.8397868017759</v>
      </c>
      <c r="F28" s="36" t="n">
        <f aca="false">F24*F27</f>
        <v>48.1694231453921</v>
      </c>
      <c r="G28" s="36" t="n">
        <f aca="false">G24*G27</f>
        <v>47.9531173995131</v>
      </c>
      <c r="H28" s="36" t="n">
        <f aca="false">H24*H27</f>
        <v>46.771349227412</v>
      </c>
    </row>
    <row r="30" customFormat="false" ht="15" hidden="false" customHeight="false" outlineLevel="0" collapsed="false">
      <c r="B30" s="3" t="s">
        <v>210</v>
      </c>
    </row>
    <row r="31" customFormat="false" ht="15" hidden="false" customHeight="false" outlineLevel="0" collapsed="false">
      <c r="B31" s="4" t="s">
        <v>211</v>
      </c>
      <c r="C31" s="15" t="n">
        <f aca="false">H24</f>
        <v>72.7355754236712</v>
      </c>
    </row>
    <row r="32" customFormat="false" ht="15" hidden="false" customHeight="false" outlineLevel="0" collapsed="false">
      <c r="B32" s="4" t="s">
        <v>212</v>
      </c>
      <c r="C32" s="15" t="n">
        <f aca="false">IF(C6&gt;C7,H24*(1+C7)/(C6-C7),NA())</f>
        <v>954.596220349078</v>
      </c>
    </row>
    <row r="33" customFormat="false" ht="15" hidden="false" customHeight="false" outlineLevel="0" collapsed="false">
      <c r="B33" s="4" t="s">
        <v>213</v>
      </c>
      <c r="C33" s="15" t="n">
        <f aca="false">H17*C8</f>
        <v>1059.403048704</v>
      </c>
    </row>
    <row r="34" customFormat="false" ht="15" hidden="false" customHeight="false" outlineLevel="0" collapsed="false">
      <c r="B34" s="8" t="s">
        <v>214</v>
      </c>
      <c r="C34" s="36" t="n">
        <f aca="false">CHOOSE(C11,C32,C33)</f>
        <v>954.596220349078</v>
      </c>
    </row>
    <row r="35" customFormat="false" ht="15" hidden="false" customHeight="false" outlineLevel="0" collapsed="false">
      <c r="B35" s="4" t="s">
        <v>215</v>
      </c>
      <c r="C35" s="54" t="n">
        <f aca="false">1/(1+C6)^H25</f>
        <v>0.612245465193616</v>
      </c>
    </row>
    <row r="36" customFormat="false" ht="15" hidden="false" customHeight="false" outlineLevel="0" collapsed="false">
      <c r="B36" s="8" t="s">
        <v>216</v>
      </c>
      <c r="C36" s="36" t="n">
        <f aca="false">C34*C35</f>
        <v>584.447206999688</v>
      </c>
    </row>
    <row r="37" customFormat="false" ht="15" hidden="false" customHeight="false" outlineLevel="0" collapsed="false">
      <c r="B37" s="4" t="s">
        <v>217</v>
      </c>
      <c r="C37" s="55" t="n">
        <f aca="false">C32/H17</f>
        <v>7.20855936004235</v>
      </c>
    </row>
    <row r="38" customFormat="false" ht="15" hidden="false" customHeight="false" outlineLevel="0" collapsed="false">
      <c r="B38" s="4" t="s">
        <v>218</v>
      </c>
      <c r="C38" s="11" t="n">
        <f aca="false">(C33*C6-H24)/(C33+H24)</f>
        <v>0.0322300450846524</v>
      </c>
    </row>
    <row r="40" customFormat="false" ht="15" hidden="false" customHeight="false" outlineLevel="0" collapsed="false">
      <c r="B40" s="3" t="s">
        <v>219</v>
      </c>
    </row>
    <row r="41" customFormat="false" ht="15" hidden="false" customHeight="false" outlineLevel="0" collapsed="false">
      <c r="B41" s="4" t="s">
        <v>220</v>
      </c>
      <c r="C41" s="15" t="n">
        <f aca="false">SUM(D28:H28)</f>
        <v>239.00690938864</v>
      </c>
    </row>
    <row r="42" customFormat="false" ht="15" hidden="false" customHeight="false" outlineLevel="0" collapsed="false">
      <c r="B42" s="4" t="s">
        <v>221</v>
      </c>
      <c r="C42" s="15" t="n">
        <f aca="false">C36</f>
        <v>584.447206999688</v>
      </c>
    </row>
    <row r="43" customFormat="false" ht="15" hidden="false" customHeight="false" outlineLevel="0" collapsed="false">
      <c r="B43" s="8" t="s">
        <v>222</v>
      </c>
      <c r="C43" s="44" t="n">
        <f aca="false">C41+C42</f>
        <v>823.454116388328</v>
      </c>
    </row>
    <row r="44" customFormat="false" ht="15" hidden="false" customHeight="false" outlineLevel="0" collapsed="false">
      <c r="B44" s="14" t="s">
        <v>223</v>
      </c>
      <c r="C44" s="11" t="n">
        <f aca="false">C42/C43</f>
        <v>0.709750786799239</v>
      </c>
    </row>
    <row r="45" customFormat="false" ht="15" hidden="false" customHeight="false" outlineLevel="0" collapsed="false">
      <c r="B45" s="4" t="s">
        <v>224</v>
      </c>
      <c r="C45" s="15" t="n">
        <f aca="false">-('Balance Sheet'!C19+'Balance Sheet'!C21)</f>
        <v>-150</v>
      </c>
    </row>
    <row r="46" customFormat="false" ht="15" hidden="false" customHeight="false" outlineLevel="0" collapsed="false">
      <c r="B46" s="4" t="s">
        <v>225</v>
      </c>
      <c r="C46" s="7" t="n">
        <f aca="false">'Balance Sheet'!C7</f>
        <v>60</v>
      </c>
    </row>
    <row r="47" customFormat="false" ht="15" hidden="false" customHeight="false" outlineLevel="0" collapsed="false">
      <c r="B47" s="8" t="s">
        <v>226</v>
      </c>
      <c r="C47" s="44" t="n">
        <f aca="false">C43+C45+C46</f>
        <v>733.454116388328</v>
      </c>
    </row>
    <row r="48" customFormat="false" ht="15" hidden="false" customHeight="false" outlineLevel="0" collapsed="false">
      <c r="B48" s="4" t="s">
        <v>97</v>
      </c>
      <c r="C48" s="7" t="n">
        <f aca="false">Assumptions!C53</f>
        <v>50</v>
      </c>
    </row>
    <row r="49" customFormat="false" ht="15" hidden="false" customHeight="false" outlineLevel="0" collapsed="false">
      <c r="B49" s="8" t="s">
        <v>12</v>
      </c>
      <c r="C49" s="56" t="n">
        <f aca="false">C47/C48</f>
        <v>14.6690823277666</v>
      </c>
    </row>
    <row r="50" customFormat="false" ht="15" hidden="false" customHeight="false" outlineLevel="0" collapsed="false">
      <c r="B50" s="4" t="s">
        <v>13</v>
      </c>
      <c r="C50" s="10" t="n">
        <f aca="false">Assumptions!C57</f>
        <v>12</v>
      </c>
    </row>
    <row r="51" customFormat="false" ht="15" hidden="false" customHeight="false" outlineLevel="0" collapsed="false">
      <c r="B51" s="4" t="s">
        <v>14</v>
      </c>
      <c r="C51" s="11" t="n">
        <f aca="false">C49/C50-1</f>
        <v>0.22242352731388</v>
      </c>
    </row>
    <row r="52" customFormat="false" ht="15" hidden="false" customHeight="false" outlineLevel="0" collapsed="false">
      <c r="B52" s="4" t="s">
        <v>227</v>
      </c>
      <c r="C52" s="55" t="n">
        <f aca="false">C43/'Income Statement'!C14</f>
        <v>8.66793806724556</v>
      </c>
    </row>
    <row r="53" customFormat="false" ht="15" hidden="false" customHeight="false" outlineLevel="0" collapsed="false">
      <c r="B53" s="4" t="s">
        <v>228</v>
      </c>
      <c r="C53" s="55" t="n">
        <f aca="false">C43/'Income Statement'!D14</f>
        <v>8.02586858078293</v>
      </c>
    </row>
    <row r="55" customFormat="false" ht="15" hidden="false" customHeight="false" outlineLevel="0" collapsed="false">
      <c r="B55" s="3" t="s">
        <v>229</v>
      </c>
    </row>
    <row r="56" customFormat="false" ht="15" hidden="false" customHeight="false" outlineLevel="0" collapsed="false">
      <c r="B56" s="8" t="s">
        <v>230</v>
      </c>
      <c r="D56" s="57" t="n">
        <f aca="false">$C$7+(-0.01)</f>
        <v>0.015</v>
      </c>
      <c r="E56" s="57" t="n">
        <f aca="false">$C$7+(-0.005)</f>
        <v>0.02</v>
      </c>
      <c r="F56" s="57" t="n">
        <f aca="false">$C$7+(0)</f>
        <v>0.025</v>
      </c>
      <c r="G56" s="57" t="n">
        <f aca="false">$C$7+(0.005)</f>
        <v>0.03</v>
      </c>
      <c r="H56" s="57" t="n">
        <f aca="false">$C$7+(0.01)</f>
        <v>0.035</v>
      </c>
    </row>
    <row r="57" customFormat="false" ht="15" hidden="false" customHeight="false" outlineLevel="0" collapsed="false">
      <c r="C57" s="58" t="n">
        <f aca="false">$C$6+(-0.01)</f>
        <v>0.0931</v>
      </c>
      <c r="D57" s="47" t="n">
        <f aca="false">IF($C57&lt;=D$56,"n/a",(SUMPRODUCT($D$24:$H$24,1/(1+$C57)^$D$26:$H$26)+$H$24*(1+D$56)/($C57-D$56)/(1+$C57)^$H$25+$C$45+$C$46)/$C$48)</f>
        <v>15.2042150038198</v>
      </c>
      <c r="E57" s="47" t="n">
        <f aca="false">IF($C57&lt;=E$56,"n/a",(SUMPRODUCT($D$24:$H$24,1/(1+$C57)^$D$26:$H$26)+$H$24*(1+E$56)/($C57-E$56)/(1+$C57)^$H$25+$C$45+$C$46)/$C$48)</f>
        <v>16.0965725301325</v>
      </c>
      <c r="F57" s="47" t="n">
        <f aca="false">IF($C57&lt;=F$56,"n/a",(SUMPRODUCT($D$24:$H$24,1/(1+$C57)^$D$26:$H$26)+$H$24*(1+F$56)/($C57-F$56)/(1+$C57)^$H$25+$C$45+$C$46)/$C$48)</f>
        <v>17.1199664039213</v>
      </c>
      <c r="G57" s="47" t="n">
        <f aca="false">IF($C57&lt;=G$56,"n/a",(SUMPRODUCT($D$24:$H$24,1/(1+$C57)^$D$26:$H$26)+$H$24*(1+G$56)/($C57-G$56)/(1+$C57)^$H$25+$C$45+$C$46)/$C$48)</f>
        <v>18.3055463115911</v>
      </c>
      <c r="H57" s="47" t="n">
        <f aca="false">IF($C57&lt;=H$56,"n/a",(SUMPRODUCT($D$24:$H$24,1/(1+$C57)^$D$26:$H$26)+$H$24*(1+H$56)/($C57-H$56)/(1+$C57)^$H$25+$C$45+$C$46)/$C$48)</f>
        <v>19.6951847231627</v>
      </c>
    </row>
    <row r="58" customFormat="false" ht="15" hidden="false" customHeight="false" outlineLevel="0" collapsed="false">
      <c r="C58" s="58" t="n">
        <f aca="false">$C$6+(-0.005)</f>
        <v>0.0981</v>
      </c>
      <c r="D58" s="47" t="n">
        <f aca="false">IF($C58&lt;=D$56,"n/a",(SUMPRODUCT($D$24:$H$24,1/(1+$C58)^$D$26:$H$26)+$H$24*(1+D$56)/($C58-D$56)/(1+$C58)^$H$25+$C$45+$C$46)/$C$48)</f>
        <v>14.1629641323077</v>
      </c>
      <c r="E58" s="47" t="n">
        <f aca="false">IF($C58&lt;=E$56,"n/a",(SUMPRODUCT($D$24:$H$24,1/(1+$C58)^$D$26:$H$26)+$H$24*(1+E$56)/($C58-E$56)/(1+$C58)^$H$25+$C$45+$C$46)/$C$48)</f>
        <v>14.9337384848777</v>
      </c>
      <c r="F58" s="47" t="n">
        <f aca="false">IF($C58&lt;=F$56,"n/a",(SUMPRODUCT($D$24:$H$24,1/(1+$C58)^$D$26:$H$26)+$H$24*(1+F$56)/($C58-F$56)/(1+$C58)^$H$25+$C$45+$C$46)/$C$48)</f>
        <v>15.8099539253505</v>
      </c>
      <c r="G58" s="47" t="n">
        <f aca="false">IF($C58&lt;=G$56,"n/a",(SUMPRODUCT($D$24:$H$24,1/(1+$C58)^$D$26:$H$26)+$H$24*(1+G$56)/($C58-G$56)/(1+$C58)^$H$25+$C$45+$C$46)/$C$48)</f>
        <v>16.8148353629559</v>
      </c>
      <c r="H58" s="47" t="n">
        <f aca="false">IF($C58&lt;=H$56,"n/a",(SUMPRODUCT($D$24:$H$24,1/(1+$C58)^$D$26:$H$26)+$H$24*(1+H$56)/($C58-H$56)/(1+$C58)^$H$25+$C$45+$C$46)/$C$48)</f>
        <v>17.9789690093736</v>
      </c>
    </row>
    <row r="59" customFormat="false" ht="15" hidden="false" customHeight="false" outlineLevel="0" collapsed="false">
      <c r="C59" s="58" t="n">
        <f aca="false">$C$6+(0)</f>
        <v>0.1031</v>
      </c>
      <c r="D59" s="47" t="n">
        <f aca="false">IF($C59&lt;=D$56,"n/a",(SUMPRODUCT($D$24:$H$24,1/(1+$C59)^$D$26:$H$26)+$H$24*(1+D$56)/($C59-D$56)/(1+$C59)^$H$25+$C$45+$C$46)/$C$48)</f>
        <v>13.2412066564588</v>
      </c>
      <c r="E59" s="47" t="n">
        <f aca="false">IF($C59&lt;=E$56,"n/a",(SUMPRODUCT($D$24:$H$24,1/(1+$C59)^$D$26:$H$26)+$H$24*(1+E$56)/($C59-E$56)/(1+$C59)^$H$25+$C$45+$C$46)/$C$48)</f>
        <v>13.9121879436377</v>
      </c>
      <c r="F59" s="47" t="n">
        <f aca="false">IF($C59&lt;=F$56,"n/a",(SUMPRODUCT($D$24:$H$24,1/(1+$C59)^$D$26:$H$26)+$H$24*(1+F$56)/($C59-F$56)/(1+$C59)^$H$25+$C$45+$C$46)/$C$48)</f>
        <v>14.6690823277666</v>
      </c>
      <c r="G59" s="47" t="n">
        <f aca="false">IF($C59&lt;=G$56,"n/a",(SUMPRODUCT($D$24:$H$24,1/(1+$C59)^$D$26:$H$26)+$H$24*(1+G$56)/($C59-G$56)/(1+$C59)^$H$25+$C$45+$C$46)/$C$48)</f>
        <v>15.5295190353057</v>
      </c>
      <c r="H59" s="47" t="n">
        <f aca="false">IF($C59&lt;=H$56,"n/a",(SUMPRODUCT($D$24:$H$24,1/(1+$C59)^$D$26:$H$26)+$H$24*(1+H$56)/($C59-H$56)/(1+$C59)^$H$25+$C$45+$C$46)/$C$48)</f>
        <v>16.5163047454203</v>
      </c>
    </row>
    <row r="60" customFormat="false" ht="15" hidden="false" customHeight="false" outlineLevel="0" collapsed="false">
      <c r="C60" s="58" t="n">
        <f aca="false">$C$6+(0.005)</f>
        <v>0.1081</v>
      </c>
      <c r="D60" s="47" t="n">
        <f aca="false">IF($C60&lt;=D$56,"n/a",(SUMPRODUCT($D$24:$H$24,1/(1+$C60)^$D$26:$H$26)+$H$24*(1+D$56)/($C60-D$56)/(1+$C60)^$H$25+$C$45+$C$46)/$C$48)</f>
        <v>12.4196428890273</v>
      </c>
      <c r="E60" s="47" t="n">
        <f aca="false">IF($C60&lt;=E$56,"n/a",(SUMPRODUCT($D$24:$H$24,1/(1+$C60)^$D$26:$H$26)+$H$24*(1+E$56)/($C60-E$56)/(1+$C60)^$H$25+$C$45+$C$46)/$C$48)</f>
        <v>13.0078164113378</v>
      </c>
      <c r="F60" s="47" t="n">
        <f aca="false">IF($C60&lt;=F$56,"n/a",(SUMPRODUCT($D$24:$H$24,1/(1+$C60)^$D$26:$H$26)+$H$24*(1+F$56)/($C60-F$56)/(1+$C60)^$H$25+$C$45+$C$46)/$C$48)</f>
        <v>13.6667689375363</v>
      </c>
      <c r="G60" s="47" t="n">
        <f aca="false">IF($C60&lt;=G$56,"n/a",(SUMPRODUCT($D$24:$H$24,1/(1+$C60)^$D$26:$H$26)+$H$24*(1+G$56)/($C60-G$56)/(1+$C60)^$H$25+$C$45+$C$46)/$C$48)</f>
        <v>14.4100943864236</v>
      </c>
      <c r="H60" s="47" t="n">
        <f aca="false">IF($C60&lt;=H$56,"n/a",(SUMPRODUCT($D$24:$H$24,1/(1+$C60)^$D$26:$H$26)+$H$24*(1+H$56)/($C60-H$56)/(1+$C60)^$H$25+$C$45+$C$46)/$C$48)</f>
        <v>15.2551059432297</v>
      </c>
    </row>
    <row r="61" customFormat="false" ht="15" hidden="false" customHeight="false" outlineLevel="0" collapsed="false">
      <c r="C61" s="58" t="n">
        <f aca="false">$C$6+(0.01)</f>
        <v>0.1131</v>
      </c>
      <c r="D61" s="47" t="n">
        <f aca="false">IF($C61&lt;=D$56,"n/a",(SUMPRODUCT($D$24:$H$24,1/(1+$C61)^$D$26:$H$26)+$H$24*(1+D$56)/($C61-D$56)/(1+$C61)^$H$25+$C$45+$C$46)/$C$48)</f>
        <v>11.6829096829832</v>
      </c>
      <c r="E61" s="47" t="n">
        <f aca="false">IF($C61&lt;=E$56,"n/a",(SUMPRODUCT($D$24:$H$24,1/(1+$C61)^$D$26:$H$26)+$H$24*(1+E$56)/($C61-E$56)/(1+$C61)^$H$25+$C$45+$C$46)/$C$48)</f>
        <v>12.2016995198086</v>
      </c>
      <c r="F61" s="47" t="n">
        <f aca="false">IF($C61&lt;=F$56,"n/a",(SUMPRODUCT($D$24:$H$24,1/(1+$C61)^$D$26:$H$26)+$H$24*(1+F$56)/($C61-F$56)/(1+$C61)^$H$25+$C$45+$C$46)/$C$48)</f>
        <v>12.7793758307345</v>
      </c>
      <c r="G61" s="47" t="n">
        <f aca="false">IF($C61&lt;=G$56,"n/a",(SUMPRODUCT($D$24:$H$24,1/(1+$C61)^$D$26:$H$26)+$H$24*(1+G$56)/($C61-G$56)/(1+$C61)^$H$25+$C$45+$C$46)/$C$48)</f>
        <v>13.4265679432159</v>
      </c>
      <c r="H61" s="47" t="n">
        <f aca="false">IF($C61&lt;=H$56,"n/a",(SUMPRODUCT($D$24:$H$24,1/(1+$C61)^$D$26:$H$26)+$H$24*(1+H$56)/($C61-H$56)/(1+$C61)^$H$25+$C$45+$C$46)/$C$48)</f>
        <v>14.1566271635695</v>
      </c>
    </row>
    <row r="63" customFormat="false" ht="15" hidden="false" customHeight="false" outlineLevel="0" collapsed="false">
      <c r="B63" s="3" t="s">
        <v>231</v>
      </c>
    </row>
    <row r="64" customFormat="false" ht="15" hidden="false" customHeight="false" outlineLevel="0" collapsed="false">
      <c r="B64" s="8" t="s">
        <v>232</v>
      </c>
      <c r="D64" s="59" t="n">
        <f aca="false">$C$8+(-2)</f>
        <v>6</v>
      </c>
      <c r="E64" s="59" t="n">
        <f aca="false">$C$8+(-1)</f>
        <v>7</v>
      </c>
      <c r="F64" s="59" t="n">
        <f aca="false">$C$8+(0)</f>
        <v>8</v>
      </c>
      <c r="G64" s="59" t="n">
        <f aca="false">$C$8+(1)</f>
        <v>9</v>
      </c>
      <c r="H64" s="59" t="n">
        <f aca="false">$C$8+(2)</f>
        <v>10</v>
      </c>
    </row>
    <row r="65" customFormat="false" ht="15" hidden="false" customHeight="false" outlineLevel="0" collapsed="false">
      <c r="C65" s="58" t="n">
        <f aca="false">$C$6+(-0.01)</f>
        <v>0.0931</v>
      </c>
      <c r="D65" s="47" t="n">
        <f aca="false">(SUMPRODUCT($D$24:$H$24,1/(1+$C65)^$D$26:$H$26)+$H$17*D$64/(1+$C65)^$H$25+$C$45+$C$46)/$C$48</f>
        <v>13.2725468131969</v>
      </c>
      <c r="E65" s="47" t="n">
        <f aca="false">(SUMPRODUCT($D$24:$H$24,1/(1+$C65)^$D$26:$H$26)+$H$17*E$64/(1+$C65)^$H$25+$C$45+$C$46)/$C$48</f>
        <v>14.9696246256936</v>
      </c>
      <c r="F65" s="47" t="n">
        <f aca="false">(SUMPRODUCT($D$24:$H$24,1/(1+$C65)^$D$26:$H$26)+$H$17*F$64/(1+$C65)^$H$25+$C$45+$C$46)/$C$48</f>
        <v>16.6667024381904</v>
      </c>
      <c r="G65" s="47" t="n">
        <f aca="false">(SUMPRODUCT($D$24:$H$24,1/(1+$C65)^$D$26:$H$26)+$H$17*G$64/(1+$C65)^$H$25+$C$45+$C$46)/$C$48</f>
        <v>18.3637802506872</v>
      </c>
      <c r="H65" s="47" t="n">
        <f aca="false">(SUMPRODUCT($D$24:$H$24,1/(1+$C65)^$D$26:$H$26)+$H$17*H$64/(1+$C65)^$H$25+$C$45+$C$46)/$C$48</f>
        <v>20.0608580631839</v>
      </c>
    </row>
    <row r="66" customFormat="false" ht="15" hidden="false" customHeight="false" outlineLevel="0" collapsed="false">
      <c r="C66" s="58" t="n">
        <f aca="false">$C$6+(-0.005)</f>
        <v>0.0981</v>
      </c>
      <c r="D66" s="47" t="n">
        <f aca="false">(SUMPRODUCT($D$24:$H$24,1/(1+$C66)^$D$26:$H$26)+$H$17*D$64/(1+$C66)^$H$25+$C$45+$C$46)/$C$48</f>
        <v>12.9873198879523</v>
      </c>
      <c r="E66" s="47" t="n">
        <f aca="false">(SUMPRODUCT($D$24:$H$24,1/(1+$C66)^$D$26:$H$26)+$H$17*E$64/(1+$C66)^$H$25+$C$45+$C$46)/$C$48</f>
        <v>14.6461112659725</v>
      </c>
      <c r="F66" s="47" t="n">
        <f aca="false">(SUMPRODUCT($D$24:$H$24,1/(1+$C66)^$D$26:$H$26)+$H$17*F$64/(1+$C66)^$H$25+$C$45+$C$46)/$C$48</f>
        <v>16.3049026439926</v>
      </c>
      <c r="G66" s="47" t="n">
        <f aca="false">(SUMPRODUCT($D$24:$H$24,1/(1+$C66)^$D$26:$H$26)+$H$17*G$64/(1+$C66)^$H$25+$C$45+$C$46)/$C$48</f>
        <v>17.9636940220128</v>
      </c>
      <c r="H66" s="47" t="n">
        <f aca="false">(SUMPRODUCT($D$24:$H$24,1/(1+$C66)^$D$26:$H$26)+$H$17*H$64/(1+$C66)^$H$25+$C$45+$C$46)/$C$48</f>
        <v>19.6224854000329</v>
      </c>
    </row>
    <row r="67" customFormat="false" ht="15" hidden="false" customHeight="false" outlineLevel="0" collapsed="false">
      <c r="C67" s="58" t="n">
        <f aca="false">$C$6+(0)</f>
        <v>0.1031</v>
      </c>
      <c r="D67" s="47" t="n">
        <f aca="false">(SUMPRODUCT($D$24:$H$24,1/(1+$C67)^$D$26:$H$26)+$H$17*D$64/(1+$C67)^$H$25+$C$45+$C$46)/$C$48</f>
        <v>12.7093588734925</v>
      </c>
      <c r="E67" s="47" t="n">
        <f aca="false">(SUMPRODUCT($D$24:$H$24,1/(1+$C67)^$D$26:$H$26)+$H$17*E$64/(1+$C67)^$H$25+$C$45+$C$46)/$C$48</f>
        <v>14.3308956544458</v>
      </c>
      <c r="F67" s="47" t="n">
        <f aca="false">(SUMPRODUCT($D$24:$H$24,1/(1+$C67)^$D$26:$H$26)+$H$17*F$64/(1+$C67)^$H$25+$C$45+$C$46)/$C$48</f>
        <v>15.9524324353991</v>
      </c>
      <c r="G67" s="47" t="n">
        <f aca="false">(SUMPRODUCT($D$24:$H$24,1/(1+$C67)^$D$26:$H$26)+$H$17*G$64/(1+$C67)^$H$25+$C$45+$C$46)/$C$48</f>
        <v>17.5739692163524</v>
      </c>
      <c r="H67" s="47" t="n">
        <f aca="false">(SUMPRODUCT($D$24:$H$24,1/(1+$C67)^$D$26:$H$26)+$H$17*H$64/(1+$C67)^$H$25+$C$45+$C$46)/$C$48</f>
        <v>19.1955059973057</v>
      </c>
    </row>
    <row r="68" customFormat="false" ht="15" hidden="false" customHeight="false" outlineLevel="0" collapsed="false">
      <c r="C68" s="58" t="n">
        <f aca="false">$C$6+(0.005)</f>
        <v>0.1081</v>
      </c>
      <c r="D68" s="47" t="n">
        <f aca="false">(SUMPRODUCT($D$24:$H$24,1/(1+$C68)^$D$26:$H$26)+$H$17*D$64/(1+$C68)^$H$25+$C$45+$C$46)/$C$48</f>
        <v>12.4384429438002</v>
      </c>
      <c r="E68" s="47" t="n">
        <f aca="false">(SUMPRODUCT($D$24:$H$24,1/(1+$C68)^$D$26:$H$26)+$H$17*E$64/(1+$C68)^$H$25+$C$45+$C$46)/$C$48</f>
        <v>14.0237246671329</v>
      </c>
      <c r="F68" s="47" t="n">
        <f aca="false">(SUMPRODUCT($D$24:$H$24,1/(1+$C68)^$D$26:$H$26)+$H$17*F$64/(1+$C68)^$H$25+$C$45+$C$46)/$C$48</f>
        <v>15.6090063904657</v>
      </c>
      <c r="G68" s="47" t="n">
        <f aca="false">(SUMPRODUCT($D$24:$H$24,1/(1+$C68)^$D$26:$H$26)+$H$17*G$64/(1+$C68)^$H$25+$C$45+$C$46)/$C$48</f>
        <v>17.1942881137984</v>
      </c>
      <c r="H68" s="47" t="n">
        <f aca="false">(SUMPRODUCT($D$24:$H$24,1/(1+$C68)^$D$26:$H$26)+$H$17*H$64/(1+$C68)^$H$25+$C$45+$C$46)/$C$48</f>
        <v>18.7795698371312</v>
      </c>
    </row>
    <row r="69" customFormat="false" ht="15" hidden="false" customHeight="false" outlineLevel="0" collapsed="false">
      <c r="C69" s="58" t="n">
        <f aca="false">$C$6+(0.01)</f>
        <v>0.1131</v>
      </c>
      <c r="D69" s="47" t="n">
        <f aca="false">(SUMPRODUCT($D$24:$H$24,1/(1+$C69)^$D$26:$H$26)+$H$17*D$64/(1+$C69)^$H$25+$C$45+$C$46)/$C$48</f>
        <v>12.1743589934725</v>
      </c>
      <c r="E69" s="47" t="n">
        <f aca="false">(SUMPRODUCT($D$24:$H$24,1/(1+$C69)^$D$26:$H$26)+$H$17*E$64/(1+$C69)^$H$25+$C$45+$C$46)/$C$48</f>
        <v>13.7243540509128</v>
      </c>
      <c r="F69" s="47" t="n">
        <f aca="false">(SUMPRODUCT($D$24:$H$24,1/(1+$C69)^$D$26:$H$26)+$H$17*F$64/(1+$C69)^$H$25+$C$45+$C$46)/$C$48</f>
        <v>15.2743491083531</v>
      </c>
      <c r="G69" s="47" t="n">
        <f aca="false">(SUMPRODUCT($D$24:$H$24,1/(1+$C69)^$D$26:$H$26)+$H$17*G$64/(1+$C69)^$H$25+$C$45+$C$46)/$C$48</f>
        <v>16.8243441657934</v>
      </c>
      <c r="H69" s="47" t="n">
        <f aca="false">(SUMPRODUCT($D$24:$H$24,1/(1+$C69)^$D$26:$H$26)+$H$17*H$64/(1+$C69)^$H$25+$C$45+$C$46)/$C$48</f>
        <v>18.3743392232336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20"/>
    <col collapsed="false" customWidth="true" hidden="false" outlineLevel="0" max="9" min="4" style="0" width="13"/>
  </cols>
  <sheetData>
    <row r="2" customFormat="false" ht="19.7" hidden="false" customHeight="false" outlineLevel="0" collapsed="false">
      <c r="B2" s="1" t="s">
        <v>233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12" t="s">
        <v>18</v>
      </c>
      <c r="C5" s="13" t="s">
        <v>19</v>
      </c>
      <c r="D5" s="13" t="s">
        <v>20</v>
      </c>
      <c r="E5" s="13" t="s">
        <v>21</v>
      </c>
      <c r="F5" s="13" t="s">
        <v>22</v>
      </c>
      <c r="G5" s="13" t="s">
        <v>23</v>
      </c>
      <c r="H5" s="13" t="s">
        <v>24</v>
      </c>
    </row>
    <row r="6" customFormat="false" ht="15" hidden="false" customHeight="false" outlineLevel="0" collapsed="false">
      <c r="B6" s="4" t="s">
        <v>234</v>
      </c>
      <c r="C6" s="60" t="b">
        <f aca="false">ABS('Balance Sheet'!C14-'Balance Sheet'!C26)&lt;0.001</f>
        <v>1</v>
      </c>
      <c r="D6" s="60" t="b">
        <f aca="false">ABS('Balance Sheet'!D14-'Balance Sheet'!D26)&lt;0.001</f>
        <v>1</v>
      </c>
      <c r="E6" s="60" t="b">
        <f aca="false">ABS('Balance Sheet'!E14-'Balance Sheet'!E26)&lt;0.001</f>
        <v>1</v>
      </c>
      <c r="F6" s="60" t="b">
        <f aca="false">ABS('Balance Sheet'!F14-'Balance Sheet'!F26)&lt;0.001</f>
        <v>1</v>
      </c>
      <c r="G6" s="60" t="b">
        <f aca="false">ABS('Balance Sheet'!G14-'Balance Sheet'!G26)&lt;0.001</f>
        <v>1</v>
      </c>
      <c r="H6" s="60" t="b">
        <f aca="false">ABS('Balance Sheet'!H14-'Balance Sheet'!H26)&lt;0.001</f>
        <v>1</v>
      </c>
    </row>
    <row r="7" customFormat="false" ht="15" hidden="false" customHeight="false" outlineLevel="0" collapsed="false">
      <c r="B7" s="4" t="s">
        <v>235</v>
      </c>
      <c r="D7" s="60" t="b">
        <f aca="false">ABS('Cash Flow'!D28-'Balance Sheet'!D7)&lt;0.001</f>
        <v>1</v>
      </c>
      <c r="E7" s="60" t="b">
        <f aca="false">ABS('Cash Flow'!E28-'Balance Sheet'!E7)&lt;0.001</f>
        <v>1</v>
      </c>
      <c r="F7" s="60" t="b">
        <f aca="false">ABS('Cash Flow'!F28-'Balance Sheet'!F7)&lt;0.001</f>
        <v>1</v>
      </c>
      <c r="G7" s="60" t="b">
        <f aca="false">ABS('Cash Flow'!G28-'Balance Sheet'!G7)&lt;0.001</f>
        <v>1</v>
      </c>
      <c r="H7" s="60" t="b">
        <f aca="false">ABS('Cash Flow'!H28-'Balance Sheet'!H7)&lt;0.001</f>
        <v>1</v>
      </c>
    </row>
    <row r="8" customFormat="false" ht="15" hidden="false" customHeight="false" outlineLevel="0" collapsed="false">
      <c r="B8" s="4" t="s">
        <v>236</v>
      </c>
      <c r="C8" s="60" t="b">
        <f aca="false">ABS('Debt Schedule'!C23-'Balance Sheet'!C19-'Balance Sheet'!C21)&lt;0.001</f>
        <v>1</v>
      </c>
      <c r="D8" s="60" t="b">
        <f aca="false">ABS('Debt Schedule'!D23-'Balance Sheet'!D19-'Balance Sheet'!D21)&lt;0.001</f>
        <v>1</v>
      </c>
      <c r="E8" s="60" t="b">
        <f aca="false">ABS('Debt Schedule'!E23-'Balance Sheet'!E19-'Balance Sheet'!E21)&lt;0.001</f>
        <v>1</v>
      </c>
      <c r="F8" s="60" t="b">
        <f aca="false">ABS('Debt Schedule'!F23-'Balance Sheet'!F19-'Balance Sheet'!F21)&lt;0.001</f>
        <v>1</v>
      </c>
      <c r="G8" s="60" t="b">
        <f aca="false">ABS('Debt Schedule'!G23-'Balance Sheet'!G19-'Balance Sheet'!G21)&lt;0.001</f>
        <v>1</v>
      </c>
      <c r="H8" s="60" t="b">
        <f aca="false">ABS('Debt Schedule'!H23-'Balance Sheet'!H19-'Balance Sheet'!H21)&lt;0.001</f>
        <v>1</v>
      </c>
    </row>
    <row r="9" customFormat="false" ht="15" hidden="false" customHeight="false" outlineLevel="0" collapsed="false">
      <c r="B9" s="4" t="s">
        <v>237</v>
      </c>
      <c r="C9" s="60" t="b">
        <f aca="false">'Balance Sheet'!C7&gt;=0</f>
        <v>1</v>
      </c>
      <c r="D9" s="60" t="b">
        <f aca="false">'Balance Sheet'!D7&gt;=0</f>
        <v>1</v>
      </c>
      <c r="E9" s="60" t="b">
        <f aca="false">'Balance Sheet'!E7&gt;=0</f>
        <v>1</v>
      </c>
      <c r="F9" s="60" t="b">
        <f aca="false">'Balance Sheet'!F7&gt;=0</f>
        <v>1</v>
      </c>
      <c r="G9" s="60" t="b">
        <f aca="false">'Balance Sheet'!G7&gt;=0</f>
        <v>1</v>
      </c>
      <c r="H9" s="60" t="b">
        <f aca="false">'Balance Sheet'!H7&gt;=0</f>
        <v>1</v>
      </c>
    </row>
    <row r="10" customFormat="false" ht="15" hidden="false" customHeight="false" outlineLevel="0" collapsed="false">
      <c r="B10" s="4" t="s">
        <v>238</v>
      </c>
      <c r="D10" s="60" t="b">
        <f aca="false">ABS('Balance Sheet'!D24-'Balance Sheet'!C24-'Income Statement'!D23+'Income Statement'!D27)&lt;0.001</f>
        <v>1</v>
      </c>
      <c r="E10" s="60" t="b">
        <f aca="false">ABS('Balance Sheet'!E24-'Balance Sheet'!D24-'Income Statement'!E23+'Income Statement'!E27)&lt;0.001</f>
        <v>1</v>
      </c>
      <c r="F10" s="60" t="b">
        <f aca="false">ABS('Balance Sheet'!F24-'Balance Sheet'!E24-'Income Statement'!F23+'Income Statement'!F27)&lt;0.001</f>
        <v>1</v>
      </c>
      <c r="G10" s="60" t="b">
        <f aca="false">ABS('Balance Sheet'!G24-'Balance Sheet'!F24-'Income Statement'!G23+'Income Statement'!G27)&lt;0.001</f>
        <v>1</v>
      </c>
      <c r="H10" s="60" t="b">
        <f aca="false">ABS('Balance Sheet'!H24-'Balance Sheet'!G24-'Income Statement'!H23+'Income Statement'!H27)&lt;0.001</f>
        <v>1</v>
      </c>
    </row>
    <row r="11" customFormat="false" ht="15" hidden="false" customHeight="false" outlineLevel="0" collapsed="false">
      <c r="B11" s="4" t="s">
        <v>239</v>
      </c>
      <c r="C11" s="60" t="b">
        <f aca="false">DCF!C6&gt;DCF!C7</f>
        <v>1</v>
      </c>
    </row>
    <row r="13" customFormat="false" ht="15" hidden="false" customHeight="false" outlineLevel="0" collapsed="false">
      <c r="B13" s="8" t="s">
        <v>240</v>
      </c>
      <c r="C13" s="61" t="str">
        <f aca="false">IF(AND(C6:H10,C11),"ALL CHECKS PASS","CHECK ERRORS")</f>
        <v>ALL CHECKS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2026-09-25T18:05:22Z</dcterms:created>
  <dc:creator>openpyxl</dc:creator>
  <dc:description/>
  <dc:language>en-US</dc:language>
  <cp:lastModifiedBy/>
  <dcterms:modified xsi:type="dcterms:W3CDTF">2026-09-25T18:05:23Z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