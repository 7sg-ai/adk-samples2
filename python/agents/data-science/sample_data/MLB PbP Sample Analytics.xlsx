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neebhatt/Downloads/"/>
    </mc:Choice>
  </mc:AlternateContent>
  <xr:revisionPtr revIDLastSave="0" documentId="13_ncr:1_{03480398-6686-7143-9117-061F2934B170}" xr6:coauthVersionLast="47" xr6:coauthVersionMax="47" xr10:uidLastSave="{00000000-0000-0000-0000-000000000000}"/>
  <bookViews>
    <workbookView xWindow="0" yWindow="660" windowWidth="29400" windowHeight="16440" tabRatio="500" xr2:uid="{00000000-000D-0000-FFFF-FFFF00000000}"/>
  </bookViews>
  <sheets>
    <sheet name="MLB-SAMPLE-PbP" sheetId="1" r:id="rId1"/>
    <sheet name="Analytics Dashboard" sheetId="2" r:id="rId2"/>
    <sheet name="Team Offense" sheetId="3" r:id="rId3"/>
    <sheet name="Batter Leaders" sheetId="4" r:id="rId4"/>
    <sheet name="Offense Splits" sheetId="5" r:id="rId5"/>
    <sheet name="Team Pitching &amp; Defense" sheetId="6" r:id="rId6"/>
    <sheet name="Pitcher Leaders" sheetId="7" r:id="rId7"/>
    <sheet name="Pitching Splits" sheetId="8" r:id="rId8"/>
    <sheet name="Batted Ball &amp; Spray" sheetId="9" r:id="rId9"/>
    <sheet name="Scoring by Inning" sheetId="10" r:id="rId10"/>
    <sheet name="Event Map" sheetId="11" r:id="rId11"/>
    <sheet name="Lists" sheetId="12" r:id="rId12"/>
  </sheets>
  <definedNames>
    <definedName name="_xlnm._FilterDatabase" localSheetId="3" hidden="1">'Batter Leaders'!$B$5:$AA$255</definedName>
    <definedName name="_xlnm._FilterDatabase" localSheetId="6" hidden="1">'Pitcher Leaders'!$B$5:$AA$255</definedName>
    <definedName name="EM_1B">'Event Map'!$F$6:$F$60</definedName>
    <definedName name="EM_2B">'Event Map'!$G$6:$G$60</definedName>
    <definedName name="EM_3B">'Event Map'!$H$6:$H$60</definedName>
    <definedName name="EM_AB">'Event Map'!$D$6:$D$60</definedName>
    <definedName name="EM_BB">'Event Map'!$J$6:$J$60</definedName>
    <definedName name="EM_DP">'Event Map'!$O$6:$O$60</definedName>
    <definedName name="EM_H">'Event Map'!$E$6:$E$60</definedName>
    <definedName name="EM_HBP">'Event Map'!$L$6:$L$60</definedName>
    <definedName name="EM_HR">'Event Map'!$I$6:$I$60</definedName>
    <definedName name="EM_IBB">'Event Map'!$K$6:$K$60</definedName>
    <definedName name="EM_PA">'Event Map'!$C$6:$C$60</definedName>
    <definedName name="EM_ROE">'Event Map'!$P$6:$P$60</definedName>
    <definedName name="EM_SF">'Event Map'!$M$6:$M$60</definedName>
    <definedName name="EM_SH">'Event Map'!$N$6:$N$60</definedName>
    <definedName name="EM_Type">'Event Map'!$B$6:$B$60</definedName>
    <definedName name="FIP_C">Lists!$C$10</definedName>
    <definedName name="MinBF">Lists!$C$12</definedName>
    <definedName name="MinPA">Lists!$C$11</definedName>
    <definedName name="pbp_Ball3">'MLB-SAMPLE-PbP'!$AD$3:INDEX('MLB-SAMPLE-PbP'!$AD:$AD,pbp_LastRow)</definedName>
    <definedName name="pbp_BatHand">'MLB-SAMPLE-PbP'!$J$3:INDEX('MLB-SAMPLE-PbP'!$J:$J,pbp_LastRow)</definedName>
    <definedName name="pbp_BatTeam">'MLB-SAMPLE-PbP'!$G$3:INDEX('MLB-SAMPLE-PbP'!$G:$G,pbp_LastRow)</definedName>
    <definedName name="pbp_Batter">'MLB-SAMPLE-PbP'!$H$3:INDEX('MLB-SAMPLE-PbP'!$H:$H,pbp_LastRow)</definedName>
    <definedName name="pbp_Catcher">'MLB-SAMPLE-PbP'!$R$3:INDEX('MLB-SAMPLE-PbP'!$R:$R,pbp_LastRow)</definedName>
    <definedName name="pbp_CS">'MLB-SAMPLE-PbP'!$AN$3:INDEX('MLB-SAMPLE-PbP'!$AN:$AN,pbp_LastRow)</definedName>
    <definedName name="pbp_Desc">'MLB-SAMPLE-PbP'!$AR$3:INDEX('MLB-SAMPLE-PbP'!$AR:$AR,pbp_LastRow)</definedName>
    <definedName name="pbp_GameID">'MLB-SAMPLE-PbP'!$B$3:INDEX('MLB-SAMPLE-PbP'!$B:$B,pbp_LastRow)</definedName>
    <definedName name="pbp_GameIDPrev">'MLB-SAMPLE-PbP'!$B$2:INDEX('MLB-SAMPLE-PbP'!$B:$B,pbp_LastRow-1)</definedName>
    <definedName name="pbp_HitType">'MLB-SAMPLE-PbP'!$AI$3:INDEX('MLB-SAMPLE-PbP'!$AI:$AI,pbp_LastRow)</definedName>
    <definedName name="pbp_Inning">'MLB-SAMPLE-PbP'!$D$3:INDEX('MLB-SAMPLE-PbP'!$D:$D,pbp_LastRow)</definedName>
    <definedName name="pbp_InningPrev">'MLB-SAMPLE-PbP'!$D$2:INDEX('MLB-SAMPLE-PbP'!$D:$D,pbp_LastRow-1)</definedName>
    <definedName name="pbp_LastRow">Lists!$C$6</definedName>
    <definedName name="pbp_On1B">'MLB-SAMPLE-PbP'!$K$3:INDEX('MLB-SAMPLE-PbP'!$K:$K,pbp_LastRow)</definedName>
    <definedName name="pbp_On2B">'MLB-SAMPLE-PbP'!$L$3:INDEX('MLB-SAMPLE-PbP'!$L:$L,pbp_LastRow)</definedName>
    <definedName name="pbp_On3B">'MLB-SAMPLE-PbP'!$M$3:INDEX('MLB-SAMPLE-PbP'!$M:$M,pbp_LastRow)</definedName>
    <definedName name="pbp_Outs">'MLB-SAMPLE-PbP'!$AL$3:INDEX('MLB-SAMPLE-PbP'!$AL:$AL,pbp_LastRow)</definedName>
    <definedName name="pbp_PB">'MLB-SAMPLE-PbP'!$AP$3:INDEX('MLB-SAMPLE-PbP'!$AP:$AP,pbp_LastRow)</definedName>
    <definedName name="pbp_Pitcher">'MLB-SAMPLE-PbP'!$O$3:INDEX('MLB-SAMPLE-PbP'!$O:$O,pbp_LastRow)</definedName>
    <definedName name="pbp_Pitches">'MLB-SAMPLE-PbP'!$Z$3:INDEX('MLB-SAMPLE-PbP'!$Z:$Z,pbp_LastRow)</definedName>
    <definedName name="pbp_PitHand">'MLB-SAMPLE-PbP'!$Q$3:INDEX('MLB-SAMPLE-PbP'!$Q:$Q,pbp_LastRow)</definedName>
    <definedName name="pbp_PitTeam">'MLB-SAMPLE-PbP'!$N$3:INDEX('MLB-SAMPLE-PbP'!$N:$N,pbp_LastRow)</definedName>
    <definedName name="pbp_PlayType">'MLB-SAMPLE-PbP'!$AJ$3:INDEX('MLB-SAMPLE-PbP'!$AJ:$AJ,pbp_LastRow)</definedName>
    <definedName name="pbp_Runs">'MLB-SAMPLE-PbP'!$AK$3:INDEX('MLB-SAMPLE-PbP'!$AK:$AK,pbp_LastRow)</definedName>
    <definedName name="pbp_SB">'MLB-SAMPLE-PbP'!$AM$3:INDEX('MLB-SAMPLE-PbP'!$AM:$AM,pbp_LastRow)</definedName>
    <definedName name="pbp_Seq">'MLB-SAMPLE-PbP'!$AA$3:INDEX('MLB-SAMPLE-PbP'!$AA:$AA,pbp_LastRow)</definedName>
    <definedName name="pbp_Strike2">'MLB-SAMPLE-PbP'!$AG$3:INDEX('MLB-SAMPLE-PbP'!$AG:$AG,pbp_LastRow)</definedName>
    <definedName name="pbp_WP">'MLB-SAMPLE-PbP'!$AQ$3:INDEX('MLB-SAMPLE-PbP'!$AQ:$AQ,pbp_LastRow)</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6" i="12" l="1"/>
  <c r="E6" i="9"/>
  <c r="E5" i="9"/>
  <c r="E6" i="8"/>
  <c r="E5" i="8"/>
  <c r="E6" i="5"/>
  <c r="E5" i="5"/>
  <c r="C8" i="12" l="1"/>
  <c r="C6" i="2" s="1"/>
  <c r="C7" i="12"/>
  <c r="C7" i="2" s="1"/>
  <c r="B6" i="4" a="1"/>
  <c r="B6" i="4" s="1"/>
  <c r="B6" i="6" a="1"/>
  <c r="B6" i="6" s="1"/>
  <c r="C8" i="2"/>
  <c r="B6" i="7" a="1"/>
  <c r="B6" i="7" s="1"/>
  <c r="B6" i="3" a="1"/>
  <c r="B6" i="3" s="1"/>
  <c r="B7" i="4" a="1"/>
  <c r="B7" i="4" s="1"/>
  <c r="C9" i="12"/>
  <c r="C9" i="2" s="1"/>
  <c r="J31" i="9"/>
  <c r="F31" i="9"/>
  <c r="C31" i="9"/>
  <c r="K31" i="9"/>
  <c r="G31" i="9"/>
  <c r="K30" i="9"/>
  <c r="D30" i="9"/>
  <c r="G30" i="9"/>
  <c r="K29" i="9"/>
  <c r="J29" i="9"/>
  <c r="H29" i="9"/>
  <c r="C28" i="9"/>
  <c r="F29" i="9"/>
  <c r="I31" i="9"/>
  <c r="K28" i="9"/>
  <c r="K32" i="9" s="1"/>
  <c r="D31" i="9"/>
  <c r="D28" i="9"/>
  <c r="H31" i="9"/>
  <c r="E31" i="9"/>
  <c r="I30" i="9"/>
  <c r="H30" i="9"/>
  <c r="F30" i="9"/>
  <c r="E30" i="9"/>
  <c r="C30" i="9"/>
  <c r="I29" i="9"/>
  <c r="E29" i="9"/>
  <c r="C29" i="9"/>
  <c r="I28" i="9"/>
  <c r="I32" i="9" s="1"/>
  <c r="H28" i="9"/>
  <c r="H32" i="9" s="1"/>
  <c r="F28" i="9"/>
  <c r="F32" i="9" s="1"/>
  <c r="E28" i="9"/>
  <c r="J30" i="9"/>
  <c r="G29" i="9"/>
  <c r="D29" i="9"/>
  <c r="J28" i="9"/>
  <c r="J32" i="9" s="1"/>
  <c r="G28" i="9"/>
  <c r="I13" i="9"/>
  <c r="E13" i="9"/>
  <c r="E21" i="9"/>
  <c r="H20" i="9"/>
  <c r="H19" i="9"/>
  <c r="D19" i="9"/>
  <c r="H13" i="9"/>
  <c r="I11" i="9"/>
  <c r="J21" i="9"/>
  <c r="F21" i="9"/>
  <c r="D21" i="9"/>
  <c r="C21" i="9"/>
  <c r="K20" i="9"/>
  <c r="H21" i="9"/>
  <c r="G20" i="9"/>
  <c r="D20" i="9"/>
  <c r="J19" i="9"/>
  <c r="E19" i="9"/>
  <c r="F13" i="9"/>
  <c r="I12" i="9"/>
  <c r="C12" i="9"/>
  <c r="E11" i="9"/>
  <c r="H11" i="9" s="1"/>
  <c r="F10" i="9"/>
  <c r="J20" i="9"/>
  <c r="I20" i="9"/>
  <c r="E20" i="9"/>
  <c r="K19" i="9"/>
  <c r="G19" i="9"/>
  <c r="C19" i="9"/>
  <c r="F12" i="9"/>
  <c r="E12" i="9"/>
  <c r="H12" i="9" s="1"/>
  <c r="F11" i="9"/>
  <c r="I10" i="9"/>
  <c r="G10" i="9"/>
  <c r="C10" i="9"/>
  <c r="K21" i="9"/>
  <c r="G21" i="9"/>
  <c r="F20" i="9"/>
  <c r="C20" i="9"/>
  <c r="L20" i="9" s="1"/>
  <c r="I19" i="9"/>
  <c r="F19" i="9"/>
  <c r="F22" i="9" s="1"/>
  <c r="G13" i="9"/>
  <c r="G12" i="9"/>
  <c r="G11" i="9"/>
  <c r="C11" i="9"/>
  <c r="C13" i="9"/>
  <c r="E10" i="9"/>
  <c r="I21" i="9"/>
  <c r="I9" i="8"/>
  <c r="K10" i="8"/>
  <c r="E12" i="8"/>
  <c r="I13" i="8"/>
  <c r="I14" i="8"/>
  <c r="H17" i="8"/>
  <c r="H19" i="8"/>
  <c r="H20" i="8"/>
  <c r="E21" i="8"/>
  <c r="J21" i="8"/>
  <c r="E22" i="8"/>
  <c r="I22" i="8"/>
  <c r="E23" i="8"/>
  <c r="J23" i="8"/>
  <c r="C24" i="8"/>
  <c r="G24" i="8"/>
  <c r="C25" i="8"/>
  <c r="G25" i="8"/>
  <c r="C26" i="8"/>
  <c r="I10" i="8"/>
  <c r="F15" i="8"/>
  <c r="D16" i="8"/>
  <c r="K16" i="8"/>
  <c r="D17" i="8"/>
  <c r="E19" i="8"/>
  <c r="K19" i="8"/>
  <c r="C19" i="8"/>
  <c r="I19" i="8"/>
  <c r="I20" i="8"/>
  <c r="C21" i="8"/>
  <c r="H21" i="8"/>
  <c r="C22" i="8"/>
  <c r="H22" i="8"/>
  <c r="D23" i="8"/>
  <c r="H23" i="8"/>
  <c r="E24" i="8"/>
  <c r="J24" i="8"/>
  <c r="E25" i="8"/>
  <c r="I25" i="8"/>
  <c r="F26" i="8"/>
  <c r="I26" i="8"/>
  <c r="K26" i="8"/>
  <c r="I16" i="8"/>
  <c r="J15" i="8"/>
  <c r="D15" i="8"/>
  <c r="H14" i="8"/>
  <c r="H13" i="8"/>
  <c r="E13" i="8"/>
  <c r="K12" i="8"/>
  <c r="F12" i="8"/>
  <c r="C12" i="8"/>
  <c r="K11" i="8"/>
  <c r="I11" i="8"/>
  <c r="F11" i="8"/>
  <c r="C11" i="8"/>
  <c r="K9" i="8"/>
  <c r="G9" i="8"/>
  <c r="H18" i="8"/>
  <c r="H10" i="8"/>
  <c r="C20" i="8"/>
  <c r="K18" i="8"/>
  <c r="F18" i="8"/>
  <c r="G17" i="8"/>
  <c r="G16" i="8"/>
  <c r="K15" i="8"/>
  <c r="I15" i="8"/>
  <c r="E15" i="8"/>
  <c r="K14" i="8"/>
  <c r="F13" i="8"/>
  <c r="C13" i="8"/>
  <c r="H12" i="8"/>
  <c r="D12" i="8"/>
  <c r="J25" i="8"/>
  <c r="D25" i="8"/>
  <c r="H24" i="8"/>
  <c r="G23" i="8"/>
  <c r="J22" i="8"/>
  <c r="D22" i="8"/>
  <c r="G21" i="8"/>
  <c r="K20" i="8"/>
  <c r="G20" i="8"/>
  <c r="C10" i="8"/>
  <c r="I18" i="8"/>
  <c r="I12" i="8"/>
  <c r="D10" i="8"/>
  <c r="J11" i="8"/>
  <c r="E11" i="8"/>
  <c r="G10" i="8"/>
  <c r="F9" i="8"/>
  <c r="C9" i="8"/>
  <c r="E20" i="8"/>
  <c r="J18" i="8"/>
  <c r="E18" i="8"/>
  <c r="J17" i="8"/>
  <c r="E17" i="8"/>
  <c r="J16" i="8"/>
  <c r="C16" i="8"/>
  <c r="G15" i="8"/>
  <c r="G14" i="8"/>
  <c r="C14" i="8"/>
  <c r="K13" i="8"/>
  <c r="G13" i="8"/>
  <c r="G12" i="8"/>
  <c r="H11" i="8"/>
  <c r="D9" i="8"/>
  <c r="J9" i="8"/>
  <c r="E10" i="8"/>
  <c r="J10" i="8"/>
  <c r="D11" i="8"/>
  <c r="G11" i="8"/>
  <c r="J12" i="8"/>
  <c r="D13" i="8"/>
  <c r="J13" i="8"/>
  <c r="E14" i="8"/>
  <c r="J14" i="8"/>
  <c r="C15" i="8"/>
  <c r="H15" i="8"/>
  <c r="H16" i="8"/>
  <c r="F17" i="8"/>
  <c r="K17" i="8"/>
  <c r="D18" i="8"/>
  <c r="G18" i="8"/>
  <c r="D19" i="8"/>
  <c r="J19" i="8"/>
  <c r="D20" i="8"/>
  <c r="F20" i="8"/>
  <c r="J20" i="8"/>
  <c r="H9" i="8"/>
  <c r="D14" i="8"/>
  <c r="E16" i="8"/>
  <c r="I17" i="8"/>
  <c r="G19" i="8"/>
  <c r="D21" i="8"/>
  <c r="F21" i="8"/>
  <c r="I21" i="8"/>
  <c r="K21" i="8"/>
  <c r="F22" i="8"/>
  <c r="G22" i="8"/>
  <c r="K22" i="8"/>
  <c r="C23" i="8"/>
  <c r="F23" i="8"/>
  <c r="I23" i="8"/>
  <c r="K23" i="8"/>
  <c r="D24" i="8"/>
  <c r="F24" i="8"/>
  <c r="I24" i="8"/>
  <c r="K24" i="8"/>
  <c r="F25" i="8"/>
  <c r="H25" i="8"/>
  <c r="K25" i="8"/>
  <c r="D26" i="8"/>
  <c r="E26" i="8"/>
  <c r="G26" i="8"/>
  <c r="H26" i="8"/>
  <c r="J26" i="8"/>
  <c r="F10" i="8"/>
  <c r="E9" i="8"/>
  <c r="C18" i="8"/>
  <c r="C17" i="8"/>
  <c r="F16" i="8"/>
  <c r="F14" i="8"/>
  <c r="F19" i="8"/>
  <c r="J13" i="5"/>
  <c r="H20" i="5"/>
  <c r="C14" i="5"/>
  <c r="D14" i="5"/>
  <c r="E14" i="5"/>
  <c r="G14" i="5"/>
  <c r="H14" i="5"/>
  <c r="J14" i="5"/>
  <c r="K14" i="5"/>
  <c r="D15" i="5"/>
  <c r="E15" i="5"/>
  <c r="G15" i="5"/>
  <c r="H15" i="5"/>
  <c r="I15" i="5"/>
  <c r="K15" i="5"/>
  <c r="C16" i="5"/>
  <c r="D16" i="5"/>
  <c r="F16" i="5"/>
  <c r="G16" i="5"/>
  <c r="I16" i="5"/>
  <c r="J16" i="5"/>
  <c r="K16" i="5"/>
  <c r="D17" i="5"/>
  <c r="E17" i="5"/>
  <c r="G17" i="5"/>
  <c r="H17" i="5"/>
  <c r="J17" i="5"/>
  <c r="C18" i="5"/>
  <c r="E18" i="5"/>
  <c r="F18" i="5"/>
  <c r="H18" i="5"/>
  <c r="I18" i="5"/>
  <c r="K18" i="5"/>
  <c r="C19" i="5"/>
  <c r="E19" i="5"/>
  <c r="F19" i="5"/>
  <c r="H19" i="5"/>
  <c r="I19" i="5"/>
  <c r="K19" i="5"/>
  <c r="D20" i="5"/>
  <c r="E20" i="5"/>
  <c r="G20" i="5"/>
  <c r="I20" i="5"/>
  <c r="I13" i="5"/>
  <c r="H13" i="5"/>
  <c r="G13" i="5"/>
  <c r="F13" i="5"/>
  <c r="E13" i="5"/>
  <c r="C13" i="5"/>
  <c r="J12" i="5"/>
  <c r="H12" i="5"/>
  <c r="G12" i="5"/>
  <c r="E12" i="5"/>
  <c r="D12" i="5"/>
  <c r="K11" i="5"/>
  <c r="J11" i="5"/>
  <c r="H11" i="5"/>
  <c r="G11" i="5"/>
  <c r="F11" i="5"/>
  <c r="D11" i="5"/>
  <c r="C11" i="5"/>
  <c r="K10" i="5"/>
  <c r="I10" i="5"/>
  <c r="H10" i="5"/>
  <c r="G10" i="5"/>
  <c r="E10" i="5"/>
  <c r="D10" i="5"/>
  <c r="K9" i="5"/>
  <c r="J9" i="5"/>
  <c r="H9" i="5"/>
  <c r="G9" i="5"/>
  <c r="E9" i="5"/>
  <c r="D9" i="5"/>
  <c r="K26" i="5"/>
  <c r="J26" i="5"/>
  <c r="I26" i="5"/>
  <c r="H26" i="5"/>
  <c r="G26" i="5"/>
  <c r="F26" i="5"/>
  <c r="E26" i="5"/>
  <c r="D26" i="5"/>
  <c r="K13" i="5"/>
  <c r="K25" i="5"/>
  <c r="J25" i="5"/>
  <c r="I25" i="5"/>
  <c r="H25" i="5"/>
  <c r="G25" i="5"/>
  <c r="F25" i="5"/>
  <c r="E25" i="5"/>
  <c r="D25" i="5"/>
  <c r="C25" i="5"/>
  <c r="K24" i="5"/>
  <c r="J24" i="5"/>
  <c r="I24" i="5"/>
  <c r="H24" i="5"/>
  <c r="G24" i="5"/>
  <c r="F24" i="5"/>
  <c r="E24" i="5"/>
  <c r="D24" i="5"/>
  <c r="C24" i="5"/>
  <c r="K23" i="5"/>
  <c r="J23" i="5"/>
  <c r="I23" i="5"/>
  <c r="H23" i="5"/>
  <c r="G23" i="5"/>
  <c r="F23" i="5"/>
  <c r="E23" i="5"/>
  <c r="D23" i="5"/>
  <c r="C23" i="5"/>
  <c r="K22" i="5"/>
  <c r="J22" i="5"/>
  <c r="I22" i="5"/>
  <c r="H22" i="5"/>
  <c r="G22" i="5"/>
  <c r="F22" i="5"/>
  <c r="E22" i="5"/>
  <c r="D22" i="5"/>
  <c r="C22" i="5"/>
  <c r="K21" i="5"/>
  <c r="J21" i="5"/>
  <c r="I21" i="5"/>
  <c r="H21" i="5"/>
  <c r="G21" i="5"/>
  <c r="F21" i="5"/>
  <c r="E21" i="5"/>
  <c r="D21" i="5"/>
  <c r="C21" i="5"/>
  <c r="K20" i="5"/>
  <c r="C20" i="5"/>
  <c r="J19" i="5"/>
  <c r="G19" i="5"/>
  <c r="D19" i="5"/>
  <c r="J18" i="5"/>
  <c r="G18" i="5"/>
  <c r="D18" i="5"/>
  <c r="K17" i="5"/>
  <c r="I17" i="5"/>
  <c r="F17" i="5"/>
  <c r="C17" i="5"/>
  <c r="H16" i="5"/>
  <c r="E16" i="5"/>
  <c r="J15" i="5"/>
  <c r="F15" i="5"/>
  <c r="C15" i="5"/>
  <c r="I14" i="5"/>
  <c r="F14" i="5"/>
  <c r="D13" i="5"/>
  <c r="K12" i="5"/>
  <c r="I12" i="5"/>
  <c r="F12" i="5"/>
  <c r="C12" i="5"/>
  <c r="I11" i="5"/>
  <c r="E11" i="5"/>
  <c r="J10" i="5"/>
  <c r="F10" i="5"/>
  <c r="C10" i="5"/>
  <c r="I9" i="5"/>
  <c r="F9" i="5"/>
  <c r="C9" i="5"/>
  <c r="F20" i="5"/>
  <c r="J20" i="5"/>
  <c r="C26" i="5"/>
  <c r="E32" i="9" l="1"/>
  <c r="G32" i="9"/>
  <c r="C6" i="4"/>
  <c r="E6" i="4"/>
  <c r="G6" i="4"/>
  <c r="L6" i="4"/>
  <c r="W6" i="4" s="1"/>
  <c r="D6" i="4"/>
  <c r="F6" i="4"/>
  <c r="H6" i="4"/>
  <c r="I6" i="4"/>
  <c r="Y6" i="4" s="1"/>
  <c r="J6" i="4"/>
  <c r="K6" i="4"/>
  <c r="M6" i="4"/>
  <c r="N6" i="4"/>
  <c r="O6" i="4"/>
  <c r="P6" i="4"/>
  <c r="V6" i="4"/>
  <c r="X6" i="4"/>
  <c r="Z6" i="4"/>
  <c r="G7" i="12"/>
  <c r="C6" i="6"/>
  <c r="D6" i="6"/>
  <c r="E6" i="6" s="1"/>
  <c r="F6" i="6"/>
  <c r="G6" i="6"/>
  <c r="H6" i="6"/>
  <c r="S6" i="6" s="1"/>
  <c r="I6" i="6"/>
  <c r="J6" i="6"/>
  <c r="K6" i="6"/>
  <c r="L6" i="6"/>
  <c r="M6" i="6"/>
  <c r="N6" i="6"/>
  <c r="Q6" i="6"/>
  <c r="AA6" i="6"/>
  <c r="AB6" i="6"/>
  <c r="AC6" i="6"/>
  <c r="AD6" i="6"/>
  <c r="AE6" i="6" s="1"/>
  <c r="AF6" i="6"/>
  <c r="AG6" i="6"/>
  <c r="F7" i="12"/>
  <c r="C6" i="7"/>
  <c r="D6" i="7"/>
  <c r="E6" i="7"/>
  <c r="F6" i="7"/>
  <c r="G6" i="7" s="1"/>
  <c r="H6" i="7"/>
  <c r="I6" i="7"/>
  <c r="J6" i="7"/>
  <c r="K6" i="7"/>
  <c r="L6" i="7"/>
  <c r="M6" i="7"/>
  <c r="N6" i="7"/>
  <c r="O6" i="7"/>
  <c r="P6" i="7"/>
  <c r="S6" i="7"/>
  <c r="H7" i="12"/>
  <c r="C6" i="3"/>
  <c r="F6" i="3"/>
  <c r="H6" i="3"/>
  <c r="L6" i="3" s="1"/>
  <c r="J6" i="3"/>
  <c r="M6" i="3"/>
  <c r="AD6" i="3" s="1"/>
  <c r="O6" i="3"/>
  <c r="R6" i="3"/>
  <c r="B6" i="10"/>
  <c r="D6" i="3"/>
  <c r="E6" i="3"/>
  <c r="G6" i="3"/>
  <c r="N6" i="10" s="1"/>
  <c r="I6" i="3"/>
  <c r="K6" i="3"/>
  <c r="O6" i="10" s="1"/>
  <c r="N6" i="3"/>
  <c r="P6" i="3"/>
  <c r="Q6" i="3"/>
  <c r="S6" i="3"/>
  <c r="T6" i="3"/>
  <c r="AF6" i="3" s="1"/>
  <c r="U6" i="3"/>
  <c r="C13" i="2"/>
  <c r="E7" i="12"/>
  <c r="C7" i="4"/>
  <c r="D7" i="4"/>
  <c r="E7" i="4"/>
  <c r="F7" i="4"/>
  <c r="G7" i="4"/>
  <c r="H7" i="4"/>
  <c r="Y7" i="4" s="1"/>
  <c r="I7" i="4"/>
  <c r="J7" i="4"/>
  <c r="K7" i="4"/>
  <c r="L7" i="4"/>
  <c r="W7" i="4" s="1"/>
  <c r="M7" i="4"/>
  <c r="N7" i="4"/>
  <c r="O7" i="4"/>
  <c r="R7" i="4" s="1"/>
  <c r="P7" i="4"/>
  <c r="V7" i="4"/>
  <c r="X7" i="4"/>
  <c r="Z7" i="4"/>
  <c r="G8" i="12"/>
  <c r="L28" i="9"/>
  <c r="L32" i="9" s="1"/>
  <c r="C32" i="9"/>
  <c r="L19" i="9"/>
  <c r="L22" i="9" s="1"/>
  <c r="C22" i="9"/>
  <c r="D10" i="9"/>
  <c r="D13" i="9"/>
  <c r="C14" i="9"/>
  <c r="D11" i="9"/>
  <c r="D12" i="9"/>
  <c r="P24" i="8"/>
  <c r="Q24" i="8"/>
  <c r="P25" i="8"/>
  <c r="Q25" i="8"/>
  <c r="Q26" i="8"/>
  <c r="P26" i="8"/>
  <c r="L16" i="8"/>
  <c r="M16" i="8"/>
  <c r="N16" i="8"/>
  <c r="O16" i="8"/>
  <c r="L17" i="8"/>
  <c r="M17" i="8"/>
  <c r="N17" i="8"/>
  <c r="P19" i="8"/>
  <c r="Q19" i="8"/>
  <c r="P21" i="8"/>
  <c r="Q21" i="8"/>
  <c r="P22" i="8"/>
  <c r="Q22" i="8"/>
  <c r="L23" i="8"/>
  <c r="N23" i="8"/>
  <c r="M23" i="8"/>
  <c r="O23" i="8" s="1"/>
  <c r="L15" i="8"/>
  <c r="N15" i="8"/>
  <c r="M15" i="8"/>
  <c r="O15" i="8" s="1"/>
  <c r="P12" i="8"/>
  <c r="Q12" i="8"/>
  <c r="P11" i="8"/>
  <c r="Q11" i="8"/>
  <c r="P20" i="8"/>
  <c r="Q20" i="8"/>
  <c r="Q13" i="8"/>
  <c r="P13" i="8"/>
  <c r="N12" i="8"/>
  <c r="L12" i="8"/>
  <c r="M12" i="8"/>
  <c r="O12" i="8" s="1"/>
  <c r="L25" i="8"/>
  <c r="M25" i="8"/>
  <c r="N25" i="8"/>
  <c r="O25" i="8"/>
  <c r="M22" i="8"/>
  <c r="L22" i="8"/>
  <c r="N22" i="8"/>
  <c r="P10" i="8"/>
  <c r="Q10" i="8"/>
  <c r="L10" i="8"/>
  <c r="M10" i="8"/>
  <c r="N10" i="8"/>
  <c r="R15" i="8"/>
  <c r="R25" i="8"/>
  <c r="R11" i="8"/>
  <c r="R13" i="8"/>
  <c r="R16" i="8"/>
  <c r="R21" i="8"/>
  <c r="R24" i="8"/>
  <c r="R26" i="8"/>
  <c r="R20" i="8"/>
  <c r="R22" i="8"/>
  <c r="R23" i="8"/>
  <c r="R19" i="8"/>
  <c r="R17" i="8"/>
  <c r="R9" i="8"/>
  <c r="P9" i="8"/>
  <c r="Q9" i="8"/>
  <c r="R10" i="8"/>
  <c r="R12" i="8"/>
  <c r="R14" i="8"/>
  <c r="R18" i="8"/>
  <c r="P16" i="8"/>
  <c r="Q16" i="8"/>
  <c r="Q14" i="8"/>
  <c r="P14" i="8"/>
  <c r="M9" i="8"/>
  <c r="N9" i="8"/>
  <c r="L9" i="8"/>
  <c r="O9" i="8"/>
  <c r="N11" i="8"/>
  <c r="M11" i="8"/>
  <c r="O11" i="8"/>
  <c r="L11" i="8"/>
  <c r="M13" i="8"/>
  <c r="N13" i="8"/>
  <c r="L13" i="8"/>
  <c r="O13" i="8"/>
  <c r="Q15" i="8"/>
  <c r="P15" i="8"/>
  <c r="L18" i="8"/>
  <c r="N18" i="8"/>
  <c r="M18" i="8"/>
  <c r="O18" i="8" s="1"/>
  <c r="M19" i="8"/>
  <c r="N19" i="8"/>
  <c r="O19" i="8"/>
  <c r="L19" i="8"/>
  <c r="M20" i="8"/>
  <c r="N20" i="8"/>
  <c r="O20" i="8" s="1"/>
  <c r="L20" i="8"/>
  <c r="M14" i="8"/>
  <c r="L14" i="8"/>
  <c r="N14" i="8"/>
  <c r="O14" i="8" s="1"/>
  <c r="L21" i="8"/>
  <c r="M21" i="8"/>
  <c r="N21" i="8"/>
  <c r="O21" i="8"/>
  <c r="P23" i="8"/>
  <c r="Q23" i="8"/>
  <c r="L24" i="8"/>
  <c r="M24" i="8"/>
  <c r="N24" i="8"/>
  <c r="O24" i="8"/>
  <c r="L26" i="8"/>
  <c r="M26" i="8"/>
  <c r="N26" i="8"/>
  <c r="O26" i="8"/>
  <c r="P18" i="8"/>
  <c r="Q18" i="8"/>
  <c r="Q17" i="8"/>
  <c r="P17" i="8"/>
  <c r="P14" i="5"/>
  <c r="Q14" i="5"/>
  <c r="L14" i="5"/>
  <c r="M14" i="5"/>
  <c r="N14" i="5"/>
  <c r="O14" i="5"/>
  <c r="L15" i="5"/>
  <c r="M15" i="5"/>
  <c r="N15" i="5"/>
  <c r="O15" i="5"/>
  <c r="P16" i="5"/>
  <c r="Q16" i="5"/>
  <c r="L16" i="5"/>
  <c r="M16" i="5"/>
  <c r="N16" i="5"/>
  <c r="O16" i="5"/>
  <c r="L17" i="5"/>
  <c r="M17" i="5"/>
  <c r="N17" i="5"/>
  <c r="O17" i="5"/>
  <c r="P18" i="5"/>
  <c r="Q18" i="5"/>
  <c r="P19" i="5"/>
  <c r="Q19" i="5"/>
  <c r="L20" i="5"/>
  <c r="M20" i="5"/>
  <c r="N20" i="5"/>
  <c r="O20" i="5"/>
  <c r="P13" i="5"/>
  <c r="Q13" i="5"/>
  <c r="L12" i="5"/>
  <c r="M12" i="5"/>
  <c r="N12" i="5"/>
  <c r="O12" i="5"/>
  <c r="L11" i="5"/>
  <c r="M11" i="5"/>
  <c r="N11" i="5"/>
  <c r="O11" i="5"/>
  <c r="P11" i="5"/>
  <c r="Q11" i="5"/>
  <c r="M10" i="5"/>
  <c r="L10" i="5"/>
  <c r="N10" i="5"/>
  <c r="O10" i="5"/>
  <c r="L9" i="5"/>
  <c r="M9" i="5"/>
  <c r="N9" i="5"/>
  <c r="O9" i="5"/>
  <c r="L26" i="5"/>
  <c r="M26" i="5"/>
  <c r="N26" i="5"/>
  <c r="O26" i="5"/>
  <c r="L25" i="5"/>
  <c r="M25" i="5"/>
  <c r="N25" i="5"/>
  <c r="O25" i="5"/>
  <c r="P25" i="5"/>
  <c r="Q25" i="5"/>
  <c r="L24" i="5"/>
  <c r="M24" i="5"/>
  <c r="N24" i="5"/>
  <c r="O24" i="5"/>
  <c r="P24" i="5"/>
  <c r="Q24" i="5"/>
  <c r="L23" i="5"/>
  <c r="M23" i="5"/>
  <c r="N23" i="5"/>
  <c r="O23" i="5"/>
  <c r="P23" i="5"/>
  <c r="Q23" i="5"/>
  <c r="L22" i="5"/>
  <c r="M22" i="5"/>
  <c r="N22" i="5"/>
  <c r="O22" i="5"/>
  <c r="P22" i="5"/>
  <c r="Q22" i="5"/>
  <c r="L21" i="5"/>
  <c r="M21" i="5"/>
  <c r="O21" i="5" s="1"/>
  <c r="N21" i="5"/>
  <c r="P21" i="5"/>
  <c r="Q21" i="5"/>
  <c r="P20" i="5"/>
  <c r="Q20" i="5"/>
  <c r="L19" i="5"/>
  <c r="M19" i="5"/>
  <c r="N19" i="5"/>
  <c r="O19" i="5" s="1"/>
  <c r="L18" i="5"/>
  <c r="M18" i="5"/>
  <c r="N18" i="5"/>
  <c r="O18" i="5" s="1"/>
  <c r="P17" i="5"/>
  <c r="Q17" i="5"/>
  <c r="Q15" i="5"/>
  <c r="P15" i="5"/>
  <c r="L13" i="5"/>
  <c r="M13" i="5"/>
  <c r="N13" i="5"/>
  <c r="O13" i="5" s="1"/>
  <c r="P12" i="5"/>
  <c r="Q12" i="5"/>
  <c r="Q10" i="5"/>
  <c r="P10" i="5"/>
  <c r="R10" i="5"/>
  <c r="R13" i="5"/>
  <c r="R15" i="5"/>
  <c r="R20" i="5"/>
  <c r="R21" i="5"/>
  <c r="R22" i="5"/>
  <c r="R23" i="5"/>
  <c r="R24" i="5"/>
  <c r="R25" i="5"/>
  <c r="R26" i="5"/>
  <c r="P9" i="5"/>
  <c r="Q9" i="5"/>
  <c r="R9" i="5"/>
  <c r="R11" i="5"/>
  <c r="R12" i="5"/>
  <c r="R14" i="5"/>
  <c r="R16" i="5"/>
  <c r="R17" i="5"/>
  <c r="R18" i="5"/>
  <c r="R19" i="5"/>
  <c r="P26" i="5"/>
  <c r="Q26" i="5"/>
  <c r="L29" i="9"/>
  <c r="G22" i="9"/>
  <c r="I22" i="9"/>
  <c r="F14" i="9"/>
  <c r="D22" i="9"/>
  <c r="K22" i="9"/>
  <c r="L30" i="9"/>
  <c r="G14" i="9"/>
  <c r="H22" i="9"/>
  <c r="L21" i="9"/>
  <c r="J22" i="9"/>
  <c r="D32" i="9"/>
  <c r="L31" i="9"/>
  <c r="E22" i="9"/>
  <c r="B8" i="4" a="1"/>
  <c r="B8" i="4" s="1"/>
  <c r="B7" i="6" a="1"/>
  <c r="B7" i="6" s="1"/>
  <c r="B7" i="7" a="1"/>
  <c r="B7" i="7" s="1"/>
  <c r="B7" i="3" a="1"/>
  <c r="B7" i="3" s="1"/>
  <c r="B8" i="3" s="1" a="1"/>
  <c r="B8" i="3" s="1"/>
  <c r="E14" i="9"/>
  <c r="H10" i="9"/>
  <c r="O22" i="8" l="1"/>
  <c r="O10" i="8"/>
  <c r="X6" i="7"/>
  <c r="U6" i="6"/>
  <c r="W6" i="7"/>
  <c r="R6" i="4"/>
  <c r="V6" i="6"/>
  <c r="O17" i="8"/>
  <c r="Q6" i="4"/>
  <c r="S6" i="4"/>
  <c r="U6" i="4"/>
  <c r="O6" i="6"/>
  <c r="P6" i="6"/>
  <c r="R6" i="6"/>
  <c r="T6" i="6" s="1"/>
  <c r="Q7" i="4"/>
  <c r="S7" i="4"/>
  <c r="T7" i="4" s="1"/>
  <c r="U7" i="4"/>
  <c r="D6" i="10"/>
  <c r="E6" i="10"/>
  <c r="F6" i="10"/>
  <c r="G6" i="10"/>
  <c r="J6" i="10"/>
  <c r="K6" i="10"/>
  <c r="L6" i="10"/>
  <c r="H6" i="10"/>
  <c r="C6" i="10"/>
  <c r="M6" i="10" s="1"/>
  <c r="P6" i="10" s="1"/>
  <c r="I6" i="10"/>
  <c r="C18" i="2"/>
  <c r="C14" i="2"/>
  <c r="C33" i="9"/>
  <c r="F33" i="9"/>
  <c r="G33" i="9"/>
  <c r="H33" i="9"/>
  <c r="K33" i="9"/>
  <c r="E33" i="9"/>
  <c r="L33" i="9"/>
  <c r="D33" i="9"/>
  <c r="J33" i="9"/>
  <c r="I33" i="9"/>
  <c r="K23" i="9"/>
  <c r="E23" i="9"/>
  <c r="I23" i="9"/>
  <c r="C23" i="9"/>
  <c r="D23" i="9"/>
  <c r="F23" i="9"/>
  <c r="G23" i="9"/>
  <c r="H23" i="9"/>
  <c r="L23" i="9"/>
  <c r="J23" i="9"/>
  <c r="G9" i="12"/>
  <c r="Z8" i="4"/>
  <c r="P8" i="4"/>
  <c r="O8" i="4"/>
  <c r="N8" i="4"/>
  <c r="M8" i="4"/>
  <c r="L8" i="4"/>
  <c r="K8" i="4"/>
  <c r="J8" i="4"/>
  <c r="I8" i="4"/>
  <c r="H8" i="4"/>
  <c r="Y8" i="4" s="1"/>
  <c r="G8" i="4"/>
  <c r="F8" i="4"/>
  <c r="E8" i="4"/>
  <c r="D8" i="4"/>
  <c r="C8" i="4"/>
  <c r="B9" i="4" a="1"/>
  <c r="B9" i="4" s="1"/>
  <c r="F8" i="12"/>
  <c r="AG7" i="6"/>
  <c r="AF7" i="6"/>
  <c r="AD7" i="6"/>
  <c r="AC7" i="6"/>
  <c r="AB7" i="6"/>
  <c r="C26" i="2" s="1"/>
  <c r="AA7" i="6"/>
  <c r="Q7" i="6"/>
  <c r="C21" i="2" s="1"/>
  <c r="N7" i="6"/>
  <c r="M7" i="6"/>
  <c r="L7" i="6"/>
  <c r="K7" i="6"/>
  <c r="J7" i="6"/>
  <c r="I7" i="6"/>
  <c r="H7" i="6"/>
  <c r="G7" i="6"/>
  <c r="F7" i="6"/>
  <c r="D7" i="6"/>
  <c r="C7" i="6"/>
  <c r="H8" i="12"/>
  <c r="S7" i="7"/>
  <c r="P7" i="7"/>
  <c r="O7" i="7"/>
  <c r="N7" i="7"/>
  <c r="M7" i="7"/>
  <c r="L7" i="7"/>
  <c r="K7" i="7"/>
  <c r="J7" i="7"/>
  <c r="I7" i="7"/>
  <c r="H7" i="7"/>
  <c r="F7" i="7"/>
  <c r="E7" i="7"/>
  <c r="D7" i="7"/>
  <c r="C7" i="7"/>
  <c r="B7" i="10"/>
  <c r="E8" i="12"/>
  <c r="T7" i="3"/>
  <c r="S7" i="3"/>
  <c r="R7" i="3"/>
  <c r="P7" i="3"/>
  <c r="N7" i="3"/>
  <c r="K7" i="3"/>
  <c r="H7" i="3"/>
  <c r="F7" i="3"/>
  <c r="D7" i="3"/>
  <c r="D13" i="2"/>
  <c r="U7" i="3"/>
  <c r="Q7" i="3"/>
  <c r="O7" i="3"/>
  <c r="M7" i="3"/>
  <c r="J7" i="3"/>
  <c r="I7" i="3"/>
  <c r="G7" i="3"/>
  <c r="N7" i="10" s="1"/>
  <c r="E7" i="3"/>
  <c r="V7" i="3" s="1"/>
  <c r="C7" i="3"/>
  <c r="B9" i="3" a="1"/>
  <c r="B9" i="3" s="1"/>
  <c r="AF8" i="3"/>
  <c r="AA8" i="3"/>
  <c r="Y8" i="3"/>
  <c r="W8" i="3"/>
  <c r="V8" i="3"/>
  <c r="T8" i="3"/>
  <c r="R8" i="3"/>
  <c r="O8" i="3"/>
  <c r="M8" i="3"/>
  <c r="J8" i="3"/>
  <c r="H8" i="3"/>
  <c r="D8" i="3"/>
  <c r="B8" i="10"/>
  <c r="E9" i="12"/>
  <c r="AE8" i="3"/>
  <c r="AD8" i="3"/>
  <c r="AC8" i="3"/>
  <c r="AB8" i="3"/>
  <c r="Z8" i="3"/>
  <c r="X8" i="3"/>
  <c r="U8" i="3"/>
  <c r="S8" i="3"/>
  <c r="Q8" i="3"/>
  <c r="P8" i="3"/>
  <c r="N8" i="3"/>
  <c r="L8" i="3"/>
  <c r="K8" i="3"/>
  <c r="O8" i="10" s="1"/>
  <c r="I8" i="3"/>
  <c r="G8" i="3"/>
  <c r="N8" i="10" s="1"/>
  <c r="F8" i="3"/>
  <c r="E8" i="3"/>
  <c r="C8" i="3"/>
  <c r="W6" i="6"/>
  <c r="X6" i="6"/>
  <c r="Z6" i="6"/>
  <c r="Y6" i="6" s="1"/>
  <c r="Q6" i="7"/>
  <c r="U6" i="7"/>
  <c r="T6" i="7"/>
  <c r="V6" i="7" s="1"/>
  <c r="R6" i="7"/>
  <c r="Z6" i="7"/>
  <c r="Y6" i="7"/>
  <c r="AB6" i="3"/>
  <c r="AE6" i="3"/>
  <c r="C19" i="2" s="1"/>
  <c r="AC6" i="3"/>
  <c r="V6" i="3"/>
  <c r="C16" i="2" s="1"/>
  <c r="AA6" i="3"/>
  <c r="X6" i="3"/>
  <c r="Z6" i="3"/>
  <c r="C17" i="2" s="1"/>
  <c r="W6" i="3"/>
  <c r="Y6" i="3" s="1"/>
  <c r="C15" i="2" s="1"/>
  <c r="B8" i="6" a="1"/>
  <c r="B8" i="6" s="1"/>
  <c r="B9" i="6" a="1"/>
  <c r="B9" i="6" s="1"/>
  <c r="B10" i="6" a="1"/>
  <c r="B10" i="6" s="1"/>
  <c r="B8" i="7" a="1"/>
  <c r="B8" i="7" s="1"/>
  <c r="AF7" i="3" l="1"/>
  <c r="AE7" i="6"/>
  <c r="AD7" i="3"/>
  <c r="B11" i="6" a="1"/>
  <c r="B11" i="6" s="1"/>
  <c r="W7" i="3"/>
  <c r="L7" i="3"/>
  <c r="X7" i="3" s="1"/>
  <c r="Z7" i="3" s="1"/>
  <c r="T6" i="4"/>
  <c r="B10" i="4" a="1"/>
  <c r="B10" i="4" s="1"/>
  <c r="G10" i="12"/>
  <c r="Z9" i="4"/>
  <c r="P9" i="4"/>
  <c r="O9" i="4"/>
  <c r="N9" i="4"/>
  <c r="M9" i="4"/>
  <c r="L9" i="4"/>
  <c r="K9" i="4"/>
  <c r="J9" i="4"/>
  <c r="I9" i="4"/>
  <c r="H9" i="4"/>
  <c r="Y9" i="4" s="1"/>
  <c r="G9" i="4"/>
  <c r="F9" i="4"/>
  <c r="E9" i="4"/>
  <c r="D9" i="4"/>
  <c r="C9" i="4"/>
  <c r="J7" i="10"/>
  <c r="D7" i="10"/>
  <c r="E7" i="10"/>
  <c r="G7" i="10"/>
  <c r="H7" i="10"/>
  <c r="L7" i="10"/>
  <c r="C7" i="10"/>
  <c r="F7" i="10"/>
  <c r="I7" i="10"/>
  <c r="K7" i="10"/>
  <c r="D14" i="2"/>
  <c r="E14" i="2" s="1"/>
  <c r="D21" i="2"/>
  <c r="E21" i="2" s="1"/>
  <c r="D24" i="2"/>
  <c r="D25" i="2"/>
  <c r="D26" i="2"/>
  <c r="E26" i="2" s="1"/>
  <c r="D16" i="2"/>
  <c r="E16" i="2" s="1"/>
  <c r="D17" i="2"/>
  <c r="E17" i="2" s="1"/>
  <c r="D18" i="2"/>
  <c r="E18" i="2" s="1"/>
  <c r="D20" i="2"/>
  <c r="D22" i="2"/>
  <c r="D23" i="2"/>
  <c r="B10" i="3" a="1"/>
  <c r="B10" i="3" s="1"/>
  <c r="E10" i="12"/>
  <c r="B9" i="10"/>
  <c r="AF9" i="3"/>
  <c r="AE9" i="3"/>
  <c r="AD9" i="3"/>
  <c r="AB9" i="3"/>
  <c r="Z9" i="3"/>
  <c r="X9" i="3"/>
  <c r="U9" i="3"/>
  <c r="S9" i="3"/>
  <c r="Q9" i="3"/>
  <c r="O9" i="3"/>
  <c r="M9" i="3"/>
  <c r="K9" i="3"/>
  <c r="O9" i="10" s="1"/>
  <c r="I9" i="3"/>
  <c r="G9" i="3"/>
  <c r="N9" i="10" s="1"/>
  <c r="E9" i="3"/>
  <c r="C9" i="3"/>
  <c r="AC9" i="3"/>
  <c r="AA9" i="3"/>
  <c r="Y9" i="3"/>
  <c r="W9" i="3"/>
  <c r="V9" i="3"/>
  <c r="T9" i="3"/>
  <c r="R9" i="3"/>
  <c r="P9" i="3"/>
  <c r="N9" i="3"/>
  <c r="L9" i="3"/>
  <c r="J9" i="3"/>
  <c r="H9" i="3"/>
  <c r="F9" i="3"/>
  <c r="D9" i="3"/>
  <c r="F8" i="10"/>
  <c r="G8" i="10"/>
  <c r="K8" i="10"/>
  <c r="M8" i="10"/>
  <c r="P8" i="10"/>
  <c r="C8" i="10"/>
  <c r="D8" i="10"/>
  <c r="I8" i="10"/>
  <c r="L8" i="10"/>
  <c r="E8" i="10"/>
  <c r="H8" i="10"/>
  <c r="J8" i="10"/>
  <c r="C8" i="6"/>
  <c r="D8" i="6"/>
  <c r="E8" i="6"/>
  <c r="F8" i="6"/>
  <c r="G8" i="6"/>
  <c r="H8" i="6"/>
  <c r="I8" i="6"/>
  <c r="J8" i="6"/>
  <c r="K8" i="6"/>
  <c r="L8" i="6"/>
  <c r="M8" i="6"/>
  <c r="N8" i="6"/>
  <c r="O8" i="6"/>
  <c r="P8" i="6"/>
  <c r="Q8" i="6"/>
  <c r="R8" i="6"/>
  <c r="S8" i="6"/>
  <c r="T8" i="6"/>
  <c r="U8" i="6"/>
  <c r="V8" i="6"/>
  <c r="W8" i="6"/>
  <c r="X8" i="6"/>
  <c r="Y8" i="6"/>
  <c r="Z8" i="6"/>
  <c r="AA8" i="6"/>
  <c r="AB8" i="6"/>
  <c r="AC8" i="6"/>
  <c r="AD8" i="6"/>
  <c r="AE8" i="6"/>
  <c r="AF8" i="6"/>
  <c r="AG8" i="6"/>
  <c r="F9" i="12"/>
  <c r="C9" i="6"/>
  <c r="D9" i="6"/>
  <c r="E9" i="6"/>
  <c r="F9" i="6"/>
  <c r="G9" i="6"/>
  <c r="H9" i="6"/>
  <c r="I9" i="6"/>
  <c r="J9" i="6"/>
  <c r="K9" i="6"/>
  <c r="L9" i="6"/>
  <c r="M9" i="6"/>
  <c r="N9" i="6"/>
  <c r="O9" i="6"/>
  <c r="P9" i="6"/>
  <c r="Q9" i="6"/>
  <c r="R9" i="6"/>
  <c r="S9" i="6"/>
  <c r="T9" i="6"/>
  <c r="U9" i="6"/>
  <c r="V9" i="6"/>
  <c r="W9" i="6"/>
  <c r="X9" i="6"/>
  <c r="Y9" i="6"/>
  <c r="Z9" i="6"/>
  <c r="AA9" i="6"/>
  <c r="AB9" i="6"/>
  <c r="AC9" i="6"/>
  <c r="AD9" i="6"/>
  <c r="AE9" i="6"/>
  <c r="AF9" i="6"/>
  <c r="AG9" i="6"/>
  <c r="F10" i="12"/>
  <c r="C10" i="6"/>
  <c r="D10" i="6"/>
  <c r="E10" i="6"/>
  <c r="F10" i="6"/>
  <c r="G10" i="6"/>
  <c r="H10" i="6"/>
  <c r="I10" i="6"/>
  <c r="J10" i="6"/>
  <c r="K10" i="6"/>
  <c r="L10" i="6"/>
  <c r="M10" i="6"/>
  <c r="N10" i="6"/>
  <c r="O10" i="6"/>
  <c r="P10" i="6"/>
  <c r="Q10" i="6"/>
  <c r="R10" i="6"/>
  <c r="S10" i="6"/>
  <c r="T10" i="6"/>
  <c r="U10" i="6"/>
  <c r="V10" i="6"/>
  <c r="W10" i="6"/>
  <c r="X10" i="6"/>
  <c r="Y10" i="6"/>
  <c r="Z10" i="6"/>
  <c r="AA10" i="6"/>
  <c r="AB10" i="6"/>
  <c r="AC10" i="6"/>
  <c r="AD10" i="6"/>
  <c r="AE10" i="6"/>
  <c r="AF10" i="6"/>
  <c r="AG10" i="6"/>
  <c r="F11" i="12"/>
  <c r="C8" i="7"/>
  <c r="D8" i="7"/>
  <c r="E8" i="7"/>
  <c r="F8" i="7"/>
  <c r="G8" i="7"/>
  <c r="H8" i="7"/>
  <c r="I8" i="7"/>
  <c r="J8" i="7"/>
  <c r="K8" i="7"/>
  <c r="L8" i="7"/>
  <c r="M8" i="7"/>
  <c r="N8" i="7"/>
  <c r="O8" i="7"/>
  <c r="P8" i="7"/>
  <c r="S8" i="7"/>
  <c r="W8" i="7"/>
  <c r="X8" i="7"/>
  <c r="H9" i="12"/>
  <c r="Q8" i="4"/>
  <c r="S8" i="4"/>
  <c r="U8" i="4" s="1"/>
  <c r="R8" i="4"/>
  <c r="T8" i="4" s="1"/>
  <c r="V8" i="4"/>
  <c r="X8" i="4"/>
  <c r="W8" i="4"/>
  <c r="B11" i="4" a="1"/>
  <c r="B11" i="4" s="1"/>
  <c r="X7" i="6"/>
  <c r="W7" i="6"/>
  <c r="Z7" i="6"/>
  <c r="Y7" i="6" s="1"/>
  <c r="C25" i="2" s="1"/>
  <c r="U7" i="6"/>
  <c r="C24" i="2" s="1"/>
  <c r="E7" i="6"/>
  <c r="V7" i="6"/>
  <c r="C23" i="2" s="1"/>
  <c r="P7" i="6"/>
  <c r="C20" i="2" s="1"/>
  <c r="S7" i="6"/>
  <c r="R7" i="6"/>
  <c r="T7" i="6"/>
  <c r="C22" i="2" s="1"/>
  <c r="O7" i="6"/>
  <c r="Z7" i="7"/>
  <c r="Y7" i="7"/>
  <c r="G7" i="7"/>
  <c r="X7" i="7"/>
  <c r="W7" i="7"/>
  <c r="Q7" i="7"/>
  <c r="R7" i="7"/>
  <c r="U7" i="7"/>
  <c r="T7" i="7"/>
  <c r="O7" i="10"/>
  <c r="AA7" i="3"/>
  <c r="AB7" i="3"/>
  <c r="AC7" i="3"/>
  <c r="AE7" i="3"/>
  <c r="D19" i="2" s="1"/>
  <c r="E19" i="2" s="1"/>
  <c r="B12" i="6" a="1"/>
  <c r="B12" i="6" s="1"/>
  <c r="B13" i="6" s="1" a="1"/>
  <c r="B13" i="6" s="1"/>
  <c r="B9" i="7" a="1"/>
  <c r="B9" i="7" s="1"/>
  <c r="V7" i="7" l="1"/>
  <c r="Y7" i="3"/>
  <c r="D15" i="2" s="1"/>
  <c r="E15" i="2" s="1"/>
  <c r="M7" i="10"/>
  <c r="P7" i="10" s="1"/>
  <c r="AA11" i="6"/>
  <c r="F12" i="12"/>
  <c r="D11" i="6"/>
  <c r="E11" i="6"/>
  <c r="F11" i="6"/>
  <c r="G11" i="6"/>
  <c r="H11" i="6"/>
  <c r="I11" i="6"/>
  <c r="J11" i="6"/>
  <c r="K11" i="6"/>
  <c r="L11" i="6"/>
  <c r="M11" i="6"/>
  <c r="N11" i="6"/>
  <c r="O11" i="6"/>
  <c r="P11" i="6"/>
  <c r="Q11" i="6"/>
  <c r="R11" i="6"/>
  <c r="C11" i="6"/>
  <c r="S11" i="6"/>
  <c r="T11" i="6"/>
  <c r="U11" i="6"/>
  <c r="V11" i="6"/>
  <c r="W11" i="6"/>
  <c r="X11" i="6"/>
  <c r="Y11" i="6"/>
  <c r="Z11" i="6"/>
  <c r="AB11" i="6"/>
  <c r="AC11" i="6"/>
  <c r="AD11" i="6"/>
  <c r="AE11" i="6"/>
  <c r="AF11" i="6"/>
  <c r="AG11" i="6"/>
  <c r="Q8" i="7"/>
  <c r="R8" i="7"/>
  <c r="T8" i="7"/>
  <c r="V8" i="7"/>
  <c r="U8" i="7"/>
  <c r="Y8" i="7"/>
  <c r="Z8" i="7"/>
  <c r="C10" i="4"/>
  <c r="D10" i="4"/>
  <c r="E10" i="4"/>
  <c r="X10" i="4" s="1"/>
  <c r="F10" i="4"/>
  <c r="G10" i="4"/>
  <c r="Q10" i="4" s="1"/>
  <c r="H10" i="4"/>
  <c r="I10" i="4"/>
  <c r="J10" i="4"/>
  <c r="K10" i="4"/>
  <c r="S10" i="4" s="1"/>
  <c r="U10" i="4" s="1"/>
  <c r="L10" i="4"/>
  <c r="M10" i="4"/>
  <c r="N10" i="4"/>
  <c r="O10" i="4"/>
  <c r="P10" i="4"/>
  <c r="Y10" i="4"/>
  <c r="Z10" i="4"/>
  <c r="G11" i="12"/>
  <c r="B11" i="3" a="1"/>
  <c r="B11" i="3" s="1"/>
  <c r="B12" i="3" s="1" a="1"/>
  <c r="B12" i="3" s="1"/>
  <c r="C10" i="3"/>
  <c r="D10" i="3"/>
  <c r="F10" i="3"/>
  <c r="H10" i="3"/>
  <c r="I10" i="3"/>
  <c r="J10" i="3"/>
  <c r="K10" i="3"/>
  <c r="O10" i="10" s="1"/>
  <c r="L10" i="3"/>
  <c r="M10" i="3"/>
  <c r="O10" i="3"/>
  <c r="P10" i="3"/>
  <c r="Q10" i="3"/>
  <c r="R10" i="3"/>
  <c r="S10" i="3"/>
  <c r="T10" i="3"/>
  <c r="U10" i="3"/>
  <c r="V10" i="3"/>
  <c r="W10" i="3"/>
  <c r="X10" i="3"/>
  <c r="Y10" i="3"/>
  <c r="Z10" i="3"/>
  <c r="AA10" i="3"/>
  <c r="AB10" i="3"/>
  <c r="AC10" i="3"/>
  <c r="AD10" i="3"/>
  <c r="AE10" i="3"/>
  <c r="AF10" i="3"/>
  <c r="E11" i="12"/>
  <c r="B10" i="10"/>
  <c r="E10" i="3"/>
  <c r="G10" i="3"/>
  <c r="N10" i="10" s="1"/>
  <c r="N10" i="3"/>
  <c r="E9" i="10"/>
  <c r="G9" i="10"/>
  <c r="J9" i="10"/>
  <c r="L9" i="10"/>
  <c r="D9" i="10"/>
  <c r="K9" i="10"/>
  <c r="M9" i="10"/>
  <c r="C9" i="10"/>
  <c r="F9" i="10"/>
  <c r="H9" i="10"/>
  <c r="I9" i="10"/>
  <c r="P9" i="10"/>
  <c r="C11" i="4"/>
  <c r="F11" i="4"/>
  <c r="H11" i="4"/>
  <c r="K11" i="4"/>
  <c r="N11" i="4"/>
  <c r="O11" i="4"/>
  <c r="Z11" i="4"/>
  <c r="G12" i="12"/>
  <c r="D11" i="4"/>
  <c r="E11" i="4"/>
  <c r="G11" i="4"/>
  <c r="Q11" i="4" s="1"/>
  <c r="I11" i="4"/>
  <c r="J11" i="4"/>
  <c r="L11" i="4"/>
  <c r="R11" i="4" s="1"/>
  <c r="M11" i="4"/>
  <c r="P11" i="4"/>
  <c r="F14" i="12"/>
  <c r="AG13" i="6"/>
  <c r="AF13" i="6"/>
  <c r="AE13" i="6"/>
  <c r="AD13" i="6"/>
  <c r="AC13" i="6"/>
  <c r="AB13" i="6"/>
  <c r="AA13" i="6"/>
  <c r="Z13" i="6"/>
  <c r="Y13" i="6"/>
  <c r="X13" i="6"/>
  <c r="W13" i="6"/>
  <c r="V13" i="6"/>
  <c r="U13" i="6"/>
  <c r="T13" i="6"/>
  <c r="S13" i="6"/>
  <c r="R13" i="6"/>
  <c r="Q13" i="6"/>
  <c r="P13" i="6"/>
  <c r="O13" i="6"/>
  <c r="N13" i="6"/>
  <c r="M13" i="6"/>
  <c r="L13" i="6"/>
  <c r="K13" i="6"/>
  <c r="J13" i="6"/>
  <c r="I13" i="6"/>
  <c r="H13" i="6"/>
  <c r="G13" i="6"/>
  <c r="F13" i="6"/>
  <c r="E13" i="6"/>
  <c r="D13" i="6"/>
  <c r="C13" i="6"/>
  <c r="F13" i="12"/>
  <c r="AG12" i="6"/>
  <c r="AF12" i="6"/>
  <c r="AE12" i="6"/>
  <c r="AD12" i="6"/>
  <c r="AC12" i="6"/>
  <c r="AB12" i="6"/>
  <c r="AA12" i="6"/>
  <c r="Z12" i="6"/>
  <c r="Y12" i="6"/>
  <c r="X12" i="6"/>
  <c r="W12" i="6"/>
  <c r="V12" i="6"/>
  <c r="U12" i="6"/>
  <c r="T12" i="6"/>
  <c r="S12" i="6"/>
  <c r="R12" i="6"/>
  <c r="Q12" i="6"/>
  <c r="P12" i="6"/>
  <c r="O12" i="6"/>
  <c r="N12" i="6"/>
  <c r="M12" i="6"/>
  <c r="L12" i="6"/>
  <c r="K12" i="6"/>
  <c r="J12" i="6"/>
  <c r="I12" i="6"/>
  <c r="H12" i="6"/>
  <c r="G12" i="6"/>
  <c r="F12" i="6"/>
  <c r="E12" i="6"/>
  <c r="D12" i="6"/>
  <c r="C12" i="6"/>
  <c r="H10" i="12"/>
  <c r="S9" i="7"/>
  <c r="P9" i="7"/>
  <c r="O9" i="7"/>
  <c r="N9" i="7"/>
  <c r="M9" i="7"/>
  <c r="L9" i="7"/>
  <c r="K9" i="7"/>
  <c r="J9" i="7"/>
  <c r="I9" i="7"/>
  <c r="H9" i="7"/>
  <c r="F9" i="7"/>
  <c r="E9" i="7"/>
  <c r="D9" i="7"/>
  <c r="C9" i="7"/>
  <c r="B10" i="7" a="1"/>
  <c r="B10" i="7" s="1"/>
  <c r="E25" i="2"/>
  <c r="E24" i="2"/>
  <c r="E23" i="2"/>
  <c r="E20" i="2"/>
  <c r="E22" i="2"/>
  <c r="Q9" i="4"/>
  <c r="R9" i="4"/>
  <c r="S9" i="4"/>
  <c r="T9" i="4"/>
  <c r="U9" i="4"/>
  <c r="V9" i="4"/>
  <c r="W9" i="4"/>
  <c r="X9" i="4"/>
  <c r="B12" i="4" a="1"/>
  <c r="B12" i="4" s="1"/>
  <c r="B14" i="6" a="1"/>
  <c r="B14" i="6" s="1"/>
  <c r="V10" i="4" l="1"/>
  <c r="AB11" i="3"/>
  <c r="U11" i="3"/>
  <c r="T11" i="3"/>
  <c r="R11" i="3"/>
  <c r="P11" i="3"/>
  <c r="N11" i="3"/>
  <c r="L11" i="3"/>
  <c r="J11" i="3"/>
  <c r="E12" i="12"/>
  <c r="B11" i="10"/>
  <c r="AF11" i="3"/>
  <c r="AE11" i="3"/>
  <c r="AD11" i="3"/>
  <c r="AC11" i="3"/>
  <c r="AA11" i="3"/>
  <c r="Z11" i="3"/>
  <c r="Y11" i="3"/>
  <c r="X11" i="3"/>
  <c r="W11" i="3"/>
  <c r="V11" i="3"/>
  <c r="S11" i="3"/>
  <c r="Q11" i="3"/>
  <c r="O11" i="3"/>
  <c r="M11" i="3"/>
  <c r="K11" i="3"/>
  <c r="O11" i="10" s="1"/>
  <c r="I11" i="3"/>
  <c r="H11" i="3"/>
  <c r="G11" i="3"/>
  <c r="N11" i="10" s="1"/>
  <c r="F11" i="3"/>
  <c r="E11" i="3"/>
  <c r="D11" i="3"/>
  <c r="C11" i="3"/>
  <c r="F10" i="10"/>
  <c r="K10" i="10"/>
  <c r="P10" i="10"/>
  <c r="D10" i="10"/>
  <c r="H10" i="10"/>
  <c r="I10" i="10"/>
  <c r="L10" i="10"/>
  <c r="C10" i="10"/>
  <c r="E10" i="10"/>
  <c r="G10" i="10"/>
  <c r="J10" i="10"/>
  <c r="M10" i="10"/>
  <c r="H11" i="12"/>
  <c r="S10" i="7"/>
  <c r="P10" i="7"/>
  <c r="O10" i="7"/>
  <c r="N10" i="7"/>
  <c r="M10" i="7"/>
  <c r="L10" i="7"/>
  <c r="K10" i="7"/>
  <c r="J10" i="7"/>
  <c r="I10" i="7"/>
  <c r="H10" i="7"/>
  <c r="F10" i="7"/>
  <c r="E10" i="7"/>
  <c r="D10" i="7"/>
  <c r="C10" i="7"/>
  <c r="B12" i="10"/>
  <c r="AF12" i="3"/>
  <c r="Z12" i="3"/>
  <c r="X12" i="3"/>
  <c r="T12" i="3"/>
  <c r="R12" i="3"/>
  <c r="P12" i="3"/>
  <c r="N12" i="3"/>
  <c r="M12" i="3"/>
  <c r="L12" i="3"/>
  <c r="J12" i="3"/>
  <c r="G12" i="3"/>
  <c r="N12" i="10" s="1"/>
  <c r="E12" i="3"/>
  <c r="E13" i="12"/>
  <c r="AE12" i="3"/>
  <c r="AD12" i="3"/>
  <c r="AC12" i="3"/>
  <c r="AB12" i="3"/>
  <c r="AA12" i="3"/>
  <c r="Y12" i="3"/>
  <c r="W12" i="3"/>
  <c r="V12" i="3"/>
  <c r="U12" i="3"/>
  <c r="S12" i="3"/>
  <c r="Q12" i="3"/>
  <c r="O12" i="3"/>
  <c r="K12" i="3"/>
  <c r="O12" i="10" s="1"/>
  <c r="I12" i="3"/>
  <c r="H12" i="3"/>
  <c r="F12" i="3"/>
  <c r="D12" i="3"/>
  <c r="C12" i="3"/>
  <c r="P12" i="4"/>
  <c r="N12" i="4"/>
  <c r="M12" i="4"/>
  <c r="K12" i="4"/>
  <c r="H12" i="4"/>
  <c r="F12" i="4"/>
  <c r="E12" i="4"/>
  <c r="D12" i="4"/>
  <c r="G13" i="12"/>
  <c r="Z12" i="4"/>
  <c r="O12" i="4"/>
  <c r="L12" i="4"/>
  <c r="J12" i="4"/>
  <c r="I12" i="4"/>
  <c r="G12" i="4"/>
  <c r="Q12" i="4" s="1"/>
  <c r="C12" i="4"/>
  <c r="B13" i="4" a="1"/>
  <c r="B13" i="4" s="1"/>
  <c r="C14" i="6"/>
  <c r="D14" i="6"/>
  <c r="E14" i="6"/>
  <c r="F14" i="6"/>
  <c r="G14" i="6"/>
  <c r="H14" i="6"/>
  <c r="I14" i="6"/>
  <c r="J14" i="6"/>
  <c r="K14" i="6"/>
  <c r="L14" i="6"/>
  <c r="M14" i="6"/>
  <c r="N14" i="6"/>
  <c r="O14" i="6"/>
  <c r="P14" i="6"/>
  <c r="Q14" i="6"/>
  <c r="R14" i="6"/>
  <c r="S14" i="6"/>
  <c r="T14" i="6"/>
  <c r="U14" i="6"/>
  <c r="V14" i="6"/>
  <c r="W14" i="6"/>
  <c r="X14" i="6"/>
  <c r="Y14" i="6"/>
  <c r="Z14" i="6"/>
  <c r="AA14" i="6"/>
  <c r="AB14" i="6"/>
  <c r="AC14" i="6"/>
  <c r="AD14" i="6"/>
  <c r="AE14" i="6"/>
  <c r="AF14" i="6"/>
  <c r="AG14" i="6"/>
  <c r="F15" i="12"/>
  <c r="B15" i="6" a="1"/>
  <c r="B15" i="6" s="1"/>
  <c r="W10" i="4"/>
  <c r="R10" i="4"/>
  <c r="T10" i="4" s="1"/>
  <c r="B13" i="3" a="1"/>
  <c r="B13" i="3" s="1"/>
  <c r="W11" i="4"/>
  <c r="X11" i="4"/>
  <c r="V11" i="4"/>
  <c r="Y11" i="4"/>
  <c r="S11" i="4"/>
  <c r="Y9" i="7"/>
  <c r="Z9" i="7"/>
  <c r="G9" i="7"/>
  <c r="W9" i="7"/>
  <c r="X9" i="7"/>
  <c r="U9" i="7"/>
  <c r="T9" i="7"/>
  <c r="R9" i="7"/>
  <c r="Q9" i="7"/>
  <c r="V9" i="7"/>
  <c r="B11" i="7" a="1"/>
  <c r="B11" i="7" s="1"/>
  <c r="R12" i="4" l="1"/>
  <c r="G11" i="10"/>
  <c r="I11" i="10"/>
  <c r="C11" i="10"/>
  <c r="D11" i="10"/>
  <c r="F11" i="10"/>
  <c r="H11" i="10"/>
  <c r="J11" i="10"/>
  <c r="K11" i="10"/>
  <c r="M11" i="10"/>
  <c r="E11" i="10"/>
  <c r="L11" i="10"/>
  <c r="P11" i="10"/>
  <c r="C12" i="10"/>
  <c r="D12" i="10"/>
  <c r="E12" i="10"/>
  <c r="F12" i="10"/>
  <c r="H12" i="10"/>
  <c r="J12" i="10"/>
  <c r="K12" i="10"/>
  <c r="L12" i="10"/>
  <c r="I12" i="10"/>
  <c r="M12" i="10"/>
  <c r="G12" i="10"/>
  <c r="P12" i="10"/>
  <c r="B14" i="4" a="1"/>
  <c r="B14" i="4" s="1"/>
  <c r="P13" i="4"/>
  <c r="J13" i="4"/>
  <c r="H13" i="4"/>
  <c r="F13" i="4"/>
  <c r="D13" i="4"/>
  <c r="G14" i="12"/>
  <c r="Z13" i="4"/>
  <c r="O13" i="4"/>
  <c r="N13" i="4"/>
  <c r="M13" i="4"/>
  <c r="L13" i="4"/>
  <c r="K13" i="4"/>
  <c r="I13" i="4"/>
  <c r="G13" i="4"/>
  <c r="E13" i="4"/>
  <c r="C13" i="4"/>
  <c r="B16" i="6" a="1"/>
  <c r="B16" i="6" s="1"/>
  <c r="C15" i="6"/>
  <c r="D15" i="6"/>
  <c r="E15" i="6"/>
  <c r="F15" i="6"/>
  <c r="G15" i="6"/>
  <c r="H15" i="6"/>
  <c r="I15" i="6"/>
  <c r="J15" i="6"/>
  <c r="K15" i="6"/>
  <c r="L15" i="6"/>
  <c r="M15" i="6"/>
  <c r="N15" i="6"/>
  <c r="O15" i="6"/>
  <c r="P15" i="6"/>
  <c r="Q15" i="6"/>
  <c r="R15" i="6"/>
  <c r="S15" i="6"/>
  <c r="T15" i="6"/>
  <c r="U15" i="6"/>
  <c r="V15" i="6"/>
  <c r="W15" i="6"/>
  <c r="X15" i="6"/>
  <c r="Y15" i="6"/>
  <c r="Z15" i="6"/>
  <c r="AA15" i="6"/>
  <c r="AB15" i="6"/>
  <c r="AC15" i="6"/>
  <c r="AD15" i="6"/>
  <c r="AE15" i="6"/>
  <c r="AF15" i="6"/>
  <c r="AG15" i="6"/>
  <c r="F16" i="12"/>
  <c r="B14" i="3" a="1"/>
  <c r="B14" i="3" s="1"/>
  <c r="D13" i="3"/>
  <c r="H13" i="3"/>
  <c r="J13" i="3"/>
  <c r="M13" i="3"/>
  <c r="O13" i="3"/>
  <c r="Q13" i="3"/>
  <c r="T13" i="3"/>
  <c r="U13" i="3"/>
  <c r="AF13" i="3"/>
  <c r="C13" i="3"/>
  <c r="E13" i="3"/>
  <c r="F13" i="3"/>
  <c r="G13" i="3"/>
  <c r="N13" i="10" s="1"/>
  <c r="I13" i="3"/>
  <c r="K13" i="3"/>
  <c r="O13" i="10" s="1"/>
  <c r="L13" i="3"/>
  <c r="N13" i="3"/>
  <c r="P13" i="3"/>
  <c r="R13" i="3"/>
  <c r="S13" i="3"/>
  <c r="V13" i="3"/>
  <c r="W13" i="3"/>
  <c r="X13" i="3"/>
  <c r="Y13" i="3"/>
  <c r="Z13" i="3"/>
  <c r="AA13" i="3"/>
  <c r="AB13" i="3"/>
  <c r="AC13" i="3"/>
  <c r="AD13" i="3"/>
  <c r="AE13" i="3"/>
  <c r="B13" i="10"/>
  <c r="E14" i="12"/>
  <c r="T11" i="4"/>
  <c r="U11" i="4"/>
  <c r="C11" i="7"/>
  <c r="D11" i="7"/>
  <c r="E11" i="7"/>
  <c r="F11" i="7"/>
  <c r="G11" i="7"/>
  <c r="H11" i="7"/>
  <c r="W11" i="7" s="1"/>
  <c r="I11" i="7"/>
  <c r="J11" i="7"/>
  <c r="K11" i="7"/>
  <c r="L11" i="7"/>
  <c r="M11" i="7"/>
  <c r="N11" i="7"/>
  <c r="O11" i="7"/>
  <c r="P11" i="7"/>
  <c r="S11" i="7"/>
  <c r="H12" i="12"/>
  <c r="B12" i="7" a="1"/>
  <c r="B12" i="7" s="1"/>
  <c r="Z10" i="7"/>
  <c r="Y10" i="7"/>
  <c r="G10" i="7"/>
  <c r="X10" i="7"/>
  <c r="W10" i="7"/>
  <c r="AA10" i="7"/>
  <c r="U10" i="7"/>
  <c r="T10" i="7"/>
  <c r="V10" i="7" s="1"/>
  <c r="R10" i="7"/>
  <c r="Q10" i="7"/>
  <c r="Y12" i="4"/>
  <c r="S12" i="4"/>
  <c r="X12" i="4"/>
  <c r="V12" i="4"/>
  <c r="W12" i="4"/>
  <c r="X11" i="7" l="1"/>
  <c r="Y13" i="4"/>
  <c r="U12" i="4"/>
  <c r="T12" i="4"/>
  <c r="C14" i="4"/>
  <c r="E14" i="4"/>
  <c r="J14" i="4"/>
  <c r="K14" i="4"/>
  <c r="M14" i="4"/>
  <c r="O14" i="4"/>
  <c r="P14" i="4"/>
  <c r="Z14" i="4"/>
  <c r="D14" i="4"/>
  <c r="F14" i="4"/>
  <c r="G14" i="4"/>
  <c r="H14" i="4"/>
  <c r="I14" i="4"/>
  <c r="L14" i="4"/>
  <c r="N14" i="4"/>
  <c r="G15" i="12"/>
  <c r="B15" i="4" a="1"/>
  <c r="B15" i="4" s="1"/>
  <c r="B17" i="6" a="1"/>
  <c r="B17" i="6" s="1"/>
  <c r="C16" i="6"/>
  <c r="D16" i="6"/>
  <c r="E16" i="6"/>
  <c r="F16" i="6"/>
  <c r="G16" i="6"/>
  <c r="H16" i="6"/>
  <c r="I16" i="6"/>
  <c r="J16" i="6"/>
  <c r="K16" i="6"/>
  <c r="L16" i="6"/>
  <c r="M16" i="6"/>
  <c r="N16" i="6"/>
  <c r="O16" i="6"/>
  <c r="P16" i="6"/>
  <c r="Q16" i="6"/>
  <c r="R16" i="6"/>
  <c r="S16" i="6"/>
  <c r="T16" i="6"/>
  <c r="U16" i="6"/>
  <c r="V16" i="6"/>
  <c r="W16" i="6"/>
  <c r="X16" i="6"/>
  <c r="Y16" i="6"/>
  <c r="Z16" i="6"/>
  <c r="AA16" i="6"/>
  <c r="AB16" i="6"/>
  <c r="AC16" i="6"/>
  <c r="AD16" i="6"/>
  <c r="AE16" i="6"/>
  <c r="AF16" i="6"/>
  <c r="AG16" i="6"/>
  <c r="F17" i="12"/>
  <c r="B15" i="3" a="1"/>
  <c r="B15" i="3" s="1"/>
  <c r="E15" i="12"/>
  <c r="B14" i="10"/>
  <c r="AE14" i="3"/>
  <c r="AD14" i="3"/>
  <c r="AC14" i="3"/>
  <c r="AB14" i="3"/>
  <c r="AA14" i="3"/>
  <c r="Z14" i="3"/>
  <c r="Y14" i="3"/>
  <c r="X14" i="3"/>
  <c r="W14" i="3"/>
  <c r="U14" i="3"/>
  <c r="S14" i="3"/>
  <c r="Q14" i="3"/>
  <c r="O14" i="3"/>
  <c r="M14" i="3"/>
  <c r="J14" i="3"/>
  <c r="H14" i="3"/>
  <c r="G14" i="3"/>
  <c r="N14" i="10" s="1"/>
  <c r="E14" i="3"/>
  <c r="C14" i="3"/>
  <c r="AF14" i="3"/>
  <c r="V14" i="3"/>
  <c r="T14" i="3"/>
  <c r="R14" i="3"/>
  <c r="P14" i="3"/>
  <c r="N14" i="3"/>
  <c r="L14" i="3"/>
  <c r="K14" i="3"/>
  <c r="O14" i="10" s="1"/>
  <c r="I14" i="3"/>
  <c r="F14" i="3"/>
  <c r="D14" i="3"/>
  <c r="G13" i="10"/>
  <c r="E13" i="10"/>
  <c r="H13" i="10"/>
  <c r="L13" i="10"/>
  <c r="F13" i="10"/>
  <c r="J13" i="10"/>
  <c r="C13" i="10"/>
  <c r="D13" i="10"/>
  <c r="I13" i="10"/>
  <c r="K13" i="10"/>
  <c r="M13" i="10"/>
  <c r="P13" i="10"/>
  <c r="C12" i="7"/>
  <c r="D12" i="7"/>
  <c r="E12" i="7"/>
  <c r="F12" i="7"/>
  <c r="G12" i="7"/>
  <c r="H12" i="7"/>
  <c r="W12" i="7" s="1"/>
  <c r="I12" i="7"/>
  <c r="X12" i="7" s="1"/>
  <c r="J12" i="7"/>
  <c r="K12" i="7"/>
  <c r="L12" i="7"/>
  <c r="M12" i="7"/>
  <c r="N12" i="7"/>
  <c r="O12" i="7"/>
  <c r="P12" i="7"/>
  <c r="S12" i="7"/>
  <c r="H13" i="12"/>
  <c r="B13" i="7" a="1"/>
  <c r="B13" i="7" s="1"/>
  <c r="S13" i="4"/>
  <c r="R13" i="4"/>
  <c r="T13" i="4" s="1"/>
  <c r="Q13" i="4"/>
  <c r="X13" i="4"/>
  <c r="W13" i="4"/>
  <c r="V13" i="4"/>
  <c r="T11" i="7"/>
  <c r="V11" i="7" s="1"/>
  <c r="R11" i="7"/>
  <c r="Q11" i="7"/>
  <c r="U11" i="7"/>
  <c r="Y11" i="7"/>
  <c r="Z11" i="7"/>
  <c r="U13" i="4" l="1"/>
  <c r="Y14" i="4"/>
  <c r="E15" i="4"/>
  <c r="G15" i="4"/>
  <c r="I15" i="4"/>
  <c r="K15" i="4"/>
  <c r="M15" i="4"/>
  <c r="O15" i="4"/>
  <c r="P15" i="4"/>
  <c r="X15" i="4"/>
  <c r="Z15" i="4"/>
  <c r="G16" i="12"/>
  <c r="C15" i="4"/>
  <c r="D15" i="4"/>
  <c r="F15" i="4"/>
  <c r="H15" i="4"/>
  <c r="J15" i="4"/>
  <c r="L15" i="4"/>
  <c r="W15" i="4" s="1"/>
  <c r="N15" i="4"/>
  <c r="V15" i="4" s="1"/>
  <c r="Q15" i="4"/>
  <c r="B16" i="4" a="1"/>
  <c r="B16" i="4" s="1"/>
  <c r="C17" i="6"/>
  <c r="D17" i="6"/>
  <c r="E17" i="6"/>
  <c r="F17" i="6"/>
  <c r="G17" i="6"/>
  <c r="H17" i="6"/>
  <c r="I17" i="6"/>
  <c r="J17" i="6"/>
  <c r="K17" i="6"/>
  <c r="L17" i="6"/>
  <c r="M17" i="6"/>
  <c r="N17" i="6"/>
  <c r="O17" i="6"/>
  <c r="P17" i="6"/>
  <c r="Q17" i="6"/>
  <c r="R17" i="6"/>
  <c r="S17" i="6"/>
  <c r="T17" i="6"/>
  <c r="U17" i="6"/>
  <c r="V17" i="6"/>
  <c r="W17" i="6"/>
  <c r="X17" i="6"/>
  <c r="Y17" i="6"/>
  <c r="Z17" i="6"/>
  <c r="AA17" i="6"/>
  <c r="AB17" i="6"/>
  <c r="AC17" i="6"/>
  <c r="AD17" i="6"/>
  <c r="AE17" i="6"/>
  <c r="AF17" i="6"/>
  <c r="AG17" i="6"/>
  <c r="F18" i="12"/>
  <c r="B18" i="6" a="1"/>
  <c r="B18" i="6" s="1"/>
  <c r="B16" i="3" a="1"/>
  <c r="B16" i="3" s="1"/>
  <c r="E15" i="3"/>
  <c r="F15" i="3"/>
  <c r="G15" i="3"/>
  <c r="N15" i="10" s="1"/>
  <c r="I15" i="3"/>
  <c r="K15" i="3"/>
  <c r="O15" i="10" s="1"/>
  <c r="L15" i="3"/>
  <c r="N15" i="3"/>
  <c r="P15" i="3"/>
  <c r="R15" i="3"/>
  <c r="T15" i="3"/>
  <c r="V15" i="3"/>
  <c r="Z15" i="3"/>
  <c r="C15" i="3"/>
  <c r="D15" i="3"/>
  <c r="H15" i="3"/>
  <c r="J15" i="3"/>
  <c r="M15" i="3"/>
  <c r="O15" i="3"/>
  <c r="Q15" i="3"/>
  <c r="S15" i="3"/>
  <c r="U15" i="3"/>
  <c r="W15" i="3"/>
  <c r="X15" i="3"/>
  <c r="Y15" i="3"/>
  <c r="AA15" i="3"/>
  <c r="AB15" i="3"/>
  <c r="AC15" i="3"/>
  <c r="AD15" i="3"/>
  <c r="AE15" i="3"/>
  <c r="AF15" i="3"/>
  <c r="E16" i="12"/>
  <c r="B15" i="10"/>
  <c r="E14" i="10"/>
  <c r="J14" i="10"/>
  <c r="M14" i="10"/>
  <c r="D14" i="10"/>
  <c r="C14" i="10"/>
  <c r="F14" i="10"/>
  <c r="G14" i="10"/>
  <c r="H14" i="10"/>
  <c r="I14" i="10"/>
  <c r="K14" i="10"/>
  <c r="L14" i="10"/>
  <c r="P14" i="10"/>
  <c r="C13" i="7"/>
  <c r="D13" i="7"/>
  <c r="E13" i="7"/>
  <c r="F13" i="7"/>
  <c r="G13" i="7"/>
  <c r="H13" i="7"/>
  <c r="I13" i="7"/>
  <c r="J13" i="7"/>
  <c r="K13" i="7"/>
  <c r="L13" i="7"/>
  <c r="M13" i="7"/>
  <c r="N13" i="7"/>
  <c r="O13" i="7"/>
  <c r="P13" i="7"/>
  <c r="S13" i="7"/>
  <c r="H14" i="12"/>
  <c r="B14" i="7" a="1"/>
  <c r="B14" i="7" s="1"/>
  <c r="V14" i="4"/>
  <c r="W14" i="4"/>
  <c r="X14" i="4"/>
  <c r="R14" i="4"/>
  <c r="S14" i="4"/>
  <c r="Q14" i="4"/>
  <c r="Q12" i="7"/>
  <c r="R12" i="7"/>
  <c r="T12" i="7"/>
  <c r="U12" i="7"/>
  <c r="V12" i="7"/>
  <c r="Y12" i="7"/>
  <c r="Z12" i="7"/>
  <c r="T14" i="4" l="1"/>
  <c r="U14" i="4"/>
  <c r="R15" i="4"/>
  <c r="T13" i="7"/>
  <c r="V13" i="7" s="1"/>
  <c r="Q13" i="7"/>
  <c r="R13" i="7"/>
  <c r="B17" i="4" a="1"/>
  <c r="B17" i="4" s="1"/>
  <c r="C16" i="4"/>
  <c r="D16" i="4"/>
  <c r="F16" i="4"/>
  <c r="S16" i="4" s="1"/>
  <c r="H16" i="4"/>
  <c r="Y16" i="4" s="1"/>
  <c r="J16" i="4"/>
  <c r="L16" i="4"/>
  <c r="N16" i="4"/>
  <c r="P16" i="4"/>
  <c r="E16" i="4"/>
  <c r="G16" i="4"/>
  <c r="Q16" i="4" s="1"/>
  <c r="I16" i="4"/>
  <c r="K16" i="4"/>
  <c r="M16" i="4"/>
  <c r="O16" i="4"/>
  <c r="Z16" i="4"/>
  <c r="G17" i="12"/>
  <c r="C18" i="6"/>
  <c r="D18" i="6"/>
  <c r="E18" i="6"/>
  <c r="F18" i="6"/>
  <c r="G18" i="6"/>
  <c r="H18" i="6"/>
  <c r="I18" i="6"/>
  <c r="J18" i="6"/>
  <c r="K18" i="6"/>
  <c r="L18" i="6"/>
  <c r="M18" i="6"/>
  <c r="N18" i="6"/>
  <c r="O18" i="6"/>
  <c r="P18" i="6"/>
  <c r="Q18" i="6"/>
  <c r="R18" i="6"/>
  <c r="S18" i="6"/>
  <c r="T18" i="6"/>
  <c r="U18" i="6"/>
  <c r="V18" i="6"/>
  <c r="W18" i="6"/>
  <c r="X18" i="6"/>
  <c r="Y18" i="6"/>
  <c r="Z18" i="6"/>
  <c r="AA18" i="6"/>
  <c r="AB18" i="6"/>
  <c r="AC18" i="6"/>
  <c r="AD18" i="6"/>
  <c r="AE18" i="6"/>
  <c r="AF18" i="6"/>
  <c r="AG18" i="6"/>
  <c r="F19" i="12"/>
  <c r="B19" i="6" a="1"/>
  <c r="B19" i="6" s="1"/>
  <c r="B17" i="3" a="1"/>
  <c r="B17" i="3" s="1"/>
  <c r="C16" i="3"/>
  <c r="D16" i="3"/>
  <c r="F16" i="3"/>
  <c r="H16" i="3"/>
  <c r="J16" i="3"/>
  <c r="K16" i="3"/>
  <c r="O16" i="10" s="1"/>
  <c r="M16" i="3"/>
  <c r="N16" i="3"/>
  <c r="P16" i="3"/>
  <c r="R16" i="3"/>
  <c r="T16" i="3"/>
  <c r="W16" i="3"/>
  <c r="Y16" i="3"/>
  <c r="AA16" i="3"/>
  <c r="AC16" i="3"/>
  <c r="AE16" i="3"/>
  <c r="E17" i="12"/>
  <c r="B16" i="10"/>
  <c r="E16" i="3"/>
  <c r="G16" i="3"/>
  <c r="N16" i="10" s="1"/>
  <c r="I16" i="3"/>
  <c r="L16" i="3"/>
  <c r="O16" i="3"/>
  <c r="Q16" i="3"/>
  <c r="S16" i="3"/>
  <c r="U16" i="3"/>
  <c r="V16" i="3"/>
  <c r="X16" i="3"/>
  <c r="Z16" i="3"/>
  <c r="AB16" i="3"/>
  <c r="AD16" i="3"/>
  <c r="AF16" i="3"/>
  <c r="K15" i="10"/>
  <c r="D15" i="10"/>
  <c r="E15" i="10"/>
  <c r="H15" i="10"/>
  <c r="I15" i="10"/>
  <c r="L15" i="10"/>
  <c r="M15" i="10"/>
  <c r="F15" i="10"/>
  <c r="P15" i="10"/>
  <c r="C15" i="10"/>
  <c r="G15" i="10"/>
  <c r="J15" i="10"/>
  <c r="C14" i="7"/>
  <c r="D14" i="7"/>
  <c r="E14" i="7"/>
  <c r="F14" i="7"/>
  <c r="G14" i="7" s="1"/>
  <c r="H14" i="7"/>
  <c r="I14" i="7"/>
  <c r="J14" i="7"/>
  <c r="K14" i="7"/>
  <c r="X14" i="7" s="1"/>
  <c r="L14" i="7"/>
  <c r="M14" i="7"/>
  <c r="N14" i="7"/>
  <c r="O14" i="7"/>
  <c r="P14" i="7"/>
  <c r="Q14" i="7"/>
  <c r="R14" i="7"/>
  <c r="S14" i="7"/>
  <c r="T14" i="7"/>
  <c r="U14" i="7"/>
  <c r="V14" i="7"/>
  <c r="H15" i="12"/>
  <c r="B15" i="7" a="1"/>
  <c r="B15" i="7" s="1"/>
  <c r="Y15" i="4"/>
  <c r="S15" i="4"/>
  <c r="U13" i="7"/>
  <c r="W13" i="7"/>
  <c r="X13" i="7"/>
  <c r="Y13" i="7"/>
  <c r="Z13" i="7"/>
  <c r="U16" i="4" l="1"/>
  <c r="W14" i="7"/>
  <c r="R16" i="4"/>
  <c r="T16" i="4" s="1"/>
  <c r="C17" i="4"/>
  <c r="D17" i="4"/>
  <c r="E17" i="4"/>
  <c r="F17" i="4"/>
  <c r="I17" i="4"/>
  <c r="K17" i="4"/>
  <c r="M17" i="4"/>
  <c r="P17" i="4"/>
  <c r="Z17" i="4"/>
  <c r="G18" i="12"/>
  <c r="G17" i="4"/>
  <c r="H17" i="4"/>
  <c r="J17" i="4"/>
  <c r="L17" i="4"/>
  <c r="W17" i="4" s="1"/>
  <c r="N17" i="4"/>
  <c r="O17" i="4"/>
  <c r="B18" i="4" a="1"/>
  <c r="B18" i="4" s="1"/>
  <c r="C19" i="6"/>
  <c r="D19" i="6"/>
  <c r="E19" i="6"/>
  <c r="F19" i="6"/>
  <c r="G19" i="6"/>
  <c r="H19" i="6"/>
  <c r="I19" i="6"/>
  <c r="J19" i="6"/>
  <c r="K19" i="6"/>
  <c r="L19" i="6"/>
  <c r="M19" i="6"/>
  <c r="N19" i="6"/>
  <c r="O19" i="6"/>
  <c r="P19" i="6"/>
  <c r="Q19" i="6"/>
  <c r="R19" i="6"/>
  <c r="S19" i="6"/>
  <c r="T19" i="6"/>
  <c r="U19" i="6"/>
  <c r="V19" i="6"/>
  <c r="W19" i="6"/>
  <c r="X19" i="6"/>
  <c r="Y19" i="6"/>
  <c r="Z19" i="6"/>
  <c r="AA19" i="6"/>
  <c r="AB19" i="6"/>
  <c r="AC19" i="6"/>
  <c r="AD19" i="6"/>
  <c r="AE19" i="6"/>
  <c r="AF19" i="6"/>
  <c r="AG19" i="6"/>
  <c r="F20" i="12"/>
  <c r="B20" i="6" a="1"/>
  <c r="B20" i="6" s="1"/>
  <c r="C17" i="3"/>
  <c r="E17" i="3"/>
  <c r="G17" i="3"/>
  <c r="N17" i="10" s="1"/>
  <c r="I17" i="3"/>
  <c r="J17" i="3"/>
  <c r="M17" i="3"/>
  <c r="O17" i="3"/>
  <c r="R17" i="3"/>
  <c r="T17" i="3"/>
  <c r="U17" i="3"/>
  <c r="W17" i="3"/>
  <c r="AC17" i="3"/>
  <c r="B17" i="10"/>
  <c r="D17" i="3"/>
  <c r="F17" i="3"/>
  <c r="H17" i="3"/>
  <c r="K17" i="3"/>
  <c r="O17" i="10" s="1"/>
  <c r="L17" i="3"/>
  <c r="N17" i="3"/>
  <c r="P17" i="3"/>
  <c r="Q17" i="3"/>
  <c r="S17" i="3"/>
  <c r="V17" i="3"/>
  <c r="X17" i="3"/>
  <c r="Y17" i="3"/>
  <c r="Z17" i="3"/>
  <c r="AA17" i="3"/>
  <c r="AB17" i="3"/>
  <c r="AD17" i="3"/>
  <c r="AE17" i="3"/>
  <c r="AF17" i="3"/>
  <c r="E18" i="12"/>
  <c r="B18" i="3" a="1"/>
  <c r="B18" i="3" s="1"/>
  <c r="D16" i="10"/>
  <c r="K16" i="10"/>
  <c r="C16" i="10"/>
  <c r="F16" i="10"/>
  <c r="G16" i="10"/>
  <c r="H16" i="10"/>
  <c r="J16" i="10"/>
  <c r="M16" i="10"/>
  <c r="E16" i="10"/>
  <c r="L16" i="10"/>
  <c r="I16" i="10"/>
  <c r="P16" i="10"/>
  <c r="C15" i="7"/>
  <c r="D15" i="7"/>
  <c r="E15" i="7"/>
  <c r="F15" i="7"/>
  <c r="G15" i="7" s="1"/>
  <c r="H15" i="7"/>
  <c r="W15" i="7" s="1"/>
  <c r="I15" i="7"/>
  <c r="J15" i="7"/>
  <c r="U15" i="7" s="1"/>
  <c r="K15" i="7"/>
  <c r="L15" i="7"/>
  <c r="M15" i="7"/>
  <c r="N15" i="7"/>
  <c r="O15" i="7"/>
  <c r="P15" i="7"/>
  <c r="S15" i="7"/>
  <c r="T15" i="7"/>
  <c r="H16" i="12"/>
  <c r="B16" i="7" a="1"/>
  <c r="B16" i="7" s="1"/>
  <c r="T15" i="4"/>
  <c r="U15" i="4"/>
  <c r="X16" i="4"/>
  <c r="V16" i="4"/>
  <c r="W16" i="4"/>
  <c r="Y14" i="7"/>
  <c r="Z14" i="7"/>
  <c r="X15" i="7" l="1"/>
  <c r="V15" i="7"/>
  <c r="Y17" i="4"/>
  <c r="C18" i="4"/>
  <c r="E18" i="4"/>
  <c r="G18" i="4"/>
  <c r="I18" i="4"/>
  <c r="J18" i="4"/>
  <c r="K18" i="4"/>
  <c r="N18" i="4"/>
  <c r="P18" i="4"/>
  <c r="Z18" i="4"/>
  <c r="G19" i="12"/>
  <c r="D18" i="4"/>
  <c r="F18" i="4"/>
  <c r="H18" i="4"/>
  <c r="L18" i="4"/>
  <c r="M18" i="4"/>
  <c r="O18" i="4"/>
  <c r="B19" i="4" a="1"/>
  <c r="B19" i="4" s="1"/>
  <c r="C20" i="6"/>
  <c r="D20" i="6"/>
  <c r="E20" i="6"/>
  <c r="F20" i="6"/>
  <c r="G20" i="6"/>
  <c r="H20" i="6"/>
  <c r="I20" i="6"/>
  <c r="J20" i="6"/>
  <c r="K20" i="6"/>
  <c r="L20" i="6"/>
  <c r="M20" i="6"/>
  <c r="N20" i="6"/>
  <c r="O20" i="6"/>
  <c r="P20" i="6"/>
  <c r="Q20" i="6"/>
  <c r="R20" i="6"/>
  <c r="S20" i="6"/>
  <c r="T20" i="6"/>
  <c r="U20" i="6"/>
  <c r="V20" i="6"/>
  <c r="W20" i="6"/>
  <c r="X20" i="6"/>
  <c r="Y20" i="6"/>
  <c r="Z20" i="6"/>
  <c r="AA20" i="6"/>
  <c r="AB20" i="6"/>
  <c r="AC20" i="6"/>
  <c r="AD20" i="6"/>
  <c r="AE20" i="6"/>
  <c r="AF20" i="6"/>
  <c r="AG20" i="6"/>
  <c r="F21" i="12"/>
  <c r="B21" i="6" a="1"/>
  <c r="B21" i="6" s="1"/>
  <c r="D17" i="10"/>
  <c r="I17" i="10"/>
  <c r="J17" i="10"/>
  <c r="M17" i="10"/>
  <c r="F17" i="10"/>
  <c r="G17" i="10"/>
  <c r="C17" i="10"/>
  <c r="H17" i="10"/>
  <c r="L17" i="10"/>
  <c r="E17" i="10"/>
  <c r="K17" i="10"/>
  <c r="P17" i="10"/>
  <c r="D18" i="3"/>
  <c r="E18" i="3"/>
  <c r="F18" i="3"/>
  <c r="G18" i="3"/>
  <c r="N18" i="10" s="1"/>
  <c r="J18" i="3"/>
  <c r="K18" i="3"/>
  <c r="O18" i="10" s="1"/>
  <c r="L18" i="3"/>
  <c r="O18" i="3"/>
  <c r="Q18" i="3"/>
  <c r="S18" i="3"/>
  <c r="T18" i="3"/>
  <c r="U18" i="3"/>
  <c r="V18" i="3"/>
  <c r="W18" i="3"/>
  <c r="X18" i="3"/>
  <c r="Y18" i="3"/>
  <c r="Z18" i="3"/>
  <c r="AA18" i="3"/>
  <c r="AC18" i="3"/>
  <c r="AD18" i="3"/>
  <c r="AE18" i="3"/>
  <c r="AF18" i="3"/>
  <c r="E19" i="12"/>
  <c r="C18" i="3"/>
  <c r="H18" i="3"/>
  <c r="I18" i="3"/>
  <c r="M18" i="3"/>
  <c r="N18" i="3"/>
  <c r="P18" i="3"/>
  <c r="R18" i="3"/>
  <c r="AB18" i="3"/>
  <c r="B18" i="10"/>
  <c r="B19" i="3" a="1"/>
  <c r="B19" i="3" s="1"/>
  <c r="C16" i="7"/>
  <c r="D16" i="7"/>
  <c r="E16" i="7"/>
  <c r="F16" i="7"/>
  <c r="G16" i="7"/>
  <c r="H16" i="7"/>
  <c r="W16" i="7" s="1"/>
  <c r="I16" i="7"/>
  <c r="J16" i="7"/>
  <c r="K16" i="7"/>
  <c r="L16" i="7"/>
  <c r="M16" i="7"/>
  <c r="N16" i="7"/>
  <c r="O16" i="7"/>
  <c r="P16" i="7"/>
  <c r="S16" i="7"/>
  <c r="H17" i="12"/>
  <c r="B17" i="7" a="1"/>
  <c r="B17" i="7" s="1"/>
  <c r="V17" i="4"/>
  <c r="X17" i="4"/>
  <c r="Q17" i="4"/>
  <c r="S17" i="4"/>
  <c r="U17" i="4"/>
  <c r="R17" i="4"/>
  <c r="T17" i="4"/>
  <c r="Q15" i="7"/>
  <c r="R15" i="7"/>
  <c r="Y15" i="7"/>
  <c r="Z15" i="7"/>
  <c r="X16" i="7" l="1"/>
  <c r="S18" i="4"/>
  <c r="Q18" i="4"/>
  <c r="Y18" i="4"/>
  <c r="B20" i="4" a="1"/>
  <c r="B20" i="4" s="1"/>
  <c r="C19" i="4"/>
  <c r="E19" i="4"/>
  <c r="X19" i="4" s="1"/>
  <c r="F19" i="4"/>
  <c r="H19" i="4"/>
  <c r="J19" i="4"/>
  <c r="M19" i="4"/>
  <c r="D19" i="4"/>
  <c r="G19" i="4"/>
  <c r="I19" i="4"/>
  <c r="K19" i="4"/>
  <c r="L19" i="4"/>
  <c r="W19" i="4" s="1"/>
  <c r="N19" i="4"/>
  <c r="O19" i="4"/>
  <c r="P19" i="4"/>
  <c r="Z19" i="4"/>
  <c r="G20" i="12"/>
  <c r="C21" i="6"/>
  <c r="D21" i="6"/>
  <c r="E21" i="6"/>
  <c r="F21" i="6"/>
  <c r="G21" i="6"/>
  <c r="H21" i="6"/>
  <c r="I21" i="6"/>
  <c r="J21" i="6"/>
  <c r="K21" i="6"/>
  <c r="L21" i="6"/>
  <c r="M21" i="6"/>
  <c r="N21" i="6"/>
  <c r="O21" i="6"/>
  <c r="P21" i="6"/>
  <c r="Q21" i="6"/>
  <c r="R21" i="6"/>
  <c r="S21" i="6"/>
  <c r="T21" i="6"/>
  <c r="U21" i="6"/>
  <c r="V21" i="6"/>
  <c r="W21" i="6"/>
  <c r="X21" i="6"/>
  <c r="Y21" i="6"/>
  <c r="Z21" i="6"/>
  <c r="AA21" i="6"/>
  <c r="AB21" i="6"/>
  <c r="AC21" i="6"/>
  <c r="AD21" i="6"/>
  <c r="AE21" i="6"/>
  <c r="AF21" i="6"/>
  <c r="AG21" i="6"/>
  <c r="F22" i="12"/>
  <c r="B22" i="6" a="1"/>
  <c r="B22" i="6" s="1"/>
  <c r="D18" i="10"/>
  <c r="H18" i="10"/>
  <c r="I18" i="10"/>
  <c r="J18" i="10"/>
  <c r="L18" i="10"/>
  <c r="P18" i="10"/>
  <c r="E18" i="10"/>
  <c r="F18" i="10"/>
  <c r="K18" i="10"/>
  <c r="M18" i="10"/>
  <c r="C18" i="10"/>
  <c r="G18" i="10"/>
  <c r="C19" i="3"/>
  <c r="E19" i="3"/>
  <c r="G19" i="3"/>
  <c r="N19" i="10" s="1"/>
  <c r="I19" i="3"/>
  <c r="J19" i="3"/>
  <c r="L19" i="3"/>
  <c r="M19" i="3"/>
  <c r="O19" i="3"/>
  <c r="R19" i="3"/>
  <c r="T19" i="3"/>
  <c r="W19" i="3"/>
  <c r="Y19" i="3"/>
  <c r="Z19" i="3"/>
  <c r="AA19" i="3"/>
  <c r="AC19" i="3"/>
  <c r="AD19" i="3"/>
  <c r="AE19" i="3"/>
  <c r="AF19" i="3"/>
  <c r="E20" i="12"/>
  <c r="D19" i="3"/>
  <c r="F19" i="3"/>
  <c r="H19" i="3"/>
  <c r="K19" i="3"/>
  <c r="O19" i="10" s="1"/>
  <c r="N19" i="3"/>
  <c r="P19" i="3"/>
  <c r="Q19" i="3"/>
  <c r="S19" i="3"/>
  <c r="U19" i="3"/>
  <c r="V19" i="3"/>
  <c r="X19" i="3"/>
  <c r="AB19" i="3"/>
  <c r="B19" i="10"/>
  <c r="B20" i="3" a="1"/>
  <c r="B20" i="3" s="1"/>
  <c r="C17" i="7"/>
  <c r="D17" i="7"/>
  <c r="E17" i="7"/>
  <c r="F17" i="7"/>
  <c r="G17" i="7"/>
  <c r="H17" i="7"/>
  <c r="I17" i="7"/>
  <c r="J17" i="7"/>
  <c r="K17" i="7"/>
  <c r="L17" i="7"/>
  <c r="M17" i="7"/>
  <c r="N17" i="7"/>
  <c r="O17" i="7"/>
  <c r="P17" i="7"/>
  <c r="S17" i="7"/>
  <c r="H18" i="12"/>
  <c r="B18" i="7" a="1"/>
  <c r="B18" i="7" s="1"/>
  <c r="X18" i="4"/>
  <c r="V18" i="4"/>
  <c r="R18" i="4"/>
  <c r="T18" i="4" s="1"/>
  <c r="W18" i="4"/>
  <c r="Q16" i="7"/>
  <c r="R16" i="7"/>
  <c r="T16" i="7"/>
  <c r="U16" i="7"/>
  <c r="V16" i="7"/>
  <c r="Y16" i="7"/>
  <c r="Z16" i="7"/>
  <c r="U18" i="4" l="1"/>
  <c r="W17" i="7"/>
  <c r="X17" i="7"/>
  <c r="V19" i="4"/>
  <c r="Y19" i="4"/>
  <c r="B21" i="4" a="1"/>
  <c r="B21" i="4" s="1"/>
  <c r="C20" i="4"/>
  <c r="E20" i="4"/>
  <c r="G20" i="4"/>
  <c r="H20" i="4"/>
  <c r="I20" i="4"/>
  <c r="Y20" i="4" s="1"/>
  <c r="K20" i="4"/>
  <c r="M20" i="4"/>
  <c r="O20" i="4"/>
  <c r="P20" i="4"/>
  <c r="Z20" i="4"/>
  <c r="G21" i="12"/>
  <c r="D20" i="4"/>
  <c r="F20" i="4"/>
  <c r="J20" i="4"/>
  <c r="L20" i="4"/>
  <c r="R20" i="4" s="1"/>
  <c r="N20" i="4"/>
  <c r="Q20" i="4"/>
  <c r="B23" i="6" a="1"/>
  <c r="B23" i="6" s="1"/>
  <c r="C22" i="6"/>
  <c r="D22" i="6"/>
  <c r="E22" i="6"/>
  <c r="F22" i="6"/>
  <c r="G22" i="6"/>
  <c r="H22" i="6"/>
  <c r="I22" i="6"/>
  <c r="J22" i="6"/>
  <c r="K22" i="6"/>
  <c r="L22" i="6"/>
  <c r="M22" i="6"/>
  <c r="N22" i="6"/>
  <c r="O22" i="6"/>
  <c r="P22" i="6"/>
  <c r="Q22" i="6"/>
  <c r="R22" i="6"/>
  <c r="S22" i="6"/>
  <c r="T22" i="6"/>
  <c r="U22" i="6"/>
  <c r="V22" i="6"/>
  <c r="W22" i="6"/>
  <c r="X22" i="6"/>
  <c r="Y22" i="6"/>
  <c r="Z22" i="6"/>
  <c r="AA22" i="6"/>
  <c r="AB22" i="6"/>
  <c r="AC22" i="6"/>
  <c r="AD22" i="6"/>
  <c r="AE22" i="6"/>
  <c r="AF22" i="6"/>
  <c r="AG22" i="6"/>
  <c r="F23" i="12"/>
  <c r="D19" i="10"/>
  <c r="E19" i="10"/>
  <c r="F19" i="10"/>
  <c r="H19" i="10"/>
  <c r="I19" i="10"/>
  <c r="K19" i="10"/>
  <c r="M19" i="10"/>
  <c r="C19" i="10"/>
  <c r="P19" i="10"/>
  <c r="G19" i="10"/>
  <c r="L19" i="10"/>
  <c r="J19" i="10"/>
  <c r="D20" i="3"/>
  <c r="F20" i="3"/>
  <c r="H20" i="3"/>
  <c r="J20" i="3"/>
  <c r="L20" i="3"/>
  <c r="N20" i="3"/>
  <c r="P20" i="3"/>
  <c r="R20" i="3"/>
  <c r="T20" i="3"/>
  <c r="X20" i="3"/>
  <c r="AA20" i="3"/>
  <c r="AC20" i="3"/>
  <c r="AE20" i="3"/>
  <c r="E21" i="12"/>
  <c r="C20" i="3"/>
  <c r="E20" i="3"/>
  <c r="G20" i="3"/>
  <c r="N20" i="10" s="1"/>
  <c r="I20" i="3"/>
  <c r="K20" i="3"/>
  <c r="O20" i="10" s="1"/>
  <c r="M20" i="3"/>
  <c r="O20" i="3"/>
  <c r="Q20" i="3"/>
  <c r="S20" i="3"/>
  <c r="U20" i="3"/>
  <c r="V20" i="3"/>
  <c r="W20" i="3"/>
  <c r="Y20" i="3"/>
  <c r="Z20" i="3"/>
  <c r="AB20" i="3"/>
  <c r="AD20" i="3"/>
  <c r="AF20" i="3"/>
  <c r="B20" i="10"/>
  <c r="B21" i="3" a="1"/>
  <c r="B21" i="3" s="1"/>
  <c r="B19" i="7" a="1"/>
  <c r="B19" i="7" s="1"/>
  <c r="C18" i="7"/>
  <c r="D18" i="7"/>
  <c r="E18" i="7"/>
  <c r="F18" i="7"/>
  <c r="G18" i="7" s="1"/>
  <c r="H18" i="7"/>
  <c r="I18" i="7"/>
  <c r="J18" i="7"/>
  <c r="U18" i="7" s="1"/>
  <c r="V18" i="7" s="1"/>
  <c r="K18" i="7"/>
  <c r="L18" i="7"/>
  <c r="M18" i="7"/>
  <c r="N18" i="7"/>
  <c r="O18" i="7"/>
  <c r="P18" i="7"/>
  <c r="S18" i="7"/>
  <c r="T18" i="7"/>
  <c r="H19" i="12"/>
  <c r="S19" i="4"/>
  <c r="Q19" i="4"/>
  <c r="U19" i="4" s="1"/>
  <c r="R19" i="4"/>
  <c r="T19" i="4"/>
  <c r="Q17" i="7"/>
  <c r="R17" i="7"/>
  <c r="T17" i="7"/>
  <c r="U17" i="7"/>
  <c r="V17" i="7"/>
  <c r="Y17" i="7"/>
  <c r="Z17" i="7"/>
  <c r="W18" i="7" l="1"/>
  <c r="X18" i="7"/>
  <c r="AA18" i="7" s="1"/>
  <c r="S20" i="4"/>
  <c r="C21" i="4"/>
  <c r="E21" i="4"/>
  <c r="G21" i="4"/>
  <c r="J21" i="4"/>
  <c r="L21" i="4"/>
  <c r="M21" i="4"/>
  <c r="O21" i="4"/>
  <c r="P21" i="4"/>
  <c r="D21" i="4"/>
  <c r="F21" i="4"/>
  <c r="H21" i="4"/>
  <c r="I21" i="4"/>
  <c r="K21" i="4"/>
  <c r="N21" i="4"/>
  <c r="Z21" i="4"/>
  <c r="G22" i="12"/>
  <c r="B22" i="4" a="1"/>
  <c r="B22" i="4" s="1"/>
  <c r="C23" i="6"/>
  <c r="D23" i="6"/>
  <c r="E23" i="6"/>
  <c r="F23" i="6"/>
  <c r="G23" i="6"/>
  <c r="H23" i="6"/>
  <c r="I23" i="6"/>
  <c r="J23" i="6"/>
  <c r="K23" i="6"/>
  <c r="L23" i="6"/>
  <c r="M23" i="6"/>
  <c r="N23" i="6"/>
  <c r="O23" i="6"/>
  <c r="P23" i="6"/>
  <c r="Q23" i="6"/>
  <c r="R23" i="6"/>
  <c r="S23" i="6"/>
  <c r="T23" i="6"/>
  <c r="U23" i="6"/>
  <c r="V23" i="6"/>
  <c r="W23" i="6"/>
  <c r="X23" i="6"/>
  <c r="Y23" i="6"/>
  <c r="Z23" i="6"/>
  <c r="AA23" i="6"/>
  <c r="AB23" i="6"/>
  <c r="AC23" i="6"/>
  <c r="AD23" i="6"/>
  <c r="AE23" i="6"/>
  <c r="AF23" i="6"/>
  <c r="AG23" i="6"/>
  <c r="F24" i="12"/>
  <c r="B24" i="6" a="1"/>
  <c r="B24" i="6" s="1"/>
  <c r="C20" i="10"/>
  <c r="F20" i="10"/>
  <c r="H20" i="10"/>
  <c r="J20" i="10"/>
  <c r="K20" i="10"/>
  <c r="L20" i="10"/>
  <c r="G20" i="10"/>
  <c r="M20" i="10"/>
  <c r="D20" i="10"/>
  <c r="I20" i="10"/>
  <c r="E20" i="10"/>
  <c r="P20" i="10"/>
  <c r="B22" i="3" a="1"/>
  <c r="B22" i="3" s="1"/>
  <c r="C21" i="3"/>
  <c r="E21" i="3"/>
  <c r="G21" i="3"/>
  <c r="N21" i="10" s="1"/>
  <c r="I21" i="3"/>
  <c r="K21" i="3"/>
  <c r="O21" i="10" s="1"/>
  <c r="L21" i="3"/>
  <c r="N21" i="3"/>
  <c r="P21" i="3"/>
  <c r="R21" i="3"/>
  <c r="T21" i="3"/>
  <c r="V21" i="3"/>
  <c r="D21" i="3"/>
  <c r="F21" i="3"/>
  <c r="H21" i="3"/>
  <c r="J21" i="3"/>
  <c r="M21" i="3"/>
  <c r="O21" i="3"/>
  <c r="Q21" i="3"/>
  <c r="S21" i="3"/>
  <c r="U21" i="3"/>
  <c r="W21" i="3"/>
  <c r="X21" i="3"/>
  <c r="Y21" i="3"/>
  <c r="Z21" i="3"/>
  <c r="AA21" i="3"/>
  <c r="AB21" i="3"/>
  <c r="AC21" i="3"/>
  <c r="AD21" i="3"/>
  <c r="AE21" i="3"/>
  <c r="AF21" i="3"/>
  <c r="B21" i="10"/>
  <c r="E22" i="12"/>
  <c r="C19" i="7"/>
  <c r="D19" i="7"/>
  <c r="E19" i="7"/>
  <c r="F19" i="7"/>
  <c r="G19" i="7"/>
  <c r="H19" i="7"/>
  <c r="I19" i="7"/>
  <c r="J19" i="7"/>
  <c r="K19" i="7"/>
  <c r="L19" i="7"/>
  <c r="M19" i="7"/>
  <c r="N19" i="7"/>
  <c r="O19" i="7"/>
  <c r="P19" i="7"/>
  <c r="Q19" i="7"/>
  <c r="R19" i="7"/>
  <c r="S19" i="7"/>
  <c r="T19" i="7"/>
  <c r="U19" i="7"/>
  <c r="V19" i="7"/>
  <c r="W19" i="7"/>
  <c r="X19" i="7"/>
  <c r="Y19" i="7"/>
  <c r="Z19" i="7"/>
  <c r="AA19" i="7"/>
  <c r="H20" i="12"/>
  <c r="B20" i="7" a="1"/>
  <c r="B20" i="7" s="1"/>
  <c r="V20" i="4"/>
  <c r="W20" i="4"/>
  <c r="X20" i="4"/>
  <c r="Q18" i="7"/>
  <c r="R18" i="7"/>
  <c r="Y18" i="7"/>
  <c r="Z18" i="7"/>
  <c r="T20" i="4" l="1"/>
  <c r="U20" i="4"/>
  <c r="Y21" i="4"/>
  <c r="W21" i="4"/>
  <c r="V21" i="4"/>
  <c r="X21" i="4"/>
  <c r="B23" i="4" a="1"/>
  <c r="B23" i="4" s="1"/>
  <c r="C22" i="4"/>
  <c r="E22" i="4"/>
  <c r="G22" i="4"/>
  <c r="H22" i="4"/>
  <c r="Y22" i="4" s="1"/>
  <c r="J22" i="4"/>
  <c r="L22" i="4"/>
  <c r="N22" i="4"/>
  <c r="O22" i="4"/>
  <c r="Z22" i="4"/>
  <c r="D22" i="4"/>
  <c r="F22" i="4"/>
  <c r="I22" i="4"/>
  <c r="K22" i="4"/>
  <c r="M22" i="4"/>
  <c r="P22" i="4"/>
  <c r="G23" i="12"/>
  <c r="C24" i="6"/>
  <c r="D24" i="6"/>
  <c r="E24" i="6"/>
  <c r="F24" i="6"/>
  <c r="G24" i="6"/>
  <c r="H24" i="6"/>
  <c r="I24" i="6"/>
  <c r="J24" i="6"/>
  <c r="K24" i="6"/>
  <c r="L24" i="6"/>
  <c r="M24" i="6"/>
  <c r="N24" i="6"/>
  <c r="O24" i="6"/>
  <c r="P24" i="6"/>
  <c r="Q24" i="6"/>
  <c r="R24" i="6"/>
  <c r="S24" i="6"/>
  <c r="T24" i="6"/>
  <c r="U24" i="6"/>
  <c r="V24" i="6"/>
  <c r="W24" i="6"/>
  <c r="X24" i="6"/>
  <c r="Y24" i="6"/>
  <c r="Z24" i="6"/>
  <c r="AA24" i="6"/>
  <c r="AB24" i="6"/>
  <c r="AC24" i="6"/>
  <c r="AD24" i="6"/>
  <c r="AE24" i="6"/>
  <c r="AF24" i="6"/>
  <c r="AG24" i="6"/>
  <c r="F25" i="12"/>
  <c r="B25" i="6" a="1"/>
  <c r="B25" i="6" s="1"/>
  <c r="B23" i="3" a="1"/>
  <c r="B23" i="3" s="1"/>
  <c r="D22" i="3"/>
  <c r="F22" i="3"/>
  <c r="H22" i="3"/>
  <c r="J22" i="3"/>
  <c r="M22" i="3"/>
  <c r="O22" i="3"/>
  <c r="Q22" i="3"/>
  <c r="S22" i="3"/>
  <c r="U22" i="3"/>
  <c r="W22" i="3"/>
  <c r="Y22" i="3"/>
  <c r="AA22" i="3"/>
  <c r="AB22" i="3"/>
  <c r="AC22" i="3"/>
  <c r="AE22" i="3"/>
  <c r="AF22" i="3"/>
  <c r="E23" i="12"/>
  <c r="C22" i="3"/>
  <c r="E22" i="3"/>
  <c r="G22" i="3"/>
  <c r="N22" i="10" s="1"/>
  <c r="I22" i="3"/>
  <c r="K22" i="3"/>
  <c r="O22" i="10" s="1"/>
  <c r="L22" i="3"/>
  <c r="N22" i="3"/>
  <c r="P22" i="3"/>
  <c r="R22" i="3"/>
  <c r="T22" i="3"/>
  <c r="V22" i="3"/>
  <c r="X22" i="3"/>
  <c r="Z22" i="3"/>
  <c r="AD22" i="3"/>
  <c r="B22" i="10"/>
  <c r="G21" i="10"/>
  <c r="M21" i="10"/>
  <c r="P21" i="10"/>
  <c r="E21" i="10"/>
  <c r="I21" i="10"/>
  <c r="F21" i="10"/>
  <c r="J21" i="10"/>
  <c r="C21" i="10"/>
  <c r="D21" i="10"/>
  <c r="H21" i="10"/>
  <c r="K21" i="10"/>
  <c r="L21" i="10"/>
  <c r="B21" i="7" a="1"/>
  <c r="B21" i="7" s="1"/>
  <c r="C20" i="7"/>
  <c r="D20" i="7"/>
  <c r="E20" i="7"/>
  <c r="F20" i="7"/>
  <c r="G20" i="7"/>
  <c r="H20" i="7"/>
  <c r="I20" i="7"/>
  <c r="J20" i="7"/>
  <c r="K20" i="7"/>
  <c r="L20" i="7"/>
  <c r="M20" i="7"/>
  <c r="N20" i="7"/>
  <c r="O20" i="7"/>
  <c r="P20" i="7"/>
  <c r="Q20" i="7"/>
  <c r="R20" i="7"/>
  <c r="S20" i="7"/>
  <c r="T20" i="7"/>
  <c r="U20" i="7"/>
  <c r="V20" i="7"/>
  <c r="W20" i="7"/>
  <c r="X20" i="7"/>
  <c r="Y20" i="7"/>
  <c r="Z20" i="7"/>
  <c r="AA20" i="7"/>
  <c r="H21" i="12"/>
  <c r="Q21" i="4"/>
  <c r="S21" i="4"/>
  <c r="U21" i="4"/>
  <c r="R21" i="4"/>
  <c r="T21" i="4" s="1"/>
  <c r="R22" i="4" l="1"/>
  <c r="B24" i="4" a="1"/>
  <c r="B24" i="4" s="1"/>
  <c r="D23" i="4"/>
  <c r="F23" i="4"/>
  <c r="G23" i="4"/>
  <c r="I23" i="4"/>
  <c r="L23" i="4"/>
  <c r="M23" i="4"/>
  <c r="O23" i="4"/>
  <c r="Z23" i="4"/>
  <c r="G24" i="12"/>
  <c r="C23" i="4"/>
  <c r="E23" i="4"/>
  <c r="H23" i="4"/>
  <c r="Y23" i="4" s="1"/>
  <c r="J23" i="4"/>
  <c r="K23" i="4"/>
  <c r="N23" i="4"/>
  <c r="P23" i="4"/>
  <c r="B26" i="6" a="1"/>
  <c r="B26" i="6" s="1"/>
  <c r="C25" i="6"/>
  <c r="D25" i="6"/>
  <c r="E25" i="6"/>
  <c r="F25" i="6"/>
  <c r="G25" i="6"/>
  <c r="H25" i="6"/>
  <c r="I25" i="6"/>
  <c r="J25" i="6"/>
  <c r="K25" i="6"/>
  <c r="L25" i="6"/>
  <c r="M25" i="6"/>
  <c r="N25" i="6"/>
  <c r="O25" i="6"/>
  <c r="P25" i="6"/>
  <c r="Q25" i="6"/>
  <c r="R25" i="6"/>
  <c r="S25" i="6"/>
  <c r="T25" i="6"/>
  <c r="U25" i="6"/>
  <c r="V25" i="6"/>
  <c r="W25" i="6"/>
  <c r="X25" i="6"/>
  <c r="Y25" i="6"/>
  <c r="Z25" i="6"/>
  <c r="AA25" i="6"/>
  <c r="AB25" i="6"/>
  <c r="AC25" i="6"/>
  <c r="AD25" i="6"/>
  <c r="AE25" i="6"/>
  <c r="AF25" i="6"/>
  <c r="AG25" i="6"/>
  <c r="F26" i="12"/>
  <c r="B24" i="3" a="1"/>
  <c r="B24" i="3" s="1"/>
  <c r="C23" i="3"/>
  <c r="E23" i="3"/>
  <c r="G23" i="3"/>
  <c r="N23" i="10" s="1"/>
  <c r="H23" i="3"/>
  <c r="I23" i="3"/>
  <c r="J23" i="3"/>
  <c r="M23" i="3"/>
  <c r="O23" i="3"/>
  <c r="Q23" i="3"/>
  <c r="S23" i="3"/>
  <c r="U23" i="3"/>
  <c r="V23" i="3"/>
  <c r="X23" i="3"/>
  <c r="Z23" i="3"/>
  <c r="AB23" i="3"/>
  <c r="AD23" i="3"/>
  <c r="B23" i="10"/>
  <c r="E24" i="12"/>
  <c r="D23" i="3"/>
  <c r="F23" i="3"/>
  <c r="K23" i="3"/>
  <c r="O23" i="10" s="1"/>
  <c r="L23" i="3"/>
  <c r="N23" i="3"/>
  <c r="P23" i="3"/>
  <c r="R23" i="3"/>
  <c r="T23" i="3"/>
  <c r="W23" i="3"/>
  <c r="Y23" i="3"/>
  <c r="AA23" i="3"/>
  <c r="AC23" i="3"/>
  <c r="AE23" i="3"/>
  <c r="AF23" i="3"/>
  <c r="E22" i="10"/>
  <c r="F22" i="10"/>
  <c r="I22" i="10"/>
  <c r="K22" i="10"/>
  <c r="P22" i="10"/>
  <c r="D22" i="10"/>
  <c r="H22" i="10"/>
  <c r="G22" i="10"/>
  <c r="M22" i="10"/>
  <c r="C22" i="10"/>
  <c r="J22" i="10"/>
  <c r="L22" i="10"/>
  <c r="C21" i="7"/>
  <c r="D21" i="7"/>
  <c r="E21" i="7"/>
  <c r="F21" i="7"/>
  <c r="G21" i="7"/>
  <c r="H21" i="7"/>
  <c r="I21" i="7"/>
  <c r="J21" i="7"/>
  <c r="K21" i="7"/>
  <c r="L21" i="7"/>
  <c r="M21" i="7"/>
  <c r="N21" i="7"/>
  <c r="O21" i="7"/>
  <c r="P21" i="7"/>
  <c r="Q21" i="7"/>
  <c r="R21" i="7"/>
  <c r="S21" i="7"/>
  <c r="T21" i="7"/>
  <c r="U21" i="7"/>
  <c r="V21" i="7"/>
  <c r="W21" i="7"/>
  <c r="X21" i="7"/>
  <c r="Y21" i="7"/>
  <c r="Z21" i="7"/>
  <c r="AA21" i="7"/>
  <c r="H22" i="12"/>
  <c r="B22" i="7" a="1"/>
  <c r="B22" i="7" s="1"/>
  <c r="V22" i="4"/>
  <c r="W22" i="4"/>
  <c r="X22" i="4"/>
  <c r="Q22" i="4"/>
  <c r="S22" i="4"/>
  <c r="R23" i="4" l="1"/>
  <c r="S23" i="4"/>
  <c r="U22" i="4"/>
  <c r="T22" i="4"/>
  <c r="C24" i="4"/>
  <c r="E24" i="4"/>
  <c r="G24" i="4"/>
  <c r="K24" i="4"/>
  <c r="G25" i="12"/>
  <c r="D24" i="4"/>
  <c r="F24" i="4"/>
  <c r="H24" i="4"/>
  <c r="I24" i="4"/>
  <c r="J24" i="4"/>
  <c r="L24" i="4"/>
  <c r="M24" i="4"/>
  <c r="N24" i="4"/>
  <c r="O24" i="4"/>
  <c r="P24" i="4"/>
  <c r="Z24" i="4"/>
  <c r="B25" i="4" a="1"/>
  <c r="B25" i="4" s="1"/>
  <c r="B27" i="6" a="1"/>
  <c r="B27" i="6" s="1"/>
  <c r="C26" i="6"/>
  <c r="D26" i="6"/>
  <c r="E26" i="6"/>
  <c r="F26" i="6"/>
  <c r="G26" i="6"/>
  <c r="H26" i="6"/>
  <c r="I26" i="6"/>
  <c r="J26" i="6"/>
  <c r="K26" i="6"/>
  <c r="L26" i="6"/>
  <c r="M26" i="6"/>
  <c r="N26" i="6"/>
  <c r="O26" i="6"/>
  <c r="P26" i="6"/>
  <c r="Q26" i="6"/>
  <c r="R26" i="6"/>
  <c r="S26" i="6"/>
  <c r="T26" i="6"/>
  <c r="U26" i="6"/>
  <c r="V26" i="6"/>
  <c r="W26" i="6"/>
  <c r="X26" i="6"/>
  <c r="Y26" i="6"/>
  <c r="Z26" i="6"/>
  <c r="AA26" i="6"/>
  <c r="AB26" i="6"/>
  <c r="AC26" i="6"/>
  <c r="AD26" i="6"/>
  <c r="AE26" i="6"/>
  <c r="AF26" i="6"/>
  <c r="AG26" i="6"/>
  <c r="F27" i="12"/>
  <c r="B25" i="3" a="1"/>
  <c r="B25" i="3" s="1"/>
  <c r="C24" i="3"/>
  <c r="G24" i="3"/>
  <c r="N24" i="10" s="1"/>
  <c r="H24" i="3"/>
  <c r="J24" i="3"/>
  <c r="L24" i="3"/>
  <c r="N24" i="3"/>
  <c r="O24" i="3"/>
  <c r="Q24" i="3"/>
  <c r="T24" i="3"/>
  <c r="U24" i="3"/>
  <c r="W24" i="3"/>
  <c r="Y24" i="3"/>
  <c r="AA24" i="3"/>
  <c r="AC24" i="3"/>
  <c r="AD24" i="3"/>
  <c r="AF24" i="3"/>
  <c r="D24" i="3"/>
  <c r="E24" i="3"/>
  <c r="F24" i="3"/>
  <c r="I24" i="3"/>
  <c r="K24" i="3"/>
  <c r="O24" i="10" s="1"/>
  <c r="M24" i="3"/>
  <c r="P24" i="3"/>
  <c r="R24" i="3"/>
  <c r="S24" i="3"/>
  <c r="V24" i="3"/>
  <c r="X24" i="3"/>
  <c r="Z24" i="3"/>
  <c r="AB24" i="3"/>
  <c r="AE24" i="3"/>
  <c r="B24" i="10"/>
  <c r="E25" i="12"/>
  <c r="G23" i="10"/>
  <c r="M23" i="10"/>
  <c r="I23" i="10"/>
  <c r="K23" i="10"/>
  <c r="D23" i="10"/>
  <c r="J23" i="10"/>
  <c r="P23" i="10"/>
  <c r="C23" i="10"/>
  <c r="E23" i="10"/>
  <c r="F23" i="10"/>
  <c r="H23" i="10"/>
  <c r="L23" i="10"/>
  <c r="B23" i="7" a="1"/>
  <c r="B23" i="7" s="1"/>
  <c r="C22" i="7"/>
  <c r="D22" i="7"/>
  <c r="E22" i="7"/>
  <c r="F22" i="7"/>
  <c r="G22" i="7"/>
  <c r="H22" i="7"/>
  <c r="I22" i="7"/>
  <c r="J22" i="7"/>
  <c r="K22" i="7"/>
  <c r="L22" i="7"/>
  <c r="M22" i="7"/>
  <c r="N22" i="7"/>
  <c r="O22" i="7"/>
  <c r="P22" i="7"/>
  <c r="Q22" i="7"/>
  <c r="R22" i="7"/>
  <c r="S22" i="7"/>
  <c r="T22" i="7"/>
  <c r="U22" i="7"/>
  <c r="V22" i="7"/>
  <c r="W22" i="7"/>
  <c r="X22" i="7"/>
  <c r="Y22" i="7"/>
  <c r="Z22" i="7"/>
  <c r="AA22" i="7"/>
  <c r="H23" i="12"/>
  <c r="T23" i="4"/>
  <c r="Q23" i="4"/>
  <c r="U23" i="4"/>
  <c r="W23" i="4"/>
  <c r="V23" i="4"/>
  <c r="X23" i="4"/>
  <c r="Y24" i="4" l="1"/>
  <c r="C25" i="4"/>
  <c r="D25" i="4"/>
  <c r="E25" i="4"/>
  <c r="F25" i="4"/>
  <c r="G25" i="4"/>
  <c r="H25" i="4"/>
  <c r="I25" i="4"/>
  <c r="J25" i="4"/>
  <c r="K25" i="4"/>
  <c r="L25" i="4"/>
  <c r="M25" i="4"/>
  <c r="N25" i="4"/>
  <c r="O25" i="4"/>
  <c r="P25" i="4"/>
  <c r="Z25" i="4"/>
  <c r="G26" i="12"/>
  <c r="B26" i="4" a="1"/>
  <c r="B26" i="4" s="1"/>
  <c r="C27" i="6"/>
  <c r="D27" i="6"/>
  <c r="E27" i="6"/>
  <c r="F27" i="6"/>
  <c r="G27" i="6"/>
  <c r="H27" i="6"/>
  <c r="I27" i="6"/>
  <c r="J27" i="6"/>
  <c r="K27" i="6"/>
  <c r="L27" i="6"/>
  <c r="M27" i="6"/>
  <c r="N27" i="6"/>
  <c r="O27" i="6"/>
  <c r="P27" i="6"/>
  <c r="Q27" i="6"/>
  <c r="R27" i="6"/>
  <c r="S27" i="6"/>
  <c r="T27" i="6"/>
  <c r="U27" i="6"/>
  <c r="V27" i="6"/>
  <c r="W27" i="6"/>
  <c r="X27" i="6"/>
  <c r="Y27" i="6"/>
  <c r="Z27" i="6"/>
  <c r="AA27" i="6"/>
  <c r="AB27" i="6"/>
  <c r="AC27" i="6"/>
  <c r="AD27" i="6"/>
  <c r="AE27" i="6"/>
  <c r="AF27" i="6"/>
  <c r="AG27" i="6"/>
  <c r="F28" i="12"/>
  <c r="B28" i="6" a="1"/>
  <c r="B28" i="6" s="1"/>
  <c r="C25" i="3"/>
  <c r="F25" i="3"/>
  <c r="H25" i="3"/>
  <c r="J25" i="3"/>
  <c r="L25" i="3"/>
  <c r="N25" i="3"/>
  <c r="P25" i="3"/>
  <c r="S25" i="3"/>
  <c r="U25" i="3"/>
  <c r="V25" i="3"/>
  <c r="X25" i="3"/>
  <c r="AD25" i="3"/>
  <c r="D25" i="3"/>
  <c r="E25" i="3"/>
  <c r="G25" i="3"/>
  <c r="N25" i="10" s="1"/>
  <c r="I25" i="3"/>
  <c r="K25" i="3"/>
  <c r="O25" i="10" s="1"/>
  <c r="M25" i="3"/>
  <c r="O25" i="3"/>
  <c r="Q25" i="3"/>
  <c r="R25" i="3"/>
  <c r="T25" i="3"/>
  <c r="W25" i="3"/>
  <c r="Y25" i="3"/>
  <c r="Z25" i="3"/>
  <c r="AA25" i="3"/>
  <c r="AB25" i="3"/>
  <c r="AC25" i="3"/>
  <c r="AE25" i="3"/>
  <c r="AF25" i="3"/>
  <c r="E26" i="12"/>
  <c r="B25" i="10"/>
  <c r="B26" i="3" a="1"/>
  <c r="B26" i="3" s="1"/>
  <c r="E24" i="10"/>
  <c r="H24" i="10"/>
  <c r="K24" i="10"/>
  <c r="P24" i="10"/>
  <c r="C24" i="10"/>
  <c r="F24" i="10"/>
  <c r="I24" i="10"/>
  <c r="L24" i="10"/>
  <c r="D24" i="10"/>
  <c r="G24" i="10"/>
  <c r="J24" i="10"/>
  <c r="M24" i="10"/>
  <c r="B24" i="7" a="1"/>
  <c r="B24" i="7" s="1"/>
  <c r="C23" i="7"/>
  <c r="D23" i="7"/>
  <c r="E23" i="7"/>
  <c r="F23" i="7"/>
  <c r="G23" i="7"/>
  <c r="H23" i="7"/>
  <c r="I23" i="7"/>
  <c r="J23" i="7"/>
  <c r="K23" i="7"/>
  <c r="L23" i="7"/>
  <c r="M23" i="7"/>
  <c r="N23" i="7"/>
  <c r="O23" i="7"/>
  <c r="P23" i="7"/>
  <c r="Q23" i="7"/>
  <c r="R23" i="7"/>
  <c r="S23" i="7"/>
  <c r="T23" i="7"/>
  <c r="U23" i="7"/>
  <c r="V23" i="7"/>
  <c r="W23" i="7"/>
  <c r="X23" i="7"/>
  <c r="Y23" i="7"/>
  <c r="Z23" i="7"/>
  <c r="AA23" i="7"/>
  <c r="H24" i="12"/>
  <c r="V24" i="4"/>
  <c r="W24" i="4"/>
  <c r="X24" i="4"/>
  <c r="Q24" i="4"/>
  <c r="R24" i="4"/>
  <c r="S24" i="4"/>
  <c r="T24" i="4"/>
  <c r="AA24" i="4" s="1"/>
  <c r="U24" i="4"/>
  <c r="Y25" i="4" l="1"/>
  <c r="C26" i="4"/>
  <c r="D26" i="4"/>
  <c r="E26" i="4"/>
  <c r="F26" i="4"/>
  <c r="G26" i="4"/>
  <c r="H26" i="4"/>
  <c r="Y26" i="4" s="1"/>
  <c r="I26" i="4"/>
  <c r="J26" i="4"/>
  <c r="K26" i="4"/>
  <c r="L26" i="4"/>
  <c r="M26" i="4"/>
  <c r="N26" i="4"/>
  <c r="O26" i="4"/>
  <c r="P26" i="4"/>
  <c r="Z26" i="4"/>
  <c r="G27" i="12"/>
  <c r="B27" i="4" a="1"/>
  <c r="B27" i="4" s="1"/>
  <c r="C28" i="6"/>
  <c r="D28" i="6"/>
  <c r="E28" i="6"/>
  <c r="F28" i="6"/>
  <c r="G28" i="6"/>
  <c r="H28" i="6"/>
  <c r="I28" i="6"/>
  <c r="J28" i="6"/>
  <c r="K28" i="6"/>
  <c r="L28" i="6"/>
  <c r="M28" i="6"/>
  <c r="N28" i="6"/>
  <c r="O28" i="6"/>
  <c r="P28" i="6"/>
  <c r="Q28" i="6"/>
  <c r="R28" i="6"/>
  <c r="S28" i="6"/>
  <c r="T28" i="6"/>
  <c r="U28" i="6"/>
  <c r="V28" i="6"/>
  <c r="W28" i="6"/>
  <c r="X28" i="6"/>
  <c r="Y28" i="6"/>
  <c r="Z28" i="6"/>
  <c r="AA28" i="6"/>
  <c r="AB28" i="6"/>
  <c r="AC28" i="6"/>
  <c r="AD28" i="6"/>
  <c r="AE28" i="6"/>
  <c r="AF28" i="6"/>
  <c r="AG28" i="6"/>
  <c r="F29" i="12"/>
  <c r="B29" i="6" a="1"/>
  <c r="B29" i="6" s="1"/>
  <c r="E25" i="10"/>
  <c r="H25" i="10"/>
  <c r="K25" i="10"/>
  <c r="P25" i="10"/>
  <c r="D25" i="10"/>
  <c r="G25" i="10"/>
  <c r="J25" i="10"/>
  <c r="C25" i="10"/>
  <c r="F25" i="10"/>
  <c r="I25" i="10"/>
  <c r="L25" i="10"/>
  <c r="M25" i="10"/>
  <c r="D26" i="3"/>
  <c r="E26" i="3"/>
  <c r="H26" i="3"/>
  <c r="J26" i="3"/>
  <c r="L26" i="3"/>
  <c r="M26" i="3"/>
  <c r="P26" i="3"/>
  <c r="S26" i="3"/>
  <c r="U26" i="3"/>
  <c r="X26" i="3"/>
  <c r="Z26" i="3"/>
  <c r="AA26" i="3"/>
  <c r="AB26" i="3"/>
  <c r="AD26" i="3"/>
  <c r="AE26" i="3"/>
  <c r="AF26" i="3"/>
  <c r="B26" i="10"/>
  <c r="E27" i="12"/>
  <c r="C26" i="3"/>
  <c r="F26" i="3"/>
  <c r="G26" i="3"/>
  <c r="N26" i="10" s="1"/>
  <c r="I26" i="3"/>
  <c r="K26" i="3"/>
  <c r="O26" i="10" s="1"/>
  <c r="N26" i="3"/>
  <c r="O26" i="3"/>
  <c r="Q26" i="3"/>
  <c r="R26" i="3"/>
  <c r="T26" i="3"/>
  <c r="V26" i="3"/>
  <c r="W26" i="3"/>
  <c r="Y26" i="3"/>
  <c r="AC26" i="3"/>
  <c r="B27" i="3" a="1"/>
  <c r="B27" i="3" s="1"/>
  <c r="C24" i="7"/>
  <c r="D24" i="7"/>
  <c r="E24" i="7"/>
  <c r="F24" i="7"/>
  <c r="G24" i="7"/>
  <c r="H24" i="7"/>
  <c r="I24" i="7"/>
  <c r="J24" i="7"/>
  <c r="K24" i="7"/>
  <c r="L24" i="7"/>
  <c r="M24" i="7"/>
  <c r="N24" i="7"/>
  <c r="O24" i="7"/>
  <c r="P24" i="7"/>
  <c r="Q24" i="7"/>
  <c r="R24" i="7"/>
  <c r="S24" i="7"/>
  <c r="T24" i="7"/>
  <c r="U24" i="7"/>
  <c r="V24" i="7"/>
  <c r="W24" i="7"/>
  <c r="X24" i="7"/>
  <c r="Y24" i="7"/>
  <c r="Z24" i="7"/>
  <c r="AA24" i="7"/>
  <c r="H25" i="12"/>
  <c r="B25" i="7" a="1"/>
  <c r="B25" i="7" s="1"/>
  <c r="V25" i="4"/>
  <c r="W25" i="4"/>
  <c r="X25" i="4"/>
  <c r="Q25" i="4"/>
  <c r="R25" i="4"/>
  <c r="S25" i="4"/>
  <c r="U25" i="4" s="1"/>
  <c r="T25" i="4"/>
  <c r="AA25" i="4" s="1"/>
  <c r="C27" i="4" l="1"/>
  <c r="D27" i="4"/>
  <c r="E27" i="4"/>
  <c r="F27" i="4"/>
  <c r="G27" i="4"/>
  <c r="H27" i="4"/>
  <c r="Y27" i="4" s="1"/>
  <c r="I27" i="4"/>
  <c r="J27" i="4"/>
  <c r="K27" i="4"/>
  <c r="L27" i="4"/>
  <c r="M27" i="4"/>
  <c r="N27" i="4"/>
  <c r="O27" i="4"/>
  <c r="P27" i="4"/>
  <c r="Z27" i="4"/>
  <c r="G28" i="12"/>
  <c r="B28" i="4" a="1"/>
  <c r="B28" i="4" s="1"/>
  <c r="C29" i="6"/>
  <c r="D29" i="6"/>
  <c r="E29" i="6"/>
  <c r="F29" i="6"/>
  <c r="G29" i="6"/>
  <c r="H29" i="6"/>
  <c r="I29" i="6"/>
  <c r="J29" i="6"/>
  <c r="K29" i="6"/>
  <c r="L29" i="6"/>
  <c r="M29" i="6"/>
  <c r="N29" i="6"/>
  <c r="O29" i="6"/>
  <c r="P29" i="6"/>
  <c r="Q29" i="6"/>
  <c r="R29" i="6"/>
  <c r="S29" i="6"/>
  <c r="T29" i="6"/>
  <c r="U29" i="6"/>
  <c r="V29" i="6"/>
  <c r="W29" i="6"/>
  <c r="X29" i="6"/>
  <c r="Y29" i="6"/>
  <c r="Z29" i="6"/>
  <c r="AA29" i="6"/>
  <c r="AB29" i="6"/>
  <c r="AC29" i="6"/>
  <c r="AD29" i="6"/>
  <c r="AE29" i="6"/>
  <c r="AF29" i="6"/>
  <c r="AG29" i="6"/>
  <c r="F30" i="12"/>
  <c r="B30" i="6" a="1"/>
  <c r="B30" i="6" s="1"/>
  <c r="F26" i="10"/>
  <c r="I26" i="10"/>
  <c r="M26" i="10"/>
  <c r="C26" i="10"/>
  <c r="D26" i="10"/>
  <c r="G26" i="10"/>
  <c r="J26" i="10"/>
  <c r="L26" i="10"/>
  <c r="P26" i="10"/>
  <c r="E26" i="10"/>
  <c r="H26" i="10"/>
  <c r="K26" i="10"/>
  <c r="D27" i="3"/>
  <c r="G27" i="3"/>
  <c r="N27" i="10" s="1"/>
  <c r="J27" i="3"/>
  <c r="K27" i="3"/>
  <c r="O27" i="10" s="1"/>
  <c r="N27" i="3"/>
  <c r="P27" i="3"/>
  <c r="R27" i="3"/>
  <c r="U27" i="3"/>
  <c r="W27" i="3"/>
  <c r="Y27" i="3"/>
  <c r="Z27" i="3"/>
  <c r="AA27" i="3"/>
  <c r="AB27" i="3"/>
  <c r="AC27" i="3"/>
  <c r="AD27" i="3"/>
  <c r="AE27" i="3"/>
  <c r="B27" i="10"/>
  <c r="E28" i="12"/>
  <c r="C27" i="3"/>
  <c r="E27" i="3"/>
  <c r="F27" i="3"/>
  <c r="H27" i="3"/>
  <c r="I27" i="3"/>
  <c r="L27" i="3"/>
  <c r="M27" i="3"/>
  <c r="O27" i="3"/>
  <c r="Q27" i="3"/>
  <c r="S27" i="3"/>
  <c r="T27" i="3"/>
  <c r="V27" i="3"/>
  <c r="X27" i="3"/>
  <c r="AF27" i="3"/>
  <c r="B28" i="3" a="1"/>
  <c r="B28" i="3" s="1"/>
  <c r="C25" i="7"/>
  <c r="D25" i="7"/>
  <c r="E25" i="7"/>
  <c r="F25" i="7"/>
  <c r="G25" i="7"/>
  <c r="H25" i="7"/>
  <c r="I25" i="7"/>
  <c r="J25" i="7"/>
  <c r="K25" i="7"/>
  <c r="L25" i="7"/>
  <c r="M25" i="7"/>
  <c r="N25" i="7"/>
  <c r="O25" i="7"/>
  <c r="P25" i="7"/>
  <c r="Q25" i="7"/>
  <c r="R25" i="7"/>
  <c r="S25" i="7"/>
  <c r="T25" i="7"/>
  <c r="U25" i="7"/>
  <c r="V25" i="7"/>
  <c r="W25" i="7"/>
  <c r="X25" i="7"/>
  <c r="Y25" i="7"/>
  <c r="Z25" i="7"/>
  <c r="AA25" i="7"/>
  <c r="H26" i="12"/>
  <c r="B26" i="7" a="1"/>
  <c r="B26" i="7" s="1"/>
  <c r="V26" i="4"/>
  <c r="W26" i="4"/>
  <c r="X26" i="4"/>
  <c r="Q26" i="4"/>
  <c r="R26" i="4"/>
  <c r="S26" i="4"/>
  <c r="T26" i="4"/>
  <c r="AA26" i="4" s="1"/>
  <c r="U26" i="4"/>
  <c r="B29" i="4" l="1" a="1"/>
  <c r="B29" i="4" s="1"/>
  <c r="C28" i="4"/>
  <c r="D28" i="4"/>
  <c r="E28" i="4"/>
  <c r="F28" i="4"/>
  <c r="G28" i="4"/>
  <c r="H28" i="4"/>
  <c r="I28" i="4"/>
  <c r="J28" i="4"/>
  <c r="K28" i="4"/>
  <c r="L28" i="4"/>
  <c r="M28" i="4"/>
  <c r="N28" i="4"/>
  <c r="O28" i="4"/>
  <c r="P28" i="4"/>
  <c r="Q28" i="4"/>
  <c r="R28" i="4"/>
  <c r="S28" i="4"/>
  <c r="T28" i="4"/>
  <c r="U28" i="4"/>
  <c r="V28" i="4"/>
  <c r="W28" i="4"/>
  <c r="X28" i="4"/>
  <c r="Y28" i="4"/>
  <c r="Z28" i="4"/>
  <c r="AA28" i="4"/>
  <c r="G29" i="12"/>
  <c r="B31" i="6" a="1"/>
  <c r="B31" i="6" s="1"/>
  <c r="C30" i="6"/>
  <c r="D30" i="6"/>
  <c r="E30" i="6"/>
  <c r="F30" i="6"/>
  <c r="G30" i="6"/>
  <c r="H30" i="6"/>
  <c r="I30" i="6"/>
  <c r="J30" i="6"/>
  <c r="K30" i="6"/>
  <c r="L30" i="6"/>
  <c r="M30" i="6"/>
  <c r="N30" i="6"/>
  <c r="O30" i="6"/>
  <c r="P30" i="6"/>
  <c r="Q30" i="6"/>
  <c r="R30" i="6"/>
  <c r="S30" i="6"/>
  <c r="T30" i="6"/>
  <c r="U30" i="6"/>
  <c r="V30" i="6"/>
  <c r="W30" i="6"/>
  <c r="X30" i="6"/>
  <c r="Y30" i="6"/>
  <c r="Z30" i="6"/>
  <c r="AA30" i="6"/>
  <c r="AB30" i="6"/>
  <c r="AC30" i="6"/>
  <c r="AD30" i="6"/>
  <c r="AE30" i="6"/>
  <c r="AF30" i="6"/>
  <c r="AG30" i="6"/>
  <c r="F31" i="12"/>
  <c r="G27" i="10"/>
  <c r="J27" i="10"/>
  <c r="C27" i="10"/>
  <c r="E27" i="10"/>
  <c r="H27" i="10"/>
  <c r="K27" i="10"/>
  <c r="P27" i="10"/>
  <c r="L27" i="10"/>
  <c r="D27" i="10"/>
  <c r="F27" i="10"/>
  <c r="I27" i="10"/>
  <c r="M27" i="10"/>
  <c r="C28" i="3"/>
  <c r="F28" i="3"/>
  <c r="H28" i="3"/>
  <c r="I28" i="3"/>
  <c r="K28" i="3"/>
  <c r="O28" i="10" s="1"/>
  <c r="L28" i="3"/>
  <c r="N28" i="3"/>
  <c r="P28" i="3"/>
  <c r="R28" i="3"/>
  <c r="T28" i="3"/>
  <c r="AB28" i="3"/>
  <c r="D28" i="3"/>
  <c r="E28" i="3"/>
  <c r="G28" i="3"/>
  <c r="N28" i="10" s="1"/>
  <c r="J28" i="3"/>
  <c r="M28" i="3"/>
  <c r="O28" i="3"/>
  <c r="Q28" i="3"/>
  <c r="S28" i="3"/>
  <c r="U28" i="3"/>
  <c r="V28" i="3"/>
  <c r="W28" i="3"/>
  <c r="X28" i="3"/>
  <c r="Y28" i="3"/>
  <c r="Z28" i="3"/>
  <c r="AA28" i="3"/>
  <c r="AC28" i="3"/>
  <c r="AD28" i="3"/>
  <c r="AE28" i="3"/>
  <c r="AF28" i="3"/>
  <c r="B28" i="10"/>
  <c r="E29" i="12"/>
  <c r="B29" i="3" a="1"/>
  <c r="B29" i="3" s="1"/>
  <c r="C26" i="7"/>
  <c r="D26" i="7"/>
  <c r="E26" i="7"/>
  <c r="F26" i="7"/>
  <c r="G26" i="7"/>
  <c r="H26" i="7"/>
  <c r="I26" i="7"/>
  <c r="J26" i="7"/>
  <c r="K26" i="7"/>
  <c r="L26" i="7"/>
  <c r="M26" i="7"/>
  <c r="N26" i="7"/>
  <c r="O26" i="7"/>
  <c r="P26" i="7"/>
  <c r="Q26" i="7"/>
  <c r="R26" i="7"/>
  <c r="S26" i="7"/>
  <c r="T26" i="7"/>
  <c r="U26" i="7"/>
  <c r="V26" i="7"/>
  <c r="W26" i="7"/>
  <c r="X26" i="7"/>
  <c r="Y26" i="7"/>
  <c r="Z26" i="7"/>
  <c r="AA26" i="7"/>
  <c r="H27" i="12"/>
  <c r="B27" i="7" a="1"/>
  <c r="B27" i="7" s="1"/>
  <c r="V27" i="4"/>
  <c r="W27" i="4"/>
  <c r="X27" i="4"/>
  <c r="Q27" i="4"/>
  <c r="R27" i="4"/>
  <c r="S27" i="4"/>
  <c r="T27" i="4"/>
  <c r="AA27" i="4" s="1"/>
  <c r="U27" i="4"/>
  <c r="C29" i="4" l="1"/>
  <c r="D29" i="4"/>
  <c r="E29" i="4"/>
  <c r="F29" i="4"/>
  <c r="G29" i="4"/>
  <c r="H29" i="4"/>
  <c r="I29" i="4"/>
  <c r="J29" i="4"/>
  <c r="K29" i="4"/>
  <c r="L29" i="4"/>
  <c r="M29" i="4"/>
  <c r="N29" i="4"/>
  <c r="O29" i="4"/>
  <c r="P29" i="4"/>
  <c r="Q29" i="4"/>
  <c r="R29" i="4"/>
  <c r="S29" i="4"/>
  <c r="T29" i="4"/>
  <c r="U29" i="4"/>
  <c r="V29" i="4"/>
  <c r="W29" i="4"/>
  <c r="X29" i="4"/>
  <c r="Y29" i="4"/>
  <c r="Z29" i="4"/>
  <c r="AA29" i="4"/>
  <c r="G30" i="12"/>
  <c r="B30" i="4" a="1"/>
  <c r="B30" i="4" s="1"/>
  <c r="B32" i="6" a="1"/>
  <c r="B32" i="6" s="1"/>
  <c r="C31" i="6"/>
  <c r="D31" i="6"/>
  <c r="E31" i="6"/>
  <c r="F31" i="6"/>
  <c r="G31" i="6"/>
  <c r="H31" i="6"/>
  <c r="I31" i="6"/>
  <c r="J31" i="6"/>
  <c r="K31" i="6"/>
  <c r="L31" i="6"/>
  <c r="M31" i="6"/>
  <c r="N31" i="6"/>
  <c r="O31" i="6"/>
  <c r="P31" i="6"/>
  <c r="Q31" i="6"/>
  <c r="R31" i="6"/>
  <c r="S31" i="6"/>
  <c r="T31" i="6"/>
  <c r="U31" i="6"/>
  <c r="V31" i="6"/>
  <c r="W31" i="6"/>
  <c r="X31" i="6"/>
  <c r="Y31" i="6"/>
  <c r="Z31" i="6"/>
  <c r="AA31" i="6"/>
  <c r="AB31" i="6"/>
  <c r="AC31" i="6"/>
  <c r="AD31" i="6"/>
  <c r="AE31" i="6"/>
  <c r="AF31" i="6"/>
  <c r="AG31" i="6"/>
  <c r="F32" i="12"/>
  <c r="E28" i="10"/>
  <c r="H28" i="10"/>
  <c r="K28" i="10"/>
  <c r="P28" i="10"/>
  <c r="C28" i="10"/>
  <c r="F28" i="10"/>
  <c r="I28" i="10"/>
  <c r="L28" i="10"/>
  <c r="D28" i="10"/>
  <c r="G28" i="10"/>
  <c r="J28" i="10"/>
  <c r="M28" i="10"/>
  <c r="B30" i="3" a="1"/>
  <c r="B30" i="3" s="1"/>
  <c r="C29" i="3"/>
  <c r="E29" i="3"/>
  <c r="G29" i="3"/>
  <c r="N29" i="10" s="1"/>
  <c r="I29" i="3"/>
  <c r="J29" i="3"/>
  <c r="L29" i="3"/>
  <c r="N29" i="3"/>
  <c r="P29" i="3"/>
  <c r="R29" i="3"/>
  <c r="T29" i="3"/>
  <c r="V29" i="3"/>
  <c r="X29" i="3"/>
  <c r="Z29" i="3"/>
  <c r="AA29" i="3"/>
  <c r="AC29" i="3"/>
  <c r="AE29" i="3"/>
  <c r="E30" i="12"/>
  <c r="D29" i="3"/>
  <c r="F29" i="3"/>
  <c r="H29" i="3"/>
  <c r="K29" i="3"/>
  <c r="O29" i="10" s="1"/>
  <c r="M29" i="3"/>
  <c r="O29" i="3"/>
  <c r="Q29" i="3"/>
  <c r="S29" i="3"/>
  <c r="U29" i="3"/>
  <c r="W29" i="3"/>
  <c r="Y29" i="3"/>
  <c r="AB29" i="3"/>
  <c r="AD29" i="3"/>
  <c r="AF29" i="3"/>
  <c r="B29" i="10"/>
  <c r="C27" i="7"/>
  <c r="D27" i="7"/>
  <c r="E27" i="7"/>
  <c r="F27" i="7"/>
  <c r="G27" i="7"/>
  <c r="H27" i="7"/>
  <c r="I27" i="7"/>
  <c r="J27" i="7"/>
  <c r="K27" i="7"/>
  <c r="L27" i="7"/>
  <c r="M27" i="7"/>
  <c r="N27" i="7"/>
  <c r="O27" i="7"/>
  <c r="P27" i="7"/>
  <c r="Q27" i="7"/>
  <c r="R27" i="7"/>
  <c r="S27" i="7"/>
  <c r="T27" i="7"/>
  <c r="U27" i="7"/>
  <c r="V27" i="7"/>
  <c r="W27" i="7"/>
  <c r="X27" i="7"/>
  <c r="Y27" i="7"/>
  <c r="Z27" i="7"/>
  <c r="AA27" i="7"/>
  <c r="H28" i="12"/>
  <c r="B28" i="7" a="1"/>
  <c r="B28" i="7" s="1"/>
  <c r="B31" i="4" l="1" a="1"/>
  <c r="B31" i="4" s="1"/>
  <c r="C30" i="4"/>
  <c r="D30" i="4"/>
  <c r="E30" i="4"/>
  <c r="F30" i="4"/>
  <c r="G30" i="4"/>
  <c r="H30" i="4"/>
  <c r="I30" i="4"/>
  <c r="J30" i="4"/>
  <c r="K30" i="4"/>
  <c r="L30" i="4"/>
  <c r="M30" i="4"/>
  <c r="N30" i="4"/>
  <c r="O30" i="4"/>
  <c r="P30" i="4"/>
  <c r="Q30" i="4"/>
  <c r="R30" i="4"/>
  <c r="S30" i="4"/>
  <c r="T30" i="4"/>
  <c r="U30" i="4"/>
  <c r="V30" i="4"/>
  <c r="W30" i="4"/>
  <c r="X30" i="4"/>
  <c r="Y30" i="4"/>
  <c r="Z30" i="4"/>
  <c r="AA30" i="4"/>
  <c r="G31" i="12"/>
  <c r="C32" i="6"/>
  <c r="D32" i="6"/>
  <c r="E32" i="6"/>
  <c r="F32" i="6"/>
  <c r="G32" i="6"/>
  <c r="H32" i="6"/>
  <c r="I32" i="6"/>
  <c r="J32" i="6"/>
  <c r="K32" i="6"/>
  <c r="L32" i="6"/>
  <c r="M32" i="6"/>
  <c r="N32" i="6"/>
  <c r="O32" i="6"/>
  <c r="P32" i="6"/>
  <c r="Q32" i="6"/>
  <c r="R32" i="6"/>
  <c r="S32" i="6"/>
  <c r="T32" i="6"/>
  <c r="U32" i="6"/>
  <c r="V32" i="6"/>
  <c r="W32" i="6"/>
  <c r="X32" i="6"/>
  <c r="Y32" i="6"/>
  <c r="Z32" i="6"/>
  <c r="AA32" i="6"/>
  <c r="AB32" i="6"/>
  <c r="AC32" i="6"/>
  <c r="AD32" i="6"/>
  <c r="AE32" i="6"/>
  <c r="AF32" i="6"/>
  <c r="AG32" i="6"/>
  <c r="F33" i="12"/>
  <c r="B33" i="6" a="1"/>
  <c r="B33" i="6" s="1"/>
  <c r="B31" i="3" a="1"/>
  <c r="B31" i="3" s="1"/>
  <c r="D30" i="3"/>
  <c r="E30" i="3"/>
  <c r="G30" i="3"/>
  <c r="N30" i="10" s="1"/>
  <c r="I30" i="3"/>
  <c r="K30" i="3"/>
  <c r="O30" i="10" s="1"/>
  <c r="M30" i="3"/>
  <c r="O30" i="3"/>
  <c r="R30" i="3"/>
  <c r="T30" i="3"/>
  <c r="W30" i="3"/>
  <c r="X30" i="3"/>
  <c r="AA30" i="3"/>
  <c r="AC30" i="3"/>
  <c r="AD30" i="3"/>
  <c r="AF30" i="3"/>
  <c r="C30" i="3"/>
  <c r="F30" i="3"/>
  <c r="H30" i="3"/>
  <c r="J30" i="3"/>
  <c r="L30" i="3"/>
  <c r="N30" i="3"/>
  <c r="P30" i="3"/>
  <c r="Q30" i="3"/>
  <c r="S30" i="3"/>
  <c r="U30" i="3"/>
  <c r="V30" i="3"/>
  <c r="Y30" i="3"/>
  <c r="Z30" i="3"/>
  <c r="AB30" i="3"/>
  <c r="AE30" i="3"/>
  <c r="B30" i="10"/>
  <c r="E31" i="12"/>
  <c r="C29" i="10"/>
  <c r="D29" i="10"/>
  <c r="E29" i="10"/>
  <c r="I29" i="10"/>
  <c r="K29" i="10"/>
  <c r="M29" i="10"/>
  <c r="H29" i="10"/>
  <c r="F29" i="10"/>
  <c r="G29" i="10"/>
  <c r="J29" i="10"/>
  <c r="L29" i="10"/>
  <c r="P29" i="10"/>
  <c r="B29" i="7" a="1"/>
  <c r="B29" i="7" s="1"/>
  <c r="C28" i="7"/>
  <c r="D28" i="7"/>
  <c r="E28" i="7"/>
  <c r="F28" i="7"/>
  <c r="G28" i="7"/>
  <c r="H28" i="7"/>
  <c r="I28" i="7"/>
  <c r="J28" i="7"/>
  <c r="K28" i="7"/>
  <c r="L28" i="7"/>
  <c r="M28" i="7"/>
  <c r="N28" i="7"/>
  <c r="O28" i="7"/>
  <c r="P28" i="7"/>
  <c r="Q28" i="7"/>
  <c r="R28" i="7"/>
  <c r="S28" i="7"/>
  <c r="T28" i="7"/>
  <c r="U28" i="7"/>
  <c r="V28" i="7"/>
  <c r="W28" i="7"/>
  <c r="X28" i="7"/>
  <c r="Y28" i="7"/>
  <c r="Z28" i="7"/>
  <c r="AA28" i="7"/>
  <c r="H29" i="12"/>
  <c r="B32" i="4" l="1" a="1"/>
  <c r="B32" i="4" s="1"/>
  <c r="C31" i="4"/>
  <c r="D31" i="4"/>
  <c r="E31" i="4"/>
  <c r="F31" i="4"/>
  <c r="G31" i="4"/>
  <c r="H31" i="4"/>
  <c r="I31" i="4"/>
  <c r="J31" i="4"/>
  <c r="K31" i="4"/>
  <c r="L31" i="4"/>
  <c r="M31" i="4"/>
  <c r="N31" i="4"/>
  <c r="O31" i="4"/>
  <c r="P31" i="4"/>
  <c r="Q31" i="4"/>
  <c r="R31" i="4"/>
  <c r="S31" i="4"/>
  <c r="T31" i="4"/>
  <c r="U31" i="4"/>
  <c r="V31" i="4"/>
  <c r="W31" i="4"/>
  <c r="X31" i="4"/>
  <c r="Y31" i="4"/>
  <c r="Z31" i="4"/>
  <c r="AA31" i="4"/>
  <c r="G32" i="12"/>
  <c r="C33" i="6"/>
  <c r="D33" i="6"/>
  <c r="E33" i="6"/>
  <c r="F33" i="6"/>
  <c r="G33" i="6"/>
  <c r="H33" i="6"/>
  <c r="I33" i="6"/>
  <c r="J33" i="6"/>
  <c r="K33" i="6"/>
  <c r="L33" i="6"/>
  <c r="M33" i="6"/>
  <c r="N33" i="6"/>
  <c r="O33" i="6"/>
  <c r="P33" i="6"/>
  <c r="Q33" i="6"/>
  <c r="R33" i="6"/>
  <c r="S33" i="6"/>
  <c r="T33" i="6"/>
  <c r="U33" i="6"/>
  <c r="V33" i="6"/>
  <c r="W33" i="6"/>
  <c r="X33" i="6"/>
  <c r="Y33" i="6"/>
  <c r="Z33" i="6"/>
  <c r="AA33" i="6"/>
  <c r="AB33" i="6"/>
  <c r="AC33" i="6"/>
  <c r="AD33" i="6"/>
  <c r="AE33" i="6"/>
  <c r="AF33" i="6"/>
  <c r="AG33" i="6"/>
  <c r="F34" i="12"/>
  <c r="B34" i="6" a="1"/>
  <c r="B34" i="6" s="1"/>
  <c r="B32" i="3" a="1"/>
  <c r="B32" i="3" s="1"/>
  <c r="C31" i="3"/>
  <c r="G31" i="3"/>
  <c r="N31" i="10" s="1"/>
  <c r="H31" i="3"/>
  <c r="J31" i="3"/>
  <c r="L31" i="3"/>
  <c r="O31" i="3"/>
  <c r="Q31" i="3"/>
  <c r="R31" i="3"/>
  <c r="T31" i="3"/>
  <c r="V31" i="3"/>
  <c r="X31" i="3"/>
  <c r="AD31" i="3"/>
  <c r="D31" i="3"/>
  <c r="E31" i="3"/>
  <c r="F31" i="3"/>
  <c r="I31" i="3"/>
  <c r="K31" i="3"/>
  <c r="O31" i="10" s="1"/>
  <c r="M31" i="3"/>
  <c r="N31" i="3"/>
  <c r="P31" i="3"/>
  <c r="S31" i="3"/>
  <c r="U31" i="3"/>
  <c r="W31" i="3"/>
  <c r="Y31" i="3"/>
  <c r="Z31" i="3"/>
  <c r="AA31" i="3"/>
  <c r="AB31" i="3"/>
  <c r="AC31" i="3"/>
  <c r="AE31" i="3"/>
  <c r="AF31" i="3"/>
  <c r="E32" i="12"/>
  <c r="B31" i="10"/>
  <c r="E30" i="10"/>
  <c r="K30" i="10"/>
  <c r="F30" i="10"/>
  <c r="H30" i="10"/>
  <c r="C30" i="10"/>
  <c r="D30" i="10"/>
  <c r="G30" i="10"/>
  <c r="I30" i="10"/>
  <c r="J30" i="10"/>
  <c r="L30" i="10"/>
  <c r="M30" i="10"/>
  <c r="P30" i="10"/>
  <c r="C29" i="7"/>
  <c r="D29" i="7"/>
  <c r="E29" i="7"/>
  <c r="F29" i="7"/>
  <c r="G29" i="7"/>
  <c r="H29" i="7"/>
  <c r="I29" i="7"/>
  <c r="J29" i="7"/>
  <c r="K29" i="7"/>
  <c r="L29" i="7"/>
  <c r="M29" i="7"/>
  <c r="N29" i="7"/>
  <c r="O29" i="7"/>
  <c r="P29" i="7"/>
  <c r="Q29" i="7"/>
  <c r="R29" i="7"/>
  <c r="S29" i="7"/>
  <c r="T29" i="7"/>
  <c r="U29" i="7"/>
  <c r="V29" i="7"/>
  <c r="W29" i="7"/>
  <c r="X29" i="7"/>
  <c r="Y29" i="7"/>
  <c r="Z29" i="7"/>
  <c r="AA29" i="7"/>
  <c r="H30" i="12"/>
  <c r="B30" i="7" a="1"/>
  <c r="B30" i="7" s="1"/>
  <c r="B33" i="4" l="1" a="1"/>
  <c r="B33" i="4" s="1"/>
  <c r="C32" i="4"/>
  <c r="D32" i="4"/>
  <c r="E32" i="4"/>
  <c r="F32" i="4"/>
  <c r="G32" i="4"/>
  <c r="H32" i="4"/>
  <c r="I32" i="4"/>
  <c r="J32" i="4"/>
  <c r="K32" i="4"/>
  <c r="L32" i="4"/>
  <c r="M32" i="4"/>
  <c r="N32" i="4"/>
  <c r="O32" i="4"/>
  <c r="P32" i="4"/>
  <c r="Q32" i="4"/>
  <c r="R32" i="4"/>
  <c r="S32" i="4"/>
  <c r="T32" i="4"/>
  <c r="U32" i="4"/>
  <c r="V32" i="4"/>
  <c r="W32" i="4"/>
  <c r="X32" i="4"/>
  <c r="Y32" i="4"/>
  <c r="Z32" i="4"/>
  <c r="AA32" i="4"/>
  <c r="G33" i="12"/>
  <c r="B35" i="6" a="1"/>
  <c r="B35" i="6" s="1"/>
  <c r="C34" i="6"/>
  <c r="D34" i="6"/>
  <c r="E34" i="6"/>
  <c r="F34" i="6"/>
  <c r="G34" i="6"/>
  <c r="H34" i="6"/>
  <c r="I34" i="6"/>
  <c r="J34" i="6"/>
  <c r="K34" i="6"/>
  <c r="L34" i="6"/>
  <c r="M34" i="6"/>
  <c r="N34" i="6"/>
  <c r="O34" i="6"/>
  <c r="P34" i="6"/>
  <c r="Q34" i="6"/>
  <c r="R34" i="6"/>
  <c r="S34" i="6"/>
  <c r="T34" i="6"/>
  <c r="U34" i="6"/>
  <c r="V34" i="6"/>
  <c r="W34" i="6"/>
  <c r="X34" i="6"/>
  <c r="Y34" i="6"/>
  <c r="Z34" i="6"/>
  <c r="AA34" i="6"/>
  <c r="AB34" i="6"/>
  <c r="AC34" i="6"/>
  <c r="AD34" i="6"/>
  <c r="AE34" i="6"/>
  <c r="AF34" i="6"/>
  <c r="AG34" i="6"/>
  <c r="F35" i="12"/>
  <c r="B33" i="3" a="1"/>
  <c r="B33" i="3" s="1"/>
  <c r="C32" i="3"/>
  <c r="E32" i="3"/>
  <c r="G32" i="3"/>
  <c r="N32" i="10" s="1"/>
  <c r="I32" i="3"/>
  <c r="K32" i="3"/>
  <c r="O32" i="10" s="1"/>
  <c r="N32" i="3"/>
  <c r="P32" i="3"/>
  <c r="Q32" i="3"/>
  <c r="S32" i="3"/>
  <c r="U32" i="3"/>
  <c r="V32" i="3"/>
  <c r="W32" i="3"/>
  <c r="Y32" i="3"/>
  <c r="Z32" i="3"/>
  <c r="AA32" i="3"/>
  <c r="AB32" i="3"/>
  <c r="AC32" i="3"/>
  <c r="AD32" i="3"/>
  <c r="AE32" i="3"/>
  <c r="AF32" i="3"/>
  <c r="E33" i="12"/>
  <c r="D32" i="3"/>
  <c r="F32" i="3"/>
  <c r="H32" i="3"/>
  <c r="J32" i="3"/>
  <c r="L32" i="3"/>
  <c r="M32" i="3"/>
  <c r="O32" i="3"/>
  <c r="R32" i="3"/>
  <c r="T32" i="3"/>
  <c r="X32" i="3"/>
  <c r="B32" i="10"/>
  <c r="J31" i="10"/>
  <c r="D31" i="10"/>
  <c r="F31" i="10"/>
  <c r="G31" i="10"/>
  <c r="I31" i="10"/>
  <c r="C31" i="10"/>
  <c r="E31" i="10"/>
  <c r="H31" i="10"/>
  <c r="L31" i="10"/>
  <c r="K31" i="10"/>
  <c r="M31" i="10"/>
  <c r="P31" i="10"/>
  <c r="C30" i="7"/>
  <c r="D30" i="7"/>
  <c r="E30" i="7"/>
  <c r="F30" i="7"/>
  <c r="G30" i="7"/>
  <c r="H30" i="7"/>
  <c r="I30" i="7"/>
  <c r="J30" i="7"/>
  <c r="K30" i="7"/>
  <c r="L30" i="7"/>
  <c r="M30" i="7"/>
  <c r="N30" i="7"/>
  <c r="O30" i="7"/>
  <c r="P30" i="7"/>
  <c r="Q30" i="7"/>
  <c r="R30" i="7"/>
  <c r="S30" i="7"/>
  <c r="T30" i="7"/>
  <c r="U30" i="7"/>
  <c r="V30" i="7"/>
  <c r="W30" i="7"/>
  <c r="X30" i="7"/>
  <c r="Y30" i="7"/>
  <c r="Z30" i="7"/>
  <c r="AA30" i="7"/>
  <c r="H31" i="12"/>
  <c r="B31" i="7" a="1"/>
  <c r="B31" i="7" s="1"/>
  <c r="C33" i="4" l="1"/>
  <c r="D33" i="4"/>
  <c r="E33" i="4"/>
  <c r="F33" i="4"/>
  <c r="G33" i="4"/>
  <c r="H33" i="4"/>
  <c r="I33" i="4"/>
  <c r="J33" i="4"/>
  <c r="K33" i="4"/>
  <c r="L33" i="4"/>
  <c r="M33" i="4"/>
  <c r="N33" i="4"/>
  <c r="O33" i="4"/>
  <c r="P33" i="4"/>
  <c r="Q33" i="4"/>
  <c r="R33" i="4"/>
  <c r="S33" i="4"/>
  <c r="T33" i="4"/>
  <c r="U33" i="4"/>
  <c r="V33" i="4"/>
  <c r="W33" i="4"/>
  <c r="X33" i="4"/>
  <c r="Y33" i="4"/>
  <c r="Z33" i="4"/>
  <c r="AA33" i="4"/>
  <c r="G34" i="12"/>
  <c r="B34" i="4" a="1"/>
  <c r="B34" i="4" s="1"/>
  <c r="C35" i="6"/>
  <c r="D35" i="6"/>
  <c r="E35" i="6"/>
  <c r="F35" i="6"/>
  <c r="G35" i="6"/>
  <c r="H35" i="6"/>
  <c r="I35" i="6"/>
  <c r="J35" i="6"/>
  <c r="K35" i="6"/>
  <c r="L35" i="6"/>
  <c r="M35" i="6"/>
  <c r="N35" i="6"/>
  <c r="O35" i="6"/>
  <c r="P35" i="6"/>
  <c r="Q35" i="6"/>
  <c r="R35" i="6"/>
  <c r="S35" i="6"/>
  <c r="T35" i="6"/>
  <c r="U35" i="6"/>
  <c r="V35" i="6"/>
  <c r="W35" i="6"/>
  <c r="X35" i="6"/>
  <c r="Y35" i="6"/>
  <c r="Z35" i="6"/>
  <c r="AA35" i="6"/>
  <c r="AB35" i="6"/>
  <c r="AC35" i="6"/>
  <c r="AD35" i="6"/>
  <c r="AE35" i="6"/>
  <c r="AF35" i="6"/>
  <c r="AG35" i="6"/>
  <c r="F36" i="12"/>
  <c r="C33" i="3"/>
  <c r="E33" i="3"/>
  <c r="F33" i="3"/>
  <c r="G33" i="3"/>
  <c r="N33" i="10" s="1"/>
  <c r="I33" i="3"/>
  <c r="K33" i="3"/>
  <c r="O33" i="10" s="1"/>
  <c r="M33" i="3"/>
  <c r="N33" i="3"/>
  <c r="O33" i="3"/>
  <c r="Q33" i="3"/>
  <c r="S33" i="3"/>
  <c r="U33" i="3"/>
  <c r="X33" i="3"/>
  <c r="AA33" i="3"/>
  <c r="AB33" i="3"/>
  <c r="AC33" i="3"/>
  <c r="AD33" i="3"/>
  <c r="AE33" i="3"/>
  <c r="E34" i="12"/>
  <c r="D33" i="3"/>
  <c r="H33" i="3"/>
  <c r="J33" i="3"/>
  <c r="L33" i="3"/>
  <c r="P33" i="3"/>
  <c r="R33" i="3"/>
  <c r="T33" i="3"/>
  <c r="V33" i="3"/>
  <c r="W33" i="3"/>
  <c r="Y33" i="3"/>
  <c r="Z33" i="3"/>
  <c r="AF33" i="3"/>
  <c r="B33" i="10"/>
  <c r="B34" i="3" a="1"/>
  <c r="B34" i="3" s="1"/>
  <c r="D32" i="10"/>
  <c r="F32" i="10"/>
  <c r="G32" i="10"/>
  <c r="H32" i="10"/>
  <c r="I32" i="10"/>
  <c r="J32" i="10"/>
  <c r="K32" i="10"/>
  <c r="L32" i="10"/>
  <c r="P32" i="10"/>
  <c r="C32" i="10"/>
  <c r="E32" i="10"/>
  <c r="M32" i="10"/>
  <c r="C31" i="7"/>
  <c r="D31" i="7"/>
  <c r="E31" i="7"/>
  <c r="F31" i="7"/>
  <c r="G31" i="7"/>
  <c r="H31" i="7"/>
  <c r="I31" i="7"/>
  <c r="J31" i="7"/>
  <c r="K31" i="7"/>
  <c r="L31" i="7"/>
  <c r="M31" i="7"/>
  <c r="N31" i="7"/>
  <c r="O31" i="7"/>
  <c r="P31" i="7"/>
  <c r="Q31" i="7"/>
  <c r="R31" i="7"/>
  <c r="S31" i="7"/>
  <c r="T31" i="7"/>
  <c r="U31" i="7"/>
  <c r="V31" i="7"/>
  <c r="W31" i="7"/>
  <c r="X31" i="7"/>
  <c r="Y31" i="7"/>
  <c r="Z31" i="7"/>
  <c r="AA31" i="7"/>
  <c r="H32" i="12"/>
  <c r="B32" i="7" a="1"/>
  <c r="B32" i="7" s="1"/>
  <c r="B35" i="4" l="1" a="1"/>
  <c r="B35" i="4" s="1"/>
  <c r="C34" i="4"/>
  <c r="D34" i="4"/>
  <c r="E34" i="4"/>
  <c r="F34" i="4"/>
  <c r="G34" i="4"/>
  <c r="H34" i="4"/>
  <c r="I34" i="4"/>
  <c r="J34" i="4"/>
  <c r="K34" i="4"/>
  <c r="L34" i="4"/>
  <c r="M34" i="4"/>
  <c r="N34" i="4"/>
  <c r="O34" i="4"/>
  <c r="P34" i="4"/>
  <c r="Q34" i="4"/>
  <c r="R34" i="4"/>
  <c r="S34" i="4"/>
  <c r="T34" i="4"/>
  <c r="U34" i="4"/>
  <c r="V34" i="4"/>
  <c r="W34" i="4"/>
  <c r="X34" i="4"/>
  <c r="Y34" i="4"/>
  <c r="Z34" i="4"/>
  <c r="AA34" i="4"/>
  <c r="G35" i="12"/>
  <c r="D33" i="10"/>
  <c r="G33" i="10"/>
  <c r="J33" i="10"/>
  <c r="L33" i="10"/>
  <c r="P33" i="10"/>
  <c r="F33" i="10"/>
  <c r="H33" i="10"/>
  <c r="K33" i="10"/>
  <c r="C33" i="10"/>
  <c r="E33" i="10"/>
  <c r="I33" i="10"/>
  <c r="M33" i="10"/>
  <c r="C34" i="3"/>
  <c r="D34" i="3"/>
  <c r="F34" i="3"/>
  <c r="H34" i="3"/>
  <c r="J34" i="3"/>
  <c r="L34" i="3"/>
  <c r="N34" i="3"/>
  <c r="P34" i="3"/>
  <c r="R34" i="3"/>
  <c r="T34" i="3"/>
  <c r="W34" i="3"/>
  <c r="X34" i="3"/>
  <c r="Z34" i="3"/>
  <c r="AC34" i="3"/>
  <c r="AE34" i="3"/>
  <c r="AF34" i="3"/>
  <c r="B34" i="10"/>
  <c r="E34" i="3"/>
  <c r="G34" i="3"/>
  <c r="N34" i="10" s="1"/>
  <c r="I34" i="3"/>
  <c r="K34" i="3"/>
  <c r="O34" i="10" s="1"/>
  <c r="M34" i="3"/>
  <c r="O34" i="3"/>
  <c r="Q34" i="3"/>
  <c r="S34" i="3"/>
  <c r="U34" i="3"/>
  <c r="V34" i="3"/>
  <c r="Y34" i="3"/>
  <c r="AA34" i="3"/>
  <c r="AB34" i="3"/>
  <c r="AD34" i="3"/>
  <c r="E35" i="12"/>
  <c r="B35" i="3" a="1"/>
  <c r="B35" i="3" s="1"/>
  <c r="B33" i="7" a="1"/>
  <c r="B33" i="7" s="1"/>
  <c r="C32" i="7"/>
  <c r="D32" i="7"/>
  <c r="E32" i="7"/>
  <c r="F32" i="7"/>
  <c r="G32" i="7"/>
  <c r="H32" i="7"/>
  <c r="I32" i="7"/>
  <c r="J32" i="7"/>
  <c r="K32" i="7"/>
  <c r="L32" i="7"/>
  <c r="M32" i="7"/>
  <c r="N32" i="7"/>
  <c r="O32" i="7"/>
  <c r="P32" i="7"/>
  <c r="Q32" i="7"/>
  <c r="R32" i="7"/>
  <c r="S32" i="7"/>
  <c r="T32" i="7"/>
  <c r="U32" i="7"/>
  <c r="V32" i="7"/>
  <c r="W32" i="7"/>
  <c r="X32" i="7"/>
  <c r="Y32" i="7"/>
  <c r="Z32" i="7"/>
  <c r="AA32" i="7"/>
  <c r="H33" i="12"/>
  <c r="C35" i="4" l="1"/>
  <c r="D35" i="4"/>
  <c r="E35" i="4"/>
  <c r="F35" i="4"/>
  <c r="G35" i="4"/>
  <c r="H35" i="4"/>
  <c r="I35" i="4"/>
  <c r="J35" i="4"/>
  <c r="K35" i="4"/>
  <c r="L35" i="4"/>
  <c r="M35" i="4"/>
  <c r="N35" i="4"/>
  <c r="O35" i="4"/>
  <c r="P35" i="4"/>
  <c r="Q35" i="4"/>
  <c r="R35" i="4"/>
  <c r="S35" i="4"/>
  <c r="T35" i="4"/>
  <c r="U35" i="4"/>
  <c r="V35" i="4"/>
  <c r="W35" i="4"/>
  <c r="X35" i="4"/>
  <c r="Y35" i="4"/>
  <c r="Z35" i="4"/>
  <c r="AA35" i="4"/>
  <c r="G36" i="12"/>
  <c r="B36" i="4" a="1"/>
  <c r="B36" i="4" s="1"/>
  <c r="E34" i="10"/>
  <c r="F34" i="10"/>
  <c r="I34" i="10"/>
  <c r="L34" i="10"/>
  <c r="D34" i="10"/>
  <c r="J34" i="10"/>
  <c r="C34" i="10"/>
  <c r="H34" i="10"/>
  <c r="M34" i="10"/>
  <c r="P34" i="10"/>
  <c r="G34" i="10"/>
  <c r="K34" i="10"/>
  <c r="C35" i="3"/>
  <c r="F35" i="3"/>
  <c r="H35" i="3"/>
  <c r="K35" i="3"/>
  <c r="O35" i="10" s="1"/>
  <c r="M35" i="3"/>
  <c r="O35" i="3"/>
  <c r="Q35" i="3"/>
  <c r="S35" i="3"/>
  <c r="U35" i="3"/>
  <c r="X35" i="3"/>
  <c r="Z35" i="3"/>
  <c r="AF35" i="3"/>
  <c r="B35" i="10"/>
  <c r="D35" i="3"/>
  <c r="E35" i="3"/>
  <c r="G35" i="3"/>
  <c r="N35" i="10" s="1"/>
  <c r="I35" i="3"/>
  <c r="J35" i="3"/>
  <c r="L35" i="3"/>
  <c r="N35" i="3"/>
  <c r="P35" i="3"/>
  <c r="R35" i="3"/>
  <c r="T35" i="3"/>
  <c r="V35" i="3"/>
  <c r="W35" i="3"/>
  <c r="Y35" i="3"/>
  <c r="AA35" i="3"/>
  <c r="AB35" i="3"/>
  <c r="AC35" i="3"/>
  <c r="AD35" i="3"/>
  <c r="AE35" i="3"/>
  <c r="E36" i="12"/>
  <c r="C33" i="7"/>
  <c r="D33" i="7"/>
  <c r="E33" i="7"/>
  <c r="F33" i="7"/>
  <c r="G33" i="7"/>
  <c r="H33" i="7"/>
  <c r="I33" i="7"/>
  <c r="J33" i="7"/>
  <c r="K33" i="7"/>
  <c r="L33" i="7"/>
  <c r="M33" i="7"/>
  <c r="N33" i="7"/>
  <c r="O33" i="7"/>
  <c r="P33" i="7"/>
  <c r="Q33" i="7"/>
  <c r="R33" i="7"/>
  <c r="S33" i="7"/>
  <c r="T33" i="7"/>
  <c r="U33" i="7"/>
  <c r="V33" i="7"/>
  <c r="W33" i="7"/>
  <c r="X33" i="7"/>
  <c r="Y33" i="7"/>
  <c r="Z33" i="7"/>
  <c r="AA33" i="7"/>
  <c r="H34" i="12"/>
  <c r="B34" i="7" a="1"/>
  <c r="B34" i="7" s="1"/>
  <c r="B37" i="4" l="1" a="1"/>
  <c r="B37" i="4" s="1"/>
  <c r="C36" i="4"/>
  <c r="D36" i="4"/>
  <c r="E36" i="4"/>
  <c r="F36" i="4"/>
  <c r="G36" i="4"/>
  <c r="H36" i="4"/>
  <c r="I36" i="4"/>
  <c r="J36" i="4"/>
  <c r="K36" i="4"/>
  <c r="L36" i="4"/>
  <c r="M36" i="4"/>
  <c r="N36" i="4"/>
  <c r="O36" i="4"/>
  <c r="P36" i="4"/>
  <c r="Q36" i="4"/>
  <c r="R36" i="4"/>
  <c r="S36" i="4"/>
  <c r="T36" i="4"/>
  <c r="U36" i="4"/>
  <c r="V36" i="4"/>
  <c r="W36" i="4"/>
  <c r="X36" i="4"/>
  <c r="Y36" i="4"/>
  <c r="Z36" i="4"/>
  <c r="AA36" i="4"/>
  <c r="G37" i="12"/>
  <c r="E35" i="10"/>
  <c r="I35" i="10"/>
  <c r="J35" i="10"/>
  <c r="L35" i="10"/>
  <c r="M35" i="10"/>
  <c r="P35" i="10"/>
  <c r="C35" i="10"/>
  <c r="F35" i="10"/>
  <c r="K35" i="10"/>
  <c r="G35" i="10"/>
  <c r="D35" i="10"/>
  <c r="H35" i="10"/>
  <c r="C34" i="7"/>
  <c r="D34" i="7"/>
  <c r="E34" i="7"/>
  <c r="F34" i="7"/>
  <c r="G34" i="7"/>
  <c r="H34" i="7"/>
  <c r="I34" i="7"/>
  <c r="J34" i="7"/>
  <c r="K34" i="7"/>
  <c r="L34" i="7"/>
  <c r="M34" i="7"/>
  <c r="N34" i="7"/>
  <c r="O34" i="7"/>
  <c r="P34" i="7"/>
  <c r="Q34" i="7"/>
  <c r="R34" i="7"/>
  <c r="S34" i="7"/>
  <c r="T34" i="7"/>
  <c r="U34" i="7"/>
  <c r="V34" i="7"/>
  <c r="W34" i="7"/>
  <c r="X34" i="7"/>
  <c r="Y34" i="7"/>
  <c r="Z34" i="7"/>
  <c r="AA34" i="7"/>
  <c r="H35" i="12"/>
  <c r="B35" i="7" a="1"/>
  <c r="B35" i="7" s="1"/>
  <c r="C37" i="4" l="1"/>
  <c r="D37" i="4"/>
  <c r="E37" i="4"/>
  <c r="F37" i="4"/>
  <c r="G37" i="4"/>
  <c r="H37" i="4"/>
  <c r="I37" i="4"/>
  <c r="J37" i="4"/>
  <c r="K37" i="4"/>
  <c r="L37" i="4"/>
  <c r="M37" i="4"/>
  <c r="N37" i="4"/>
  <c r="O37" i="4"/>
  <c r="P37" i="4"/>
  <c r="Q37" i="4"/>
  <c r="R37" i="4"/>
  <c r="S37" i="4"/>
  <c r="T37" i="4"/>
  <c r="U37" i="4"/>
  <c r="V37" i="4"/>
  <c r="W37" i="4"/>
  <c r="X37" i="4"/>
  <c r="Y37" i="4"/>
  <c r="Z37" i="4"/>
  <c r="AA37" i="4"/>
  <c r="G38" i="12"/>
  <c r="B38" i="4" a="1"/>
  <c r="B38" i="4" s="1"/>
  <c r="B36" i="7" a="1"/>
  <c r="B36" i="7" s="1"/>
  <c r="C35" i="7"/>
  <c r="D35" i="7"/>
  <c r="E35" i="7"/>
  <c r="F35" i="7"/>
  <c r="G35" i="7"/>
  <c r="H35" i="7"/>
  <c r="I35" i="7"/>
  <c r="J35" i="7"/>
  <c r="K35" i="7"/>
  <c r="L35" i="7"/>
  <c r="M35" i="7"/>
  <c r="N35" i="7"/>
  <c r="O35" i="7"/>
  <c r="P35" i="7"/>
  <c r="Q35" i="7"/>
  <c r="R35" i="7"/>
  <c r="S35" i="7"/>
  <c r="T35" i="7"/>
  <c r="U35" i="7"/>
  <c r="V35" i="7"/>
  <c r="W35" i="7"/>
  <c r="X35" i="7"/>
  <c r="Y35" i="7"/>
  <c r="Z35" i="7"/>
  <c r="AA35" i="7"/>
  <c r="H36" i="12"/>
  <c r="C38" i="4" l="1"/>
  <c r="D38" i="4"/>
  <c r="E38" i="4"/>
  <c r="F38" i="4"/>
  <c r="G38" i="4"/>
  <c r="H38" i="4"/>
  <c r="I38" i="4"/>
  <c r="J38" i="4"/>
  <c r="K38" i="4"/>
  <c r="L38" i="4"/>
  <c r="M38" i="4"/>
  <c r="N38" i="4"/>
  <c r="O38" i="4"/>
  <c r="P38" i="4"/>
  <c r="Q38" i="4"/>
  <c r="R38" i="4"/>
  <c r="S38" i="4"/>
  <c r="T38" i="4"/>
  <c r="U38" i="4"/>
  <c r="V38" i="4"/>
  <c r="W38" i="4"/>
  <c r="X38" i="4"/>
  <c r="Y38" i="4"/>
  <c r="Z38" i="4"/>
  <c r="AA38" i="4"/>
  <c r="G39" i="12"/>
  <c r="B39" i="4" a="1"/>
  <c r="B39" i="4" s="1"/>
  <c r="C36" i="7"/>
  <c r="D36" i="7"/>
  <c r="E36" i="7"/>
  <c r="F36" i="7"/>
  <c r="G36" i="7"/>
  <c r="H36" i="7"/>
  <c r="I36" i="7"/>
  <c r="J36" i="7"/>
  <c r="K36" i="7"/>
  <c r="L36" i="7"/>
  <c r="M36" i="7"/>
  <c r="N36" i="7"/>
  <c r="O36" i="7"/>
  <c r="P36" i="7"/>
  <c r="Q36" i="7"/>
  <c r="R36" i="7"/>
  <c r="S36" i="7"/>
  <c r="T36" i="7"/>
  <c r="U36" i="7"/>
  <c r="V36" i="7"/>
  <c r="W36" i="7"/>
  <c r="X36" i="7"/>
  <c r="Y36" i="7"/>
  <c r="Z36" i="7"/>
  <c r="AA36" i="7"/>
  <c r="H37" i="12"/>
  <c r="B37" i="7" a="1"/>
  <c r="B37" i="7" s="1"/>
  <c r="C39" i="4" l="1"/>
  <c r="D39" i="4"/>
  <c r="E39" i="4"/>
  <c r="F39" i="4"/>
  <c r="G39" i="4"/>
  <c r="H39" i="4"/>
  <c r="I39" i="4"/>
  <c r="J39" i="4"/>
  <c r="K39" i="4"/>
  <c r="L39" i="4"/>
  <c r="M39" i="4"/>
  <c r="N39" i="4"/>
  <c r="O39" i="4"/>
  <c r="P39" i="4"/>
  <c r="Q39" i="4"/>
  <c r="R39" i="4"/>
  <c r="S39" i="4"/>
  <c r="T39" i="4"/>
  <c r="U39" i="4"/>
  <c r="V39" i="4"/>
  <c r="W39" i="4"/>
  <c r="X39" i="4"/>
  <c r="Y39" i="4"/>
  <c r="Z39" i="4"/>
  <c r="AA39" i="4"/>
  <c r="G40" i="12"/>
  <c r="B40" i="4" a="1"/>
  <c r="B40" i="4" s="1"/>
  <c r="B38" i="7" a="1"/>
  <c r="B38" i="7" s="1"/>
  <c r="C37" i="7"/>
  <c r="D37" i="7"/>
  <c r="E37" i="7"/>
  <c r="F37" i="7"/>
  <c r="G37" i="7"/>
  <c r="H37" i="7"/>
  <c r="I37" i="7"/>
  <c r="J37" i="7"/>
  <c r="K37" i="7"/>
  <c r="L37" i="7"/>
  <c r="M37" i="7"/>
  <c r="N37" i="7"/>
  <c r="O37" i="7"/>
  <c r="P37" i="7"/>
  <c r="Q37" i="7"/>
  <c r="R37" i="7"/>
  <c r="S37" i="7"/>
  <c r="T37" i="7"/>
  <c r="U37" i="7"/>
  <c r="V37" i="7"/>
  <c r="W37" i="7"/>
  <c r="X37" i="7"/>
  <c r="Y37" i="7"/>
  <c r="Z37" i="7"/>
  <c r="AA37" i="7"/>
  <c r="H38" i="12"/>
  <c r="C40" i="4" l="1"/>
  <c r="D40" i="4"/>
  <c r="E40" i="4"/>
  <c r="F40" i="4"/>
  <c r="G40" i="4"/>
  <c r="H40" i="4"/>
  <c r="I40" i="4"/>
  <c r="J40" i="4"/>
  <c r="K40" i="4"/>
  <c r="L40" i="4"/>
  <c r="M40" i="4"/>
  <c r="N40" i="4"/>
  <c r="O40" i="4"/>
  <c r="P40" i="4"/>
  <c r="Q40" i="4"/>
  <c r="R40" i="4"/>
  <c r="S40" i="4"/>
  <c r="T40" i="4"/>
  <c r="U40" i="4"/>
  <c r="V40" i="4"/>
  <c r="W40" i="4"/>
  <c r="X40" i="4"/>
  <c r="Y40" i="4"/>
  <c r="Z40" i="4"/>
  <c r="AA40" i="4"/>
  <c r="G41" i="12"/>
  <c r="B41" i="4" a="1"/>
  <c r="B41" i="4" s="1"/>
  <c r="C38" i="7"/>
  <c r="D38" i="7"/>
  <c r="E38" i="7"/>
  <c r="F38" i="7"/>
  <c r="G38" i="7"/>
  <c r="H38" i="7"/>
  <c r="I38" i="7"/>
  <c r="J38" i="7"/>
  <c r="K38" i="7"/>
  <c r="L38" i="7"/>
  <c r="M38" i="7"/>
  <c r="N38" i="7"/>
  <c r="O38" i="7"/>
  <c r="P38" i="7"/>
  <c r="Q38" i="7"/>
  <c r="R38" i="7"/>
  <c r="S38" i="7"/>
  <c r="T38" i="7"/>
  <c r="U38" i="7"/>
  <c r="V38" i="7"/>
  <c r="W38" i="7"/>
  <c r="X38" i="7"/>
  <c r="Y38" i="7"/>
  <c r="Z38" i="7"/>
  <c r="AA38" i="7"/>
  <c r="H39" i="12"/>
  <c r="B39" i="7" a="1"/>
  <c r="B39" i="7" s="1"/>
  <c r="C41" i="4" l="1"/>
  <c r="D41" i="4"/>
  <c r="E41" i="4"/>
  <c r="F41" i="4"/>
  <c r="G41" i="4"/>
  <c r="H41" i="4"/>
  <c r="I41" i="4"/>
  <c r="J41" i="4"/>
  <c r="K41" i="4"/>
  <c r="L41" i="4"/>
  <c r="M41" i="4"/>
  <c r="N41" i="4"/>
  <c r="O41" i="4"/>
  <c r="P41" i="4"/>
  <c r="Q41" i="4"/>
  <c r="R41" i="4"/>
  <c r="S41" i="4"/>
  <c r="T41" i="4"/>
  <c r="U41" i="4"/>
  <c r="V41" i="4"/>
  <c r="W41" i="4"/>
  <c r="X41" i="4"/>
  <c r="Y41" i="4"/>
  <c r="Z41" i="4"/>
  <c r="AA41" i="4"/>
  <c r="G42" i="12"/>
  <c r="B42" i="4" a="1"/>
  <c r="B42" i="4" s="1"/>
  <c r="B40" i="7" a="1"/>
  <c r="B40" i="7" s="1"/>
  <c r="C39" i="7"/>
  <c r="D39" i="7"/>
  <c r="E39" i="7"/>
  <c r="F39" i="7"/>
  <c r="G39" i="7"/>
  <c r="H39" i="7"/>
  <c r="I39" i="7"/>
  <c r="J39" i="7"/>
  <c r="K39" i="7"/>
  <c r="L39" i="7"/>
  <c r="M39" i="7"/>
  <c r="N39" i="7"/>
  <c r="O39" i="7"/>
  <c r="P39" i="7"/>
  <c r="Q39" i="7"/>
  <c r="R39" i="7"/>
  <c r="S39" i="7"/>
  <c r="T39" i="7"/>
  <c r="U39" i="7"/>
  <c r="V39" i="7"/>
  <c r="W39" i="7"/>
  <c r="X39" i="7"/>
  <c r="Y39" i="7"/>
  <c r="Z39" i="7"/>
  <c r="AA39" i="7"/>
  <c r="H40" i="12"/>
  <c r="C42" i="4" l="1"/>
  <c r="D42" i="4"/>
  <c r="E42" i="4"/>
  <c r="F42" i="4"/>
  <c r="G42" i="4"/>
  <c r="H42" i="4"/>
  <c r="I42" i="4"/>
  <c r="J42" i="4"/>
  <c r="K42" i="4"/>
  <c r="L42" i="4"/>
  <c r="M42" i="4"/>
  <c r="N42" i="4"/>
  <c r="O42" i="4"/>
  <c r="P42" i="4"/>
  <c r="Q42" i="4"/>
  <c r="R42" i="4"/>
  <c r="S42" i="4"/>
  <c r="T42" i="4"/>
  <c r="U42" i="4"/>
  <c r="V42" i="4"/>
  <c r="W42" i="4"/>
  <c r="X42" i="4"/>
  <c r="Y42" i="4"/>
  <c r="Z42" i="4"/>
  <c r="AA42" i="4"/>
  <c r="G43" i="12"/>
  <c r="B43" i="4" a="1"/>
  <c r="B43" i="4" s="1"/>
  <c r="C40" i="7"/>
  <c r="D40" i="7"/>
  <c r="E40" i="7"/>
  <c r="F40" i="7"/>
  <c r="G40" i="7"/>
  <c r="H40" i="7"/>
  <c r="I40" i="7"/>
  <c r="J40" i="7"/>
  <c r="K40" i="7"/>
  <c r="L40" i="7"/>
  <c r="M40" i="7"/>
  <c r="N40" i="7"/>
  <c r="O40" i="7"/>
  <c r="P40" i="7"/>
  <c r="Q40" i="7"/>
  <c r="R40" i="7"/>
  <c r="S40" i="7"/>
  <c r="T40" i="7"/>
  <c r="U40" i="7"/>
  <c r="V40" i="7"/>
  <c r="W40" i="7"/>
  <c r="X40" i="7"/>
  <c r="Y40" i="7"/>
  <c r="Z40" i="7"/>
  <c r="AA40" i="7"/>
  <c r="H41" i="12"/>
  <c r="B41" i="7" a="1"/>
  <c r="B41" i="7" s="1"/>
  <c r="B44" i="4" l="1" a="1"/>
  <c r="B44" i="4" s="1"/>
  <c r="C43" i="4"/>
  <c r="D43" i="4"/>
  <c r="E43" i="4"/>
  <c r="F43" i="4"/>
  <c r="G43" i="4"/>
  <c r="H43" i="4"/>
  <c r="I43" i="4"/>
  <c r="J43" i="4"/>
  <c r="K43" i="4"/>
  <c r="L43" i="4"/>
  <c r="M43" i="4"/>
  <c r="N43" i="4"/>
  <c r="O43" i="4"/>
  <c r="P43" i="4"/>
  <c r="Q43" i="4"/>
  <c r="R43" i="4"/>
  <c r="S43" i="4"/>
  <c r="T43" i="4"/>
  <c r="U43" i="4"/>
  <c r="V43" i="4"/>
  <c r="W43" i="4"/>
  <c r="X43" i="4"/>
  <c r="Y43" i="4"/>
  <c r="Z43" i="4"/>
  <c r="AA43" i="4"/>
  <c r="G44" i="12"/>
  <c r="B42" i="7" a="1"/>
  <c r="B42" i="7" s="1"/>
  <c r="C41" i="7"/>
  <c r="D41" i="7"/>
  <c r="E41" i="7"/>
  <c r="F41" i="7"/>
  <c r="G41" i="7"/>
  <c r="H41" i="7"/>
  <c r="I41" i="7"/>
  <c r="J41" i="7"/>
  <c r="K41" i="7"/>
  <c r="L41" i="7"/>
  <c r="M41" i="7"/>
  <c r="N41" i="7"/>
  <c r="O41" i="7"/>
  <c r="P41" i="7"/>
  <c r="Q41" i="7"/>
  <c r="R41" i="7"/>
  <c r="S41" i="7"/>
  <c r="T41" i="7"/>
  <c r="U41" i="7"/>
  <c r="V41" i="7"/>
  <c r="W41" i="7"/>
  <c r="X41" i="7"/>
  <c r="Y41" i="7"/>
  <c r="Z41" i="7"/>
  <c r="AA41" i="7"/>
  <c r="H42" i="12"/>
  <c r="C44" i="4" l="1"/>
  <c r="D44" i="4"/>
  <c r="E44" i="4"/>
  <c r="F44" i="4"/>
  <c r="G44" i="4"/>
  <c r="H44" i="4"/>
  <c r="I44" i="4"/>
  <c r="J44" i="4"/>
  <c r="K44" i="4"/>
  <c r="L44" i="4"/>
  <c r="M44" i="4"/>
  <c r="N44" i="4"/>
  <c r="O44" i="4"/>
  <c r="P44" i="4"/>
  <c r="Q44" i="4"/>
  <c r="R44" i="4"/>
  <c r="S44" i="4"/>
  <c r="T44" i="4"/>
  <c r="U44" i="4"/>
  <c r="V44" i="4"/>
  <c r="W44" i="4"/>
  <c r="X44" i="4"/>
  <c r="Y44" i="4"/>
  <c r="Z44" i="4"/>
  <c r="AA44" i="4"/>
  <c r="G45" i="12"/>
  <c r="B45" i="4" a="1"/>
  <c r="B45" i="4" s="1"/>
  <c r="C42" i="7"/>
  <c r="D42" i="7"/>
  <c r="E42" i="7"/>
  <c r="F42" i="7"/>
  <c r="G42" i="7"/>
  <c r="H42" i="7"/>
  <c r="I42" i="7"/>
  <c r="J42" i="7"/>
  <c r="K42" i="7"/>
  <c r="L42" i="7"/>
  <c r="M42" i="7"/>
  <c r="N42" i="7"/>
  <c r="O42" i="7"/>
  <c r="P42" i="7"/>
  <c r="Q42" i="7"/>
  <c r="R42" i="7"/>
  <c r="S42" i="7"/>
  <c r="T42" i="7"/>
  <c r="U42" i="7"/>
  <c r="V42" i="7"/>
  <c r="W42" i="7"/>
  <c r="X42" i="7"/>
  <c r="Y42" i="7"/>
  <c r="Z42" i="7"/>
  <c r="AA42" i="7"/>
  <c r="H43" i="12"/>
  <c r="B43" i="7" a="1"/>
  <c r="B43" i="7" s="1"/>
  <c r="C45" i="4" l="1"/>
  <c r="D45" i="4"/>
  <c r="E45" i="4"/>
  <c r="F45" i="4"/>
  <c r="G45" i="4"/>
  <c r="H45" i="4"/>
  <c r="I45" i="4"/>
  <c r="J45" i="4"/>
  <c r="K45" i="4"/>
  <c r="L45" i="4"/>
  <c r="M45" i="4"/>
  <c r="N45" i="4"/>
  <c r="O45" i="4"/>
  <c r="P45" i="4"/>
  <c r="Q45" i="4"/>
  <c r="R45" i="4"/>
  <c r="S45" i="4"/>
  <c r="T45" i="4"/>
  <c r="U45" i="4"/>
  <c r="V45" i="4"/>
  <c r="W45" i="4"/>
  <c r="X45" i="4"/>
  <c r="Y45" i="4"/>
  <c r="Z45" i="4"/>
  <c r="AA45" i="4"/>
  <c r="G46" i="12"/>
  <c r="B46" i="4" a="1"/>
  <c r="B46" i="4" s="1"/>
  <c r="C43" i="7"/>
  <c r="D43" i="7"/>
  <c r="E43" i="7"/>
  <c r="F43" i="7"/>
  <c r="G43" i="7"/>
  <c r="H43" i="7"/>
  <c r="I43" i="7"/>
  <c r="J43" i="7"/>
  <c r="K43" i="7"/>
  <c r="L43" i="7"/>
  <c r="M43" i="7"/>
  <c r="N43" i="7"/>
  <c r="O43" i="7"/>
  <c r="P43" i="7"/>
  <c r="Q43" i="7"/>
  <c r="R43" i="7"/>
  <c r="S43" i="7"/>
  <c r="T43" i="7"/>
  <c r="U43" i="7"/>
  <c r="V43" i="7"/>
  <c r="W43" i="7"/>
  <c r="X43" i="7"/>
  <c r="Y43" i="7"/>
  <c r="Z43" i="7"/>
  <c r="AA43" i="7"/>
  <c r="H44" i="12"/>
  <c r="B44" i="7" a="1"/>
  <c r="B44" i="7" s="1"/>
  <c r="C46" i="4" l="1"/>
  <c r="D46" i="4"/>
  <c r="E46" i="4"/>
  <c r="F46" i="4"/>
  <c r="G46" i="4"/>
  <c r="H46" i="4"/>
  <c r="I46" i="4"/>
  <c r="J46" i="4"/>
  <c r="K46" i="4"/>
  <c r="L46" i="4"/>
  <c r="M46" i="4"/>
  <c r="N46" i="4"/>
  <c r="O46" i="4"/>
  <c r="P46" i="4"/>
  <c r="Q46" i="4"/>
  <c r="R46" i="4"/>
  <c r="S46" i="4"/>
  <c r="T46" i="4"/>
  <c r="U46" i="4"/>
  <c r="V46" i="4"/>
  <c r="W46" i="4"/>
  <c r="X46" i="4"/>
  <c r="Y46" i="4"/>
  <c r="Z46" i="4"/>
  <c r="AA46" i="4"/>
  <c r="G47" i="12"/>
  <c r="B47" i="4" a="1"/>
  <c r="B47" i="4" s="1"/>
  <c r="B45" i="7" a="1"/>
  <c r="B45" i="7" s="1"/>
  <c r="C44" i="7"/>
  <c r="D44" i="7"/>
  <c r="E44" i="7"/>
  <c r="F44" i="7"/>
  <c r="G44" i="7"/>
  <c r="H44" i="7"/>
  <c r="I44" i="7"/>
  <c r="J44" i="7"/>
  <c r="K44" i="7"/>
  <c r="L44" i="7"/>
  <c r="M44" i="7"/>
  <c r="N44" i="7"/>
  <c r="O44" i="7"/>
  <c r="P44" i="7"/>
  <c r="Q44" i="7"/>
  <c r="R44" i="7"/>
  <c r="S44" i="7"/>
  <c r="T44" i="7"/>
  <c r="U44" i="7"/>
  <c r="V44" i="7"/>
  <c r="W44" i="7"/>
  <c r="X44" i="7"/>
  <c r="Y44" i="7"/>
  <c r="Z44" i="7"/>
  <c r="AA44" i="7"/>
  <c r="H45" i="12"/>
  <c r="C47" i="4" l="1"/>
  <c r="D47" i="4"/>
  <c r="E47" i="4"/>
  <c r="F47" i="4"/>
  <c r="G47" i="4"/>
  <c r="H47" i="4"/>
  <c r="I47" i="4"/>
  <c r="J47" i="4"/>
  <c r="K47" i="4"/>
  <c r="L47" i="4"/>
  <c r="M47" i="4"/>
  <c r="N47" i="4"/>
  <c r="O47" i="4"/>
  <c r="P47" i="4"/>
  <c r="Q47" i="4"/>
  <c r="R47" i="4"/>
  <c r="S47" i="4"/>
  <c r="T47" i="4"/>
  <c r="U47" i="4"/>
  <c r="V47" i="4"/>
  <c r="W47" i="4"/>
  <c r="X47" i="4"/>
  <c r="Y47" i="4"/>
  <c r="Z47" i="4"/>
  <c r="AA47" i="4"/>
  <c r="G48" i="12"/>
  <c r="B48" i="4" a="1"/>
  <c r="B48" i="4" s="1"/>
  <c r="C45" i="7"/>
  <c r="D45" i="7"/>
  <c r="E45" i="7"/>
  <c r="F45" i="7"/>
  <c r="G45" i="7"/>
  <c r="H45" i="7"/>
  <c r="I45" i="7"/>
  <c r="J45" i="7"/>
  <c r="K45" i="7"/>
  <c r="L45" i="7"/>
  <c r="M45" i="7"/>
  <c r="N45" i="7"/>
  <c r="O45" i="7"/>
  <c r="P45" i="7"/>
  <c r="Q45" i="7"/>
  <c r="R45" i="7"/>
  <c r="S45" i="7"/>
  <c r="T45" i="7"/>
  <c r="U45" i="7"/>
  <c r="V45" i="7"/>
  <c r="W45" i="7"/>
  <c r="X45" i="7"/>
  <c r="Y45" i="7"/>
  <c r="Z45" i="7"/>
  <c r="AA45" i="7"/>
  <c r="H46" i="12"/>
  <c r="B46" i="7" a="1"/>
  <c r="B46" i="7" s="1"/>
  <c r="C48" i="4" l="1"/>
  <c r="D48" i="4"/>
  <c r="E48" i="4"/>
  <c r="F48" i="4"/>
  <c r="G48" i="4"/>
  <c r="H48" i="4"/>
  <c r="I48" i="4"/>
  <c r="J48" i="4"/>
  <c r="K48" i="4"/>
  <c r="L48" i="4"/>
  <c r="M48" i="4"/>
  <c r="N48" i="4"/>
  <c r="O48" i="4"/>
  <c r="P48" i="4"/>
  <c r="Q48" i="4"/>
  <c r="R48" i="4"/>
  <c r="S48" i="4"/>
  <c r="T48" i="4"/>
  <c r="U48" i="4"/>
  <c r="V48" i="4"/>
  <c r="W48" i="4"/>
  <c r="X48" i="4"/>
  <c r="Y48" i="4"/>
  <c r="Z48" i="4"/>
  <c r="AA48" i="4"/>
  <c r="G49" i="12"/>
  <c r="B49" i="4" a="1"/>
  <c r="B49" i="4" s="1"/>
  <c r="C46" i="7"/>
  <c r="D46" i="7"/>
  <c r="E46" i="7"/>
  <c r="F46" i="7"/>
  <c r="G46" i="7"/>
  <c r="H46" i="7"/>
  <c r="I46" i="7"/>
  <c r="J46" i="7"/>
  <c r="K46" i="7"/>
  <c r="L46" i="7"/>
  <c r="M46" i="7"/>
  <c r="N46" i="7"/>
  <c r="O46" i="7"/>
  <c r="P46" i="7"/>
  <c r="Q46" i="7"/>
  <c r="R46" i="7"/>
  <c r="S46" i="7"/>
  <c r="T46" i="7"/>
  <c r="U46" i="7"/>
  <c r="V46" i="7"/>
  <c r="W46" i="7"/>
  <c r="X46" i="7"/>
  <c r="Y46" i="7"/>
  <c r="Z46" i="7"/>
  <c r="AA46" i="7"/>
  <c r="H47" i="12"/>
  <c r="B47" i="7" a="1"/>
  <c r="B47" i="7" s="1"/>
  <c r="B50" i="4" l="1" a="1"/>
  <c r="B50" i="4" s="1"/>
  <c r="C49" i="4"/>
  <c r="D49" i="4"/>
  <c r="E49" i="4"/>
  <c r="F49" i="4"/>
  <c r="G49" i="4"/>
  <c r="H49" i="4"/>
  <c r="I49" i="4"/>
  <c r="J49" i="4"/>
  <c r="K49" i="4"/>
  <c r="L49" i="4"/>
  <c r="M49" i="4"/>
  <c r="N49" i="4"/>
  <c r="O49" i="4"/>
  <c r="P49" i="4"/>
  <c r="Q49" i="4"/>
  <c r="R49" i="4"/>
  <c r="S49" i="4"/>
  <c r="T49" i="4"/>
  <c r="U49" i="4"/>
  <c r="V49" i="4"/>
  <c r="W49" i="4"/>
  <c r="X49" i="4"/>
  <c r="Y49" i="4"/>
  <c r="Z49" i="4"/>
  <c r="AA49" i="4"/>
  <c r="G50" i="12"/>
  <c r="C47" i="7"/>
  <c r="D47" i="7"/>
  <c r="E47" i="7"/>
  <c r="F47" i="7"/>
  <c r="G47" i="7"/>
  <c r="H47" i="7"/>
  <c r="I47" i="7"/>
  <c r="J47" i="7"/>
  <c r="K47" i="7"/>
  <c r="L47" i="7"/>
  <c r="M47" i="7"/>
  <c r="N47" i="7"/>
  <c r="O47" i="7"/>
  <c r="P47" i="7"/>
  <c r="Q47" i="7"/>
  <c r="R47" i="7"/>
  <c r="S47" i="7"/>
  <c r="T47" i="7"/>
  <c r="U47" i="7"/>
  <c r="V47" i="7"/>
  <c r="W47" i="7"/>
  <c r="X47" i="7"/>
  <c r="Y47" i="7"/>
  <c r="Z47" i="7"/>
  <c r="AA47" i="7"/>
  <c r="H48" i="12"/>
  <c r="B48" i="7" a="1"/>
  <c r="B48" i="7" s="1"/>
  <c r="C50" i="4" l="1"/>
  <c r="D50" i="4"/>
  <c r="E50" i="4"/>
  <c r="F50" i="4"/>
  <c r="G50" i="4"/>
  <c r="H50" i="4"/>
  <c r="I50" i="4"/>
  <c r="J50" i="4"/>
  <c r="K50" i="4"/>
  <c r="L50" i="4"/>
  <c r="M50" i="4"/>
  <c r="N50" i="4"/>
  <c r="O50" i="4"/>
  <c r="P50" i="4"/>
  <c r="Q50" i="4"/>
  <c r="R50" i="4"/>
  <c r="S50" i="4"/>
  <c r="T50" i="4"/>
  <c r="U50" i="4"/>
  <c r="V50" i="4"/>
  <c r="W50" i="4"/>
  <c r="X50" i="4"/>
  <c r="Y50" i="4"/>
  <c r="Z50" i="4"/>
  <c r="AA50" i="4"/>
  <c r="G51" i="12"/>
  <c r="B51" i="4" a="1"/>
  <c r="B51" i="4" s="1"/>
  <c r="C48" i="7"/>
  <c r="D48" i="7"/>
  <c r="E48" i="7"/>
  <c r="F48" i="7"/>
  <c r="G48" i="7"/>
  <c r="H48" i="7"/>
  <c r="I48" i="7"/>
  <c r="J48" i="7"/>
  <c r="K48" i="7"/>
  <c r="L48" i="7"/>
  <c r="M48" i="7"/>
  <c r="N48" i="7"/>
  <c r="O48" i="7"/>
  <c r="P48" i="7"/>
  <c r="Q48" i="7"/>
  <c r="R48" i="7"/>
  <c r="S48" i="7"/>
  <c r="T48" i="7"/>
  <c r="U48" i="7"/>
  <c r="V48" i="7"/>
  <c r="W48" i="7"/>
  <c r="X48" i="7"/>
  <c r="Y48" i="7"/>
  <c r="Z48" i="7"/>
  <c r="AA48" i="7"/>
  <c r="H49" i="12"/>
  <c r="B49" i="7" a="1"/>
  <c r="B49" i="7" s="1"/>
  <c r="C51" i="4" l="1"/>
  <c r="D51" i="4"/>
  <c r="E51" i="4"/>
  <c r="F51" i="4"/>
  <c r="G51" i="4"/>
  <c r="H51" i="4"/>
  <c r="I51" i="4"/>
  <c r="J51" i="4"/>
  <c r="K51" i="4"/>
  <c r="L51" i="4"/>
  <c r="M51" i="4"/>
  <c r="N51" i="4"/>
  <c r="O51" i="4"/>
  <c r="P51" i="4"/>
  <c r="Q51" i="4"/>
  <c r="R51" i="4"/>
  <c r="S51" i="4"/>
  <c r="T51" i="4"/>
  <c r="U51" i="4"/>
  <c r="V51" i="4"/>
  <c r="W51" i="4"/>
  <c r="X51" i="4"/>
  <c r="Y51" i="4"/>
  <c r="Z51" i="4"/>
  <c r="AA51" i="4"/>
  <c r="G52" i="12"/>
  <c r="B52" i="4" a="1"/>
  <c r="B52" i="4" s="1"/>
  <c r="C49" i="7"/>
  <c r="D49" i="7"/>
  <c r="E49" i="7"/>
  <c r="F49" i="7"/>
  <c r="G49" i="7"/>
  <c r="H49" i="7"/>
  <c r="I49" i="7"/>
  <c r="J49" i="7"/>
  <c r="K49" i="7"/>
  <c r="L49" i="7"/>
  <c r="M49" i="7"/>
  <c r="N49" i="7"/>
  <c r="O49" i="7"/>
  <c r="P49" i="7"/>
  <c r="Q49" i="7"/>
  <c r="R49" i="7"/>
  <c r="S49" i="7"/>
  <c r="T49" i="7"/>
  <c r="U49" i="7"/>
  <c r="V49" i="7"/>
  <c r="W49" i="7"/>
  <c r="X49" i="7"/>
  <c r="Y49" i="7"/>
  <c r="Z49" i="7"/>
  <c r="AA49" i="7"/>
  <c r="H50" i="12"/>
  <c r="B50" i="7" a="1"/>
  <c r="B50" i="7" s="1"/>
  <c r="B53" i="4" l="1" a="1"/>
  <c r="B53" i="4" s="1"/>
  <c r="C52" i="4"/>
  <c r="D52" i="4"/>
  <c r="E52" i="4"/>
  <c r="F52" i="4"/>
  <c r="G52" i="4"/>
  <c r="H52" i="4"/>
  <c r="I52" i="4"/>
  <c r="J52" i="4"/>
  <c r="K52" i="4"/>
  <c r="L52" i="4"/>
  <c r="M52" i="4"/>
  <c r="N52" i="4"/>
  <c r="O52" i="4"/>
  <c r="P52" i="4"/>
  <c r="Q52" i="4"/>
  <c r="R52" i="4"/>
  <c r="S52" i="4"/>
  <c r="T52" i="4"/>
  <c r="U52" i="4"/>
  <c r="V52" i="4"/>
  <c r="W52" i="4"/>
  <c r="X52" i="4"/>
  <c r="Y52" i="4"/>
  <c r="Z52" i="4"/>
  <c r="AA52" i="4"/>
  <c r="G53" i="12"/>
  <c r="C50" i="7"/>
  <c r="D50" i="7"/>
  <c r="E50" i="7"/>
  <c r="F50" i="7"/>
  <c r="G50" i="7"/>
  <c r="H50" i="7"/>
  <c r="I50" i="7"/>
  <c r="J50" i="7"/>
  <c r="K50" i="7"/>
  <c r="L50" i="7"/>
  <c r="M50" i="7"/>
  <c r="N50" i="7"/>
  <c r="O50" i="7"/>
  <c r="P50" i="7"/>
  <c r="Q50" i="7"/>
  <c r="R50" i="7"/>
  <c r="S50" i="7"/>
  <c r="T50" i="7"/>
  <c r="U50" i="7"/>
  <c r="V50" i="7"/>
  <c r="W50" i="7"/>
  <c r="X50" i="7"/>
  <c r="Y50" i="7"/>
  <c r="Z50" i="7"/>
  <c r="AA50" i="7"/>
  <c r="H51" i="12"/>
  <c r="B51" i="7" a="1"/>
  <c r="B51" i="7" s="1"/>
  <c r="C53" i="4" l="1"/>
  <c r="D53" i="4"/>
  <c r="E53" i="4"/>
  <c r="F53" i="4"/>
  <c r="G53" i="4"/>
  <c r="H53" i="4"/>
  <c r="I53" i="4"/>
  <c r="J53" i="4"/>
  <c r="K53" i="4"/>
  <c r="L53" i="4"/>
  <c r="M53" i="4"/>
  <c r="N53" i="4"/>
  <c r="O53" i="4"/>
  <c r="P53" i="4"/>
  <c r="Q53" i="4"/>
  <c r="R53" i="4"/>
  <c r="S53" i="4"/>
  <c r="T53" i="4"/>
  <c r="U53" i="4"/>
  <c r="V53" i="4"/>
  <c r="W53" i="4"/>
  <c r="X53" i="4"/>
  <c r="Y53" i="4"/>
  <c r="Z53" i="4"/>
  <c r="AA53" i="4"/>
  <c r="G54" i="12"/>
  <c r="B54" i="4" a="1"/>
  <c r="B54" i="4" s="1"/>
  <c r="C51" i="7"/>
  <c r="D51" i="7"/>
  <c r="E51" i="7"/>
  <c r="F51" i="7"/>
  <c r="G51" i="7"/>
  <c r="H51" i="7"/>
  <c r="I51" i="7"/>
  <c r="J51" i="7"/>
  <c r="K51" i="7"/>
  <c r="L51" i="7"/>
  <c r="M51" i="7"/>
  <c r="N51" i="7"/>
  <c r="O51" i="7"/>
  <c r="P51" i="7"/>
  <c r="Q51" i="7"/>
  <c r="R51" i="7"/>
  <c r="S51" i="7"/>
  <c r="T51" i="7"/>
  <c r="U51" i="7"/>
  <c r="V51" i="7"/>
  <c r="W51" i="7"/>
  <c r="X51" i="7"/>
  <c r="Y51" i="7"/>
  <c r="Z51" i="7"/>
  <c r="AA51" i="7"/>
  <c r="H52" i="12"/>
  <c r="B52" i="7" a="1"/>
  <c r="B52" i="7" s="1"/>
  <c r="C54" i="4" l="1"/>
  <c r="D54" i="4"/>
  <c r="E54" i="4"/>
  <c r="F54" i="4"/>
  <c r="G54" i="4"/>
  <c r="H54" i="4"/>
  <c r="I54" i="4"/>
  <c r="J54" i="4"/>
  <c r="K54" i="4"/>
  <c r="L54" i="4"/>
  <c r="M54" i="4"/>
  <c r="N54" i="4"/>
  <c r="O54" i="4"/>
  <c r="P54" i="4"/>
  <c r="Q54" i="4"/>
  <c r="R54" i="4"/>
  <c r="S54" i="4"/>
  <c r="T54" i="4"/>
  <c r="U54" i="4"/>
  <c r="V54" i="4"/>
  <c r="W54" i="4"/>
  <c r="X54" i="4"/>
  <c r="Y54" i="4"/>
  <c r="Z54" i="4"/>
  <c r="AA54" i="4"/>
  <c r="G55" i="12"/>
  <c r="B55" i="4" a="1"/>
  <c r="B55" i="4" s="1"/>
  <c r="B53" i="7" a="1"/>
  <c r="B53" i="7" s="1"/>
  <c r="C52" i="7"/>
  <c r="D52" i="7"/>
  <c r="E52" i="7"/>
  <c r="F52" i="7"/>
  <c r="G52" i="7"/>
  <c r="H52" i="7"/>
  <c r="I52" i="7"/>
  <c r="J52" i="7"/>
  <c r="K52" i="7"/>
  <c r="L52" i="7"/>
  <c r="M52" i="7"/>
  <c r="N52" i="7"/>
  <c r="O52" i="7"/>
  <c r="P52" i="7"/>
  <c r="Q52" i="7"/>
  <c r="R52" i="7"/>
  <c r="S52" i="7"/>
  <c r="T52" i="7"/>
  <c r="U52" i="7"/>
  <c r="V52" i="7"/>
  <c r="W52" i="7"/>
  <c r="X52" i="7"/>
  <c r="Y52" i="7"/>
  <c r="Z52" i="7"/>
  <c r="AA52" i="7"/>
  <c r="H53" i="12"/>
  <c r="B56" i="4" l="1" a="1"/>
  <c r="B56" i="4" s="1"/>
  <c r="C55" i="4"/>
  <c r="D55" i="4"/>
  <c r="E55" i="4"/>
  <c r="F55" i="4"/>
  <c r="G55" i="4"/>
  <c r="H55" i="4"/>
  <c r="I55" i="4"/>
  <c r="J55" i="4"/>
  <c r="K55" i="4"/>
  <c r="L55" i="4"/>
  <c r="M55" i="4"/>
  <c r="N55" i="4"/>
  <c r="O55" i="4"/>
  <c r="P55" i="4"/>
  <c r="Q55" i="4"/>
  <c r="R55" i="4"/>
  <c r="S55" i="4"/>
  <c r="T55" i="4"/>
  <c r="U55" i="4"/>
  <c r="V55" i="4"/>
  <c r="W55" i="4"/>
  <c r="X55" i="4"/>
  <c r="Y55" i="4"/>
  <c r="Z55" i="4"/>
  <c r="AA55" i="4"/>
  <c r="G56" i="12"/>
  <c r="C53" i="7"/>
  <c r="D53" i="7"/>
  <c r="E53" i="7"/>
  <c r="F53" i="7"/>
  <c r="G53" i="7"/>
  <c r="H53" i="7"/>
  <c r="I53" i="7"/>
  <c r="J53" i="7"/>
  <c r="K53" i="7"/>
  <c r="L53" i="7"/>
  <c r="M53" i="7"/>
  <c r="N53" i="7"/>
  <c r="O53" i="7"/>
  <c r="P53" i="7"/>
  <c r="Q53" i="7"/>
  <c r="R53" i="7"/>
  <c r="S53" i="7"/>
  <c r="T53" i="7"/>
  <c r="V53" i="7"/>
  <c r="U53" i="7"/>
  <c r="AA53" i="7"/>
  <c r="W53" i="7"/>
  <c r="X53" i="7"/>
  <c r="Y53" i="7"/>
  <c r="Z53" i="7"/>
  <c r="H54" i="12"/>
  <c r="B54" i="7" a="1"/>
  <c r="B54" i="7" s="1"/>
  <c r="C56" i="4" l="1"/>
  <c r="D56" i="4"/>
  <c r="E56" i="4"/>
  <c r="F56" i="4"/>
  <c r="G56" i="4"/>
  <c r="H56" i="4"/>
  <c r="I56" i="4"/>
  <c r="J56" i="4"/>
  <c r="K56" i="4"/>
  <c r="L56" i="4"/>
  <c r="M56" i="4"/>
  <c r="N56" i="4"/>
  <c r="O56" i="4"/>
  <c r="P56" i="4"/>
  <c r="Q56" i="4"/>
  <c r="R56" i="4"/>
  <c r="S56" i="4"/>
  <c r="T56" i="4"/>
  <c r="U56" i="4"/>
  <c r="V56" i="4"/>
  <c r="W56" i="4"/>
  <c r="X56" i="4"/>
  <c r="Y56" i="4"/>
  <c r="Z56" i="4"/>
  <c r="AA56" i="4"/>
  <c r="G57" i="12"/>
  <c r="B57" i="4" a="1"/>
  <c r="B57" i="4" s="1"/>
  <c r="C54" i="7"/>
  <c r="F54" i="7"/>
  <c r="I54" i="7"/>
  <c r="K54" i="7"/>
  <c r="M54" i="7"/>
  <c r="P54" i="7"/>
  <c r="R54" i="7"/>
  <c r="V54" i="7"/>
  <c r="X54" i="7"/>
  <c r="D54" i="7"/>
  <c r="E54" i="7"/>
  <c r="H54" i="7"/>
  <c r="L54" i="7"/>
  <c r="O54" i="7"/>
  <c r="S54" i="7"/>
  <c r="T54" i="7"/>
  <c r="U54" i="7"/>
  <c r="W54" i="7"/>
  <c r="Y54" i="7"/>
  <c r="Z54" i="7"/>
  <c r="H55" i="12"/>
  <c r="G54" i="7"/>
  <c r="J54" i="7"/>
  <c r="N54" i="7"/>
  <c r="Q54" i="7"/>
  <c r="AA54" i="7"/>
  <c r="B55" i="7" a="1"/>
  <c r="B55" i="7" s="1"/>
  <c r="C57" i="4" l="1"/>
  <c r="D57" i="4"/>
  <c r="E57" i="4"/>
  <c r="F57" i="4"/>
  <c r="G57" i="4"/>
  <c r="H57" i="4"/>
  <c r="I57" i="4"/>
  <c r="J57" i="4"/>
  <c r="K57" i="4"/>
  <c r="L57" i="4"/>
  <c r="M57" i="4"/>
  <c r="N57" i="4"/>
  <c r="O57" i="4"/>
  <c r="P57" i="4"/>
  <c r="Q57" i="4"/>
  <c r="R57" i="4"/>
  <c r="S57" i="4"/>
  <c r="T57" i="4"/>
  <c r="U57" i="4"/>
  <c r="V57" i="4"/>
  <c r="W57" i="4"/>
  <c r="X57" i="4"/>
  <c r="Y57" i="4"/>
  <c r="Z57" i="4"/>
  <c r="AA57" i="4"/>
  <c r="G58" i="12"/>
  <c r="B58" i="4" a="1"/>
  <c r="B58" i="4" s="1"/>
  <c r="C55" i="7"/>
  <c r="F55" i="7"/>
  <c r="I55" i="7"/>
  <c r="J55" i="7"/>
  <c r="L55" i="7"/>
  <c r="O55" i="7"/>
  <c r="Q55" i="7"/>
  <c r="S55" i="7"/>
  <c r="T55" i="7"/>
  <c r="Y55" i="7"/>
  <c r="H56" i="12"/>
  <c r="E55" i="7"/>
  <c r="H55" i="7"/>
  <c r="M55" i="7"/>
  <c r="P55" i="7"/>
  <c r="U55" i="7"/>
  <c r="AA55" i="7"/>
  <c r="D55" i="7"/>
  <c r="G55" i="7"/>
  <c r="K55" i="7"/>
  <c r="N55" i="7"/>
  <c r="R55" i="7"/>
  <c r="V55" i="7"/>
  <c r="W55" i="7"/>
  <c r="X55" i="7"/>
  <c r="Z55" i="7"/>
  <c r="B56" i="7" a="1"/>
  <c r="B56" i="7" s="1"/>
  <c r="C58" i="4" l="1"/>
  <c r="D58" i="4"/>
  <c r="E58" i="4"/>
  <c r="F58" i="4"/>
  <c r="G58" i="4"/>
  <c r="H58" i="4"/>
  <c r="I58" i="4"/>
  <c r="J58" i="4"/>
  <c r="K58" i="4"/>
  <c r="L58" i="4"/>
  <c r="M58" i="4"/>
  <c r="N58" i="4"/>
  <c r="O58" i="4"/>
  <c r="P58" i="4"/>
  <c r="Q58" i="4"/>
  <c r="R58" i="4"/>
  <c r="S58" i="4"/>
  <c r="T58" i="4"/>
  <c r="U58" i="4"/>
  <c r="V58" i="4"/>
  <c r="W58" i="4"/>
  <c r="X58" i="4"/>
  <c r="Y58" i="4"/>
  <c r="Z58" i="4"/>
  <c r="AA58" i="4"/>
  <c r="G59" i="12"/>
  <c r="B59" i="4" a="1"/>
  <c r="B59" i="4" s="1"/>
  <c r="B57" i="7" a="1"/>
  <c r="B57" i="7" s="1"/>
  <c r="H56" i="7"/>
  <c r="R56" i="7"/>
  <c r="E56" i="7"/>
  <c r="O56" i="7"/>
  <c r="Q56" i="7"/>
  <c r="V56" i="7"/>
  <c r="X56" i="7"/>
  <c r="Y56" i="7"/>
  <c r="AA56" i="7"/>
  <c r="C56" i="7"/>
  <c r="D56" i="7"/>
  <c r="F56" i="7"/>
  <c r="G56" i="7"/>
  <c r="I56" i="7"/>
  <c r="J56" i="7"/>
  <c r="K56" i="7"/>
  <c r="L56" i="7"/>
  <c r="M56" i="7"/>
  <c r="N56" i="7"/>
  <c r="P56" i="7"/>
  <c r="S56" i="7"/>
  <c r="T56" i="7"/>
  <c r="U56" i="7"/>
  <c r="W56" i="7"/>
  <c r="Z56" i="7"/>
  <c r="H57" i="12"/>
  <c r="C59" i="4" l="1"/>
  <c r="D59" i="4"/>
  <c r="E59" i="4"/>
  <c r="F59" i="4"/>
  <c r="G59" i="4"/>
  <c r="H59" i="4"/>
  <c r="I59" i="4"/>
  <c r="J59" i="4"/>
  <c r="K59" i="4"/>
  <c r="L59" i="4"/>
  <c r="M59" i="4"/>
  <c r="N59" i="4"/>
  <c r="O59" i="4"/>
  <c r="P59" i="4"/>
  <c r="Q59" i="4"/>
  <c r="R59" i="4"/>
  <c r="S59" i="4"/>
  <c r="T59" i="4"/>
  <c r="U59" i="4"/>
  <c r="V59" i="4"/>
  <c r="W59" i="4"/>
  <c r="X59" i="4"/>
  <c r="Y59" i="4"/>
  <c r="Z59" i="4"/>
  <c r="AA59" i="4"/>
  <c r="G60" i="12"/>
  <c r="B60" i="4" a="1"/>
  <c r="B60" i="4" s="1"/>
  <c r="B58" i="7" a="1"/>
  <c r="B58" i="7" s="1"/>
  <c r="D57" i="7"/>
  <c r="F57" i="7"/>
  <c r="G57" i="7"/>
  <c r="I57" i="7"/>
  <c r="L57" i="7"/>
  <c r="N57" i="7"/>
  <c r="O57" i="7"/>
  <c r="Q57" i="7"/>
  <c r="S57" i="7"/>
  <c r="Z57" i="7"/>
  <c r="C57" i="7"/>
  <c r="H57" i="7"/>
  <c r="K57" i="7"/>
  <c r="P57" i="7"/>
  <c r="T57" i="7"/>
  <c r="U57" i="7"/>
  <c r="V57" i="7"/>
  <c r="W57" i="7"/>
  <c r="Y57" i="7"/>
  <c r="AA57" i="7"/>
  <c r="H58" i="12"/>
  <c r="E57" i="7"/>
  <c r="J57" i="7"/>
  <c r="M57" i="7"/>
  <c r="R57" i="7"/>
  <c r="X57" i="7"/>
  <c r="C60" i="4" l="1"/>
  <c r="D60" i="4"/>
  <c r="E60" i="4"/>
  <c r="F60" i="4"/>
  <c r="G60" i="4"/>
  <c r="H60" i="4"/>
  <c r="I60" i="4"/>
  <c r="J60" i="4"/>
  <c r="K60" i="4"/>
  <c r="L60" i="4"/>
  <c r="M60" i="4"/>
  <c r="N60" i="4"/>
  <c r="O60" i="4"/>
  <c r="P60" i="4"/>
  <c r="Q60" i="4"/>
  <c r="R60" i="4"/>
  <c r="S60" i="4"/>
  <c r="T60" i="4"/>
  <c r="U60" i="4"/>
  <c r="V60" i="4"/>
  <c r="W60" i="4"/>
  <c r="X60" i="4"/>
  <c r="Y60" i="4"/>
  <c r="Z60" i="4"/>
  <c r="AA60" i="4"/>
  <c r="G61" i="12"/>
  <c r="B61" i="4" a="1"/>
  <c r="B61" i="4" s="1"/>
  <c r="B59" i="7" a="1"/>
  <c r="B59" i="7" s="1"/>
  <c r="G58" i="7"/>
  <c r="J58" i="7"/>
  <c r="O58" i="7"/>
  <c r="P58" i="7"/>
  <c r="R58" i="7"/>
  <c r="U58" i="7"/>
  <c r="W58" i="7"/>
  <c r="X58" i="7"/>
  <c r="Y58" i="7"/>
  <c r="Z58" i="7"/>
  <c r="C58" i="7"/>
  <c r="D58" i="7"/>
  <c r="E58" i="7"/>
  <c r="F58" i="7"/>
  <c r="H58" i="7"/>
  <c r="I58" i="7"/>
  <c r="K58" i="7"/>
  <c r="L58" i="7"/>
  <c r="M58" i="7"/>
  <c r="N58" i="7"/>
  <c r="Q58" i="7"/>
  <c r="S58" i="7"/>
  <c r="T58" i="7"/>
  <c r="V58" i="7"/>
  <c r="AA58" i="7"/>
  <c r="H59" i="12"/>
  <c r="C61" i="4" l="1"/>
  <c r="D61" i="4"/>
  <c r="E61" i="4"/>
  <c r="F61" i="4"/>
  <c r="G61" i="4"/>
  <c r="H61" i="4"/>
  <c r="I61" i="4"/>
  <c r="J61" i="4"/>
  <c r="K61" i="4"/>
  <c r="L61" i="4"/>
  <c r="M61" i="4"/>
  <c r="N61" i="4"/>
  <c r="O61" i="4"/>
  <c r="P61" i="4"/>
  <c r="Q61" i="4"/>
  <c r="R61" i="4"/>
  <c r="S61" i="4"/>
  <c r="T61" i="4"/>
  <c r="U61" i="4"/>
  <c r="V61" i="4"/>
  <c r="W61" i="4"/>
  <c r="X61" i="4"/>
  <c r="Y61" i="4"/>
  <c r="Z61" i="4"/>
  <c r="AA61" i="4"/>
  <c r="G62" i="12"/>
  <c r="B62" i="4" a="1"/>
  <c r="B62" i="4" s="1"/>
  <c r="E59" i="7"/>
  <c r="J59" i="7"/>
  <c r="K59" i="7"/>
  <c r="L59" i="7"/>
  <c r="N59" i="7"/>
  <c r="P59" i="7"/>
  <c r="S59" i="7"/>
  <c r="U59" i="7"/>
  <c r="X59" i="7"/>
  <c r="Z59" i="7"/>
  <c r="H60" i="12"/>
  <c r="O59" i="7"/>
  <c r="R59" i="7"/>
  <c r="T59" i="7"/>
  <c r="Y59" i="7"/>
  <c r="C59" i="7"/>
  <c r="D59" i="7"/>
  <c r="F59" i="7"/>
  <c r="G59" i="7"/>
  <c r="H59" i="7"/>
  <c r="I59" i="7"/>
  <c r="M59" i="7"/>
  <c r="Q59" i="7"/>
  <c r="V59" i="7"/>
  <c r="W59" i="7"/>
  <c r="AA59" i="7"/>
  <c r="B60" i="7" a="1"/>
  <c r="B60" i="7" s="1"/>
  <c r="C62" i="4" l="1"/>
  <c r="D62" i="4"/>
  <c r="E62" i="4"/>
  <c r="F62" i="4"/>
  <c r="G62" i="4"/>
  <c r="H62" i="4"/>
  <c r="I62" i="4"/>
  <c r="J62" i="4"/>
  <c r="K62" i="4"/>
  <c r="L62" i="4"/>
  <c r="M62" i="4"/>
  <c r="N62" i="4"/>
  <c r="O62" i="4"/>
  <c r="P62" i="4"/>
  <c r="Q62" i="4"/>
  <c r="R62" i="4"/>
  <c r="S62" i="4"/>
  <c r="T62" i="4"/>
  <c r="U62" i="4"/>
  <c r="V62" i="4"/>
  <c r="W62" i="4"/>
  <c r="X62" i="4"/>
  <c r="Y62" i="4"/>
  <c r="Z62" i="4"/>
  <c r="AA62" i="4"/>
  <c r="G63" i="12"/>
  <c r="B63" i="4" a="1"/>
  <c r="B63" i="4" s="1"/>
  <c r="B61" i="7" a="1"/>
  <c r="B61" i="7" s="1"/>
  <c r="G60" i="7"/>
  <c r="K60" i="7"/>
  <c r="N60" i="7"/>
  <c r="Q60" i="7"/>
  <c r="U60" i="7"/>
  <c r="V60" i="7"/>
  <c r="W60" i="7"/>
  <c r="X60" i="7"/>
  <c r="AA60" i="7"/>
  <c r="C60" i="7"/>
  <c r="E60" i="7"/>
  <c r="H60" i="7"/>
  <c r="J60" i="7"/>
  <c r="L60" i="7"/>
  <c r="O60" i="7"/>
  <c r="R60" i="7"/>
  <c r="T60" i="7"/>
  <c r="Y60" i="7"/>
  <c r="H61" i="12"/>
  <c r="D60" i="7"/>
  <c r="F60" i="7"/>
  <c r="I60" i="7"/>
  <c r="M60" i="7"/>
  <c r="P60" i="7"/>
  <c r="S60" i="7"/>
  <c r="Z60" i="7"/>
  <c r="B64" i="4" l="1" a="1"/>
  <c r="B64" i="4" s="1"/>
  <c r="C63" i="4"/>
  <c r="D63" i="4"/>
  <c r="E63" i="4"/>
  <c r="F63" i="4"/>
  <c r="G63" i="4"/>
  <c r="H63" i="4"/>
  <c r="I63" i="4"/>
  <c r="J63" i="4"/>
  <c r="K63" i="4"/>
  <c r="L63" i="4"/>
  <c r="M63" i="4"/>
  <c r="N63" i="4"/>
  <c r="O63" i="4"/>
  <c r="P63" i="4"/>
  <c r="Q63" i="4"/>
  <c r="R63" i="4"/>
  <c r="S63" i="4"/>
  <c r="T63" i="4"/>
  <c r="U63" i="4"/>
  <c r="V63" i="4"/>
  <c r="W63" i="4"/>
  <c r="X63" i="4"/>
  <c r="Y63" i="4"/>
  <c r="Z63" i="4"/>
  <c r="AA63" i="4"/>
  <c r="G64" i="12"/>
  <c r="E61" i="7"/>
  <c r="G61" i="7"/>
  <c r="J61" i="7"/>
  <c r="N61" i="7"/>
  <c r="P61" i="7"/>
  <c r="T61" i="7"/>
  <c r="U61" i="7"/>
  <c r="W61" i="7"/>
  <c r="X61" i="7"/>
  <c r="D61" i="7"/>
  <c r="F61" i="7"/>
  <c r="I61" i="7"/>
  <c r="L61" i="7"/>
  <c r="O61" i="7"/>
  <c r="Q61" i="7"/>
  <c r="S61" i="7"/>
  <c r="V61" i="7"/>
  <c r="Z61" i="7"/>
  <c r="AA61" i="7"/>
  <c r="H62" i="12"/>
  <c r="C61" i="7"/>
  <c r="H61" i="7"/>
  <c r="K61" i="7"/>
  <c r="M61" i="7"/>
  <c r="R61" i="7"/>
  <c r="Y61" i="7"/>
  <c r="B62" i="7" a="1"/>
  <c r="B62" i="7" s="1"/>
  <c r="C64" i="4" l="1"/>
  <c r="D64" i="4"/>
  <c r="E64" i="4"/>
  <c r="F64" i="4"/>
  <c r="G64" i="4"/>
  <c r="H64" i="4"/>
  <c r="I64" i="4"/>
  <c r="J64" i="4"/>
  <c r="K64" i="4"/>
  <c r="L64" i="4"/>
  <c r="M64" i="4"/>
  <c r="N64" i="4"/>
  <c r="O64" i="4"/>
  <c r="P64" i="4"/>
  <c r="Q64" i="4"/>
  <c r="R64" i="4"/>
  <c r="S64" i="4"/>
  <c r="T64" i="4"/>
  <c r="U64" i="4"/>
  <c r="V64" i="4"/>
  <c r="W64" i="4"/>
  <c r="X64" i="4"/>
  <c r="Y64" i="4"/>
  <c r="Z64" i="4"/>
  <c r="AA64" i="4"/>
  <c r="G65" i="12"/>
  <c r="B65" i="4" a="1"/>
  <c r="B65" i="4" s="1"/>
  <c r="E62" i="7"/>
  <c r="F62" i="7"/>
  <c r="G62" i="7"/>
  <c r="K62" i="7"/>
  <c r="O62" i="7"/>
  <c r="P62" i="7"/>
  <c r="S62" i="7"/>
  <c r="U62" i="7"/>
  <c r="V62" i="7"/>
  <c r="Z62" i="7"/>
  <c r="H63" i="12"/>
  <c r="C62" i="7"/>
  <c r="H62" i="7"/>
  <c r="L62" i="7"/>
  <c r="N62" i="7"/>
  <c r="Q62" i="7"/>
  <c r="W62" i="7"/>
  <c r="D62" i="7"/>
  <c r="I62" i="7"/>
  <c r="J62" i="7"/>
  <c r="M62" i="7"/>
  <c r="R62" i="7"/>
  <c r="T62" i="7"/>
  <c r="X62" i="7"/>
  <c r="Y62" i="7"/>
  <c r="AA62" i="7"/>
  <c r="B63" i="7" a="1"/>
  <c r="B63" i="7" s="1"/>
  <c r="C65" i="4" l="1"/>
  <c r="D65" i="4"/>
  <c r="E65" i="4"/>
  <c r="F65" i="4"/>
  <c r="G65" i="4"/>
  <c r="H65" i="4"/>
  <c r="I65" i="4"/>
  <c r="J65" i="4"/>
  <c r="K65" i="4"/>
  <c r="L65" i="4"/>
  <c r="M65" i="4"/>
  <c r="N65" i="4"/>
  <c r="O65" i="4"/>
  <c r="P65" i="4"/>
  <c r="Q65" i="4"/>
  <c r="R65" i="4"/>
  <c r="S65" i="4"/>
  <c r="T65" i="4"/>
  <c r="U65" i="4"/>
  <c r="V65" i="4"/>
  <c r="W65" i="4"/>
  <c r="X65" i="4"/>
  <c r="Y65" i="4"/>
  <c r="Z65" i="4"/>
  <c r="AA65" i="4"/>
  <c r="G66" i="12"/>
  <c r="B66" i="4" a="1"/>
  <c r="B66" i="4" s="1"/>
  <c r="B64" i="7" a="1"/>
  <c r="B64" i="7" s="1"/>
  <c r="D63" i="7"/>
  <c r="H63" i="7"/>
  <c r="K63" i="7"/>
  <c r="U63" i="7"/>
  <c r="C63" i="7"/>
  <c r="E63" i="7"/>
  <c r="F63" i="7"/>
  <c r="I63" i="7"/>
  <c r="L63" i="7"/>
  <c r="M63" i="7"/>
  <c r="Q63" i="7"/>
  <c r="S63" i="7"/>
  <c r="W63" i="7"/>
  <c r="G63" i="7"/>
  <c r="J63" i="7"/>
  <c r="N63" i="7"/>
  <c r="O63" i="7"/>
  <c r="P63" i="7"/>
  <c r="R63" i="7"/>
  <c r="T63" i="7"/>
  <c r="V63" i="7"/>
  <c r="X63" i="7"/>
  <c r="Y63" i="7"/>
  <c r="Z63" i="7"/>
  <c r="AA63" i="7"/>
  <c r="H64" i="12"/>
  <c r="B67" i="4" l="1" a="1"/>
  <c r="B67" i="4" s="1"/>
  <c r="C66" i="4"/>
  <c r="D66" i="4"/>
  <c r="E66" i="4"/>
  <c r="F66" i="4"/>
  <c r="G66" i="4"/>
  <c r="H66" i="4"/>
  <c r="I66" i="4"/>
  <c r="J66" i="4"/>
  <c r="K66" i="4"/>
  <c r="L66" i="4"/>
  <c r="M66" i="4"/>
  <c r="N66" i="4"/>
  <c r="O66" i="4"/>
  <c r="P66" i="4"/>
  <c r="Q66" i="4"/>
  <c r="R66" i="4"/>
  <c r="S66" i="4"/>
  <c r="T66" i="4"/>
  <c r="U66" i="4"/>
  <c r="V66" i="4"/>
  <c r="W66" i="4"/>
  <c r="X66" i="4"/>
  <c r="Y66" i="4"/>
  <c r="Z66" i="4"/>
  <c r="AA66" i="4"/>
  <c r="G67" i="12"/>
  <c r="B65" i="7" a="1"/>
  <c r="B65" i="7" s="1"/>
  <c r="C64" i="7"/>
  <c r="H64" i="7"/>
  <c r="J64" i="7"/>
  <c r="K64" i="7"/>
  <c r="M64" i="7"/>
  <c r="N64" i="7"/>
  <c r="P64" i="7"/>
  <c r="R64" i="7"/>
  <c r="T64" i="7"/>
  <c r="U64" i="7"/>
  <c r="V64" i="7"/>
  <c r="W64" i="7"/>
  <c r="Y64" i="7"/>
  <c r="AA64" i="7"/>
  <c r="H65" i="12"/>
  <c r="E64" i="7"/>
  <c r="I64" i="7"/>
  <c r="O64" i="7"/>
  <c r="Q64" i="7"/>
  <c r="X64" i="7"/>
  <c r="D64" i="7"/>
  <c r="F64" i="7"/>
  <c r="G64" i="7"/>
  <c r="L64" i="7"/>
  <c r="S64" i="7"/>
  <c r="Z64" i="7"/>
  <c r="C67" i="4" l="1"/>
  <c r="D67" i="4"/>
  <c r="E67" i="4"/>
  <c r="F67" i="4"/>
  <c r="G67" i="4"/>
  <c r="H67" i="4"/>
  <c r="I67" i="4"/>
  <c r="J67" i="4"/>
  <c r="K67" i="4"/>
  <c r="L67" i="4"/>
  <c r="M67" i="4"/>
  <c r="N67" i="4"/>
  <c r="O67" i="4"/>
  <c r="P67" i="4"/>
  <c r="Q67" i="4"/>
  <c r="R67" i="4"/>
  <c r="S67" i="4"/>
  <c r="T67" i="4"/>
  <c r="U67" i="4"/>
  <c r="V67" i="4"/>
  <c r="W67" i="4"/>
  <c r="X67" i="4"/>
  <c r="Y67" i="4"/>
  <c r="Z67" i="4"/>
  <c r="AA67" i="4"/>
  <c r="G68" i="12"/>
  <c r="B68" i="4" a="1"/>
  <c r="B68" i="4" s="1"/>
  <c r="B66" i="7" a="1"/>
  <c r="B66" i="7" s="1"/>
  <c r="C65" i="7"/>
  <c r="G65" i="7"/>
  <c r="J65" i="7"/>
  <c r="K65" i="7"/>
  <c r="O65" i="7"/>
  <c r="P65" i="7"/>
  <c r="Q65" i="7"/>
  <c r="S65" i="7"/>
  <c r="U65" i="7"/>
  <c r="Z65" i="7"/>
  <c r="H66" i="12"/>
  <c r="F65" i="7"/>
  <c r="I65" i="7"/>
  <c r="L65" i="7"/>
  <c r="T65" i="7"/>
  <c r="D65" i="7"/>
  <c r="E65" i="7"/>
  <c r="H65" i="7"/>
  <c r="M65" i="7"/>
  <c r="N65" i="7"/>
  <c r="R65" i="7"/>
  <c r="V65" i="7"/>
  <c r="W65" i="7"/>
  <c r="X65" i="7"/>
  <c r="Y65" i="7"/>
  <c r="AA65" i="7"/>
  <c r="C68" i="4" l="1"/>
  <c r="D68" i="4"/>
  <c r="E68" i="4"/>
  <c r="F68" i="4"/>
  <c r="G68" i="4"/>
  <c r="H68" i="4"/>
  <c r="I68" i="4"/>
  <c r="J68" i="4"/>
  <c r="K68" i="4"/>
  <c r="L68" i="4"/>
  <c r="M68" i="4"/>
  <c r="N68" i="4"/>
  <c r="O68" i="4"/>
  <c r="P68" i="4"/>
  <c r="Q68" i="4"/>
  <c r="R68" i="4"/>
  <c r="S68" i="4"/>
  <c r="T68" i="4"/>
  <c r="U68" i="4"/>
  <c r="V68" i="4"/>
  <c r="W68" i="4"/>
  <c r="X68" i="4"/>
  <c r="Y68" i="4"/>
  <c r="Z68" i="4"/>
  <c r="AA68" i="4"/>
  <c r="G69" i="12"/>
  <c r="B69" i="4" a="1"/>
  <c r="B69" i="4" s="1"/>
  <c r="C66" i="7"/>
  <c r="D66" i="7"/>
  <c r="F66" i="7"/>
  <c r="I66" i="7"/>
  <c r="J66" i="7"/>
  <c r="M66" i="7"/>
  <c r="O66" i="7"/>
  <c r="Q66" i="7"/>
  <c r="E66" i="7"/>
  <c r="G66" i="7"/>
  <c r="H66" i="7"/>
  <c r="L66" i="7"/>
  <c r="N66" i="7"/>
  <c r="P66" i="7"/>
  <c r="S66" i="7"/>
  <c r="T66" i="7"/>
  <c r="U66" i="7"/>
  <c r="V66" i="7"/>
  <c r="W66" i="7"/>
  <c r="X66" i="7"/>
  <c r="Y66" i="7"/>
  <c r="Z66" i="7"/>
  <c r="AA66" i="7"/>
  <c r="H67" i="12"/>
  <c r="K66" i="7"/>
  <c r="R66" i="7"/>
  <c r="B67" i="7" a="1"/>
  <c r="B67" i="7" s="1"/>
  <c r="C69" i="4" l="1"/>
  <c r="D69" i="4"/>
  <c r="E69" i="4"/>
  <c r="F69" i="4"/>
  <c r="G69" i="4"/>
  <c r="H69" i="4"/>
  <c r="I69" i="4"/>
  <c r="J69" i="4"/>
  <c r="K69" i="4"/>
  <c r="L69" i="4"/>
  <c r="M69" i="4"/>
  <c r="N69" i="4"/>
  <c r="O69" i="4"/>
  <c r="P69" i="4"/>
  <c r="Q69" i="4"/>
  <c r="R69" i="4"/>
  <c r="S69" i="4"/>
  <c r="T69" i="4"/>
  <c r="U69" i="4"/>
  <c r="V69" i="4"/>
  <c r="W69" i="4"/>
  <c r="X69" i="4"/>
  <c r="Y69" i="4"/>
  <c r="Z69" i="4"/>
  <c r="AA69" i="4"/>
  <c r="G70" i="12"/>
  <c r="B70" i="4" a="1"/>
  <c r="B70" i="4" s="1"/>
  <c r="D67" i="7"/>
  <c r="F67" i="7"/>
  <c r="L67" i="7"/>
  <c r="O67" i="7"/>
  <c r="Q67" i="7"/>
  <c r="T67" i="7"/>
  <c r="AA67" i="7"/>
  <c r="C67" i="7"/>
  <c r="E67" i="7"/>
  <c r="H67" i="7"/>
  <c r="I67" i="7"/>
  <c r="J67" i="7"/>
  <c r="K67" i="7"/>
  <c r="N67" i="7"/>
  <c r="R67" i="7"/>
  <c r="U67" i="7"/>
  <c r="V67" i="7"/>
  <c r="W67" i="7"/>
  <c r="X67" i="7"/>
  <c r="Y67" i="7"/>
  <c r="H68" i="12"/>
  <c r="G67" i="7"/>
  <c r="M67" i="7"/>
  <c r="P67" i="7"/>
  <c r="S67" i="7"/>
  <c r="Z67" i="7"/>
  <c r="B68" i="7" a="1"/>
  <c r="B68" i="7" s="1"/>
  <c r="C70" i="4" l="1"/>
  <c r="D70" i="4"/>
  <c r="E70" i="4"/>
  <c r="F70" i="4"/>
  <c r="G70" i="4"/>
  <c r="H70" i="4"/>
  <c r="I70" i="4"/>
  <c r="J70" i="4"/>
  <c r="K70" i="4"/>
  <c r="L70" i="4"/>
  <c r="M70" i="4"/>
  <c r="N70" i="4"/>
  <c r="O70" i="4"/>
  <c r="P70" i="4"/>
  <c r="Q70" i="4"/>
  <c r="R70" i="4"/>
  <c r="S70" i="4"/>
  <c r="T70" i="4"/>
  <c r="U70" i="4"/>
  <c r="V70" i="4"/>
  <c r="W70" i="4"/>
  <c r="X70" i="4"/>
  <c r="Y70" i="4"/>
  <c r="Z70" i="4"/>
  <c r="AA70" i="4"/>
  <c r="G71" i="12"/>
  <c r="B71" i="4" a="1"/>
  <c r="B71" i="4" s="1"/>
  <c r="B69" i="7" a="1"/>
  <c r="B69" i="7" s="1"/>
  <c r="C68" i="7"/>
  <c r="G68" i="7"/>
  <c r="I68" i="7"/>
  <c r="L68" i="7"/>
  <c r="N68" i="7"/>
  <c r="P68" i="7"/>
  <c r="R68" i="7"/>
  <c r="V68" i="7"/>
  <c r="Z68" i="7"/>
  <c r="E68" i="7"/>
  <c r="F68" i="7"/>
  <c r="J68" i="7"/>
  <c r="O68" i="7"/>
  <c r="S68" i="7"/>
  <c r="T68" i="7"/>
  <c r="U68" i="7"/>
  <c r="W68" i="7"/>
  <c r="X68" i="7"/>
  <c r="Y68" i="7"/>
  <c r="AA68" i="7"/>
  <c r="H69" i="12"/>
  <c r="D68" i="7"/>
  <c r="H68" i="7"/>
  <c r="K68" i="7"/>
  <c r="M68" i="7"/>
  <c r="Q68" i="7"/>
  <c r="B72" i="4" l="1" a="1"/>
  <c r="B72" i="4" s="1"/>
  <c r="C71" i="4"/>
  <c r="D71" i="4"/>
  <c r="E71" i="4"/>
  <c r="F71" i="4"/>
  <c r="G71" i="4"/>
  <c r="H71" i="4"/>
  <c r="I71" i="4"/>
  <c r="J71" i="4"/>
  <c r="K71" i="4"/>
  <c r="L71" i="4"/>
  <c r="M71" i="4"/>
  <c r="N71" i="4"/>
  <c r="O71" i="4"/>
  <c r="P71" i="4"/>
  <c r="Q71" i="4"/>
  <c r="R71" i="4"/>
  <c r="S71" i="4"/>
  <c r="T71" i="4"/>
  <c r="U71" i="4"/>
  <c r="V71" i="4"/>
  <c r="W71" i="4"/>
  <c r="X71" i="4"/>
  <c r="Y71" i="4"/>
  <c r="Z71" i="4"/>
  <c r="AA71" i="4"/>
  <c r="G72" i="12"/>
  <c r="C69" i="7"/>
  <c r="F69" i="7"/>
  <c r="I69" i="7"/>
  <c r="L69" i="7"/>
  <c r="Q69" i="7"/>
  <c r="T69" i="7"/>
  <c r="U69" i="7"/>
  <c r="W69" i="7"/>
  <c r="X69" i="7"/>
  <c r="Y69" i="7"/>
  <c r="Z69" i="7"/>
  <c r="AA69" i="7"/>
  <c r="H70" i="12"/>
  <c r="G69" i="7"/>
  <c r="K69" i="7"/>
  <c r="N69" i="7"/>
  <c r="R69" i="7"/>
  <c r="D69" i="7"/>
  <c r="E69" i="7"/>
  <c r="H69" i="7"/>
  <c r="J69" i="7"/>
  <c r="M69" i="7"/>
  <c r="O69" i="7"/>
  <c r="P69" i="7"/>
  <c r="S69" i="7"/>
  <c r="V69" i="7"/>
  <c r="B70" i="7" a="1"/>
  <c r="B70" i="7" s="1"/>
  <c r="C72" i="4" l="1"/>
  <c r="D72" i="4"/>
  <c r="E72" i="4"/>
  <c r="F72" i="4"/>
  <c r="G72" i="4"/>
  <c r="H72" i="4"/>
  <c r="I72" i="4"/>
  <c r="J72" i="4"/>
  <c r="K72" i="4"/>
  <c r="L72" i="4"/>
  <c r="M72" i="4"/>
  <c r="N72" i="4"/>
  <c r="O72" i="4"/>
  <c r="P72" i="4"/>
  <c r="Q72" i="4"/>
  <c r="R72" i="4"/>
  <c r="S72" i="4"/>
  <c r="T72" i="4"/>
  <c r="U72" i="4"/>
  <c r="V72" i="4"/>
  <c r="W72" i="4"/>
  <c r="X72" i="4"/>
  <c r="Y72" i="4"/>
  <c r="Z72" i="4"/>
  <c r="AA72" i="4"/>
  <c r="G73" i="12"/>
  <c r="B73" i="4" a="1"/>
  <c r="B73" i="4" s="1"/>
  <c r="D70" i="7"/>
  <c r="G70" i="7"/>
  <c r="P70" i="7"/>
  <c r="S70" i="7"/>
  <c r="Z70" i="7"/>
  <c r="E70" i="7"/>
  <c r="J70" i="7"/>
  <c r="N70" i="7"/>
  <c r="O70" i="7"/>
  <c r="Q70" i="7"/>
  <c r="U70" i="7"/>
  <c r="V70" i="7"/>
  <c r="Y70" i="7"/>
  <c r="C70" i="7"/>
  <c r="F70" i="7"/>
  <c r="H70" i="7"/>
  <c r="I70" i="7"/>
  <c r="K70" i="7"/>
  <c r="L70" i="7"/>
  <c r="M70" i="7"/>
  <c r="R70" i="7"/>
  <c r="T70" i="7"/>
  <c r="W70" i="7"/>
  <c r="X70" i="7"/>
  <c r="AA70" i="7"/>
  <c r="H71" i="12"/>
  <c r="B71" i="7" a="1"/>
  <c r="B71" i="7" s="1"/>
  <c r="C73" i="4" l="1"/>
  <c r="D73" i="4"/>
  <c r="E73" i="4"/>
  <c r="F73" i="4"/>
  <c r="G73" i="4"/>
  <c r="H73" i="4"/>
  <c r="I73" i="4"/>
  <c r="J73" i="4"/>
  <c r="K73" i="4"/>
  <c r="L73" i="4"/>
  <c r="M73" i="4"/>
  <c r="N73" i="4"/>
  <c r="O73" i="4"/>
  <c r="P73" i="4"/>
  <c r="Q73" i="4"/>
  <c r="R73" i="4"/>
  <c r="S73" i="4"/>
  <c r="T73" i="4"/>
  <c r="U73" i="4"/>
  <c r="V73" i="4"/>
  <c r="W73" i="4"/>
  <c r="X73" i="4"/>
  <c r="Y73" i="4"/>
  <c r="Z73" i="4"/>
  <c r="AA73" i="4"/>
  <c r="G74" i="12"/>
  <c r="B74" i="4" a="1"/>
  <c r="B74" i="4" s="1"/>
  <c r="B72" i="7" a="1"/>
  <c r="B72" i="7" s="1"/>
  <c r="F71" i="7"/>
  <c r="K71" i="7"/>
  <c r="O71" i="7"/>
  <c r="Q71" i="7"/>
  <c r="T71" i="7"/>
  <c r="W71" i="7"/>
  <c r="X71" i="7"/>
  <c r="Z71" i="7"/>
  <c r="H72" i="12"/>
  <c r="E71" i="7"/>
  <c r="H71" i="7"/>
  <c r="J71" i="7"/>
  <c r="M71" i="7"/>
  <c r="P71" i="7"/>
  <c r="R71" i="7"/>
  <c r="AA71" i="7"/>
  <c r="C71" i="7"/>
  <c r="D71" i="7"/>
  <c r="G71" i="7"/>
  <c r="I71" i="7"/>
  <c r="L71" i="7"/>
  <c r="N71" i="7"/>
  <c r="S71" i="7"/>
  <c r="U71" i="7"/>
  <c r="V71" i="7"/>
  <c r="Y71" i="7"/>
  <c r="C74" i="4" l="1"/>
  <c r="D74" i="4"/>
  <c r="E74" i="4"/>
  <c r="F74" i="4"/>
  <c r="G74" i="4"/>
  <c r="H74" i="4"/>
  <c r="I74" i="4"/>
  <c r="J74" i="4"/>
  <c r="K74" i="4"/>
  <c r="L74" i="4"/>
  <c r="M74" i="4"/>
  <c r="N74" i="4"/>
  <c r="O74" i="4"/>
  <c r="P74" i="4"/>
  <c r="Q74" i="4"/>
  <c r="R74" i="4"/>
  <c r="S74" i="4"/>
  <c r="T74" i="4"/>
  <c r="U74" i="4"/>
  <c r="V74" i="4"/>
  <c r="W74" i="4"/>
  <c r="X74" i="4"/>
  <c r="Y74" i="4"/>
  <c r="Z74" i="4"/>
  <c r="AA74" i="4"/>
  <c r="G75" i="12"/>
  <c r="B75" i="4" a="1"/>
  <c r="B75" i="4" s="1"/>
  <c r="C72" i="7"/>
  <c r="H72" i="7"/>
  <c r="M72" i="7"/>
  <c r="S72" i="7"/>
  <c r="U72" i="7"/>
  <c r="AA72" i="7"/>
  <c r="E72" i="7"/>
  <c r="I72" i="7"/>
  <c r="J72" i="7"/>
  <c r="L72" i="7"/>
  <c r="N72" i="7"/>
  <c r="P72" i="7"/>
  <c r="Q72" i="7"/>
  <c r="T72" i="7"/>
  <c r="Y72" i="7"/>
  <c r="D72" i="7"/>
  <c r="F72" i="7"/>
  <c r="G72" i="7"/>
  <c r="K72" i="7"/>
  <c r="O72" i="7"/>
  <c r="R72" i="7"/>
  <c r="V72" i="7"/>
  <c r="W72" i="7"/>
  <c r="X72" i="7"/>
  <c r="Z72" i="7"/>
  <c r="H73" i="12"/>
  <c r="B73" i="7" a="1"/>
  <c r="B73" i="7" s="1"/>
  <c r="C75" i="4" l="1"/>
  <c r="D75" i="4"/>
  <c r="E75" i="4"/>
  <c r="F75" i="4"/>
  <c r="G75" i="4"/>
  <c r="H75" i="4"/>
  <c r="I75" i="4"/>
  <c r="J75" i="4"/>
  <c r="K75" i="4"/>
  <c r="L75" i="4"/>
  <c r="M75" i="4"/>
  <c r="N75" i="4"/>
  <c r="O75" i="4"/>
  <c r="P75" i="4"/>
  <c r="Q75" i="4"/>
  <c r="R75" i="4"/>
  <c r="S75" i="4"/>
  <c r="T75" i="4"/>
  <c r="U75" i="4"/>
  <c r="V75" i="4"/>
  <c r="W75" i="4"/>
  <c r="X75" i="4"/>
  <c r="Y75" i="4"/>
  <c r="Z75" i="4"/>
  <c r="AA75" i="4"/>
  <c r="G76" i="12"/>
  <c r="B76" i="4" a="1"/>
  <c r="B76" i="4" s="1"/>
  <c r="B74" i="7" a="1"/>
  <c r="B74" i="7" s="1"/>
  <c r="E73" i="7"/>
  <c r="H73" i="7"/>
  <c r="L73" i="7"/>
  <c r="P73" i="7"/>
  <c r="S73" i="7"/>
  <c r="Z73" i="7"/>
  <c r="C73" i="7"/>
  <c r="F73" i="7"/>
  <c r="I73" i="7"/>
  <c r="M73" i="7"/>
  <c r="O73" i="7"/>
  <c r="R73" i="7"/>
  <c r="T73" i="7"/>
  <c r="U73" i="7"/>
  <c r="V73" i="7"/>
  <c r="W73" i="7"/>
  <c r="Y73" i="7"/>
  <c r="D73" i="7"/>
  <c r="G73" i="7"/>
  <c r="J73" i="7"/>
  <c r="K73" i="7"/>
  <c r="N73" i="7"/>
  <c r="Q73" i="7"/>
  <c r="X73" i="7"/>
  <c r="AA73" i="7"/>
  <c r="H74" i="12"/>
  <c r="C76" i="4" l="1"/>
  <c r="D76" i="4"/>
  <c r="E76" i="4"/>
  <c r="F76" i="4"/>
  <c r="G76" i="4"/>
  <c r="H76" i="4"/>
  <c r="I76" i="4"/>
  <c r="J76" i="4"/>
  <c r="K76" i="4"/>
  <c r="L76" i="4"/>
  <c r="M76" i="4"/>
  <c r="N76" i="4"/>
  <c r="O76" i="4"/>
  <c r="P76" i="4"/>
  <c r="Q76" i="4"/>
  <c r="R76" i="4"/>
  <c r="S76" i="4"/>
  <c r="T76" i="4"/>
  <c r="U76" i="4"/>
  <c r="V76" i="4"/>
  <c r="W76" i="4"/>
  <c r="X76" i="4"/>
  <c r="Y76" i="4"/>
  <c r="Z76" i="4"/>
  <c r="AA76" i="4"/>
  <c r="G77" i="12"/>
  <c r="B77" i="4" a="1"/>
  <c r="B77" i="4" s="1"/>
  <c r="B75" i="7" a="1"/>
  <c r="B75" i="7" s="1"/>
  <c r="D74" i="7"/>
  <c r="H74" i="7"/>
  <c r="K74" i="7"/>
  <c r="M74" i="7"/>
  <c r="P74" i="7"/>
  <c r="R74" i="7"/>
  <c r="U74" i="7"/>
  <c r="V74" i="7"/>
  <c r="W74" i="7"/>
  <c r="X74" i="7"/>
  <c r="AA74" i="7"/>
  <c r="H75" i="12"/>
  <c r="C74" i="7"/>
  <c r="E74" i="7"/>
  <c r="G74" i="7"/>
  <c r="J74" i="7"/>
  <c r="L74" i="7"/>
  <c r="Q74" i="7"/>
  <c r="S74" i="7"/>
  <c r="Z74" i="7"/>
  <c r="F74" i="7"/>
  <c r="I74" i="7"/>
  <c r="N74" i="7"/>
  <c r="O74" i="7"/>
  <c r="T74" i="7"/>
  <c r="Y74" i="7"/>
  <c r="C77" i="4" l="1"/>
  <c r="D77" i="4"/>
  <c r="E77" i="4"/>
  <c r="F77" i="4"/>
  <c r="G77" i="4"/>
  <c r="H77" i="4"/>
  <c r="I77" i="4"/>
  <c r="J77" i="4"/>
  <c r="K77" i="4"/>
  <c r="L77" i="4"/>
  <c r="M77" i="4"/>
  <c r="N77" i="4"/>
  <c r="O77" i="4"/>
  <c r="P77" i="4"/>
  <c r="Q77" i="4"/>
  <c r="R77" i="4"/>
  <c r="S77" i="4"/>
  <c r="T77" i="4"/>
  <c r="U77" i="4"/>
  <c r="V77" i="4"/>
  <c r="W77" i="4"/>
  <c r="X77" i="4"/>
  <c r="Y77" i="4"/>
  <c r="Z77" i="4"/>
  <c r="AA77" i="4"/>
  <c r="G78" i="12"/>
  <c r="B78" i="4" a="1"/>
  <c r="B78" i="4" s="1"/>
  <c r="B76" i="7" a="1"/>
  <c r="B76" i="7" s="1"/>
  <c r="E75" i="7"/>
  <c r="H75" i="7"/>
  <c r="L75" i="7"/>
  <c r="O75" i="7"/>
  <c r="Q75" i="7"/>
  <c r="T75" i="7"/>
  <c r="V75" i="7"/>
  <c r="AA75" i="7"/>
  <c r="C75" i="7"/>
  <c r="D75" i="7"/>
  <c r="G75" i="7"/>
  <c r="J75" i="7"/>
  <c r="K75" i="7"/>
  <c r="M75" i="7"/>
  <c r="P75" i="7"/>
  <c r="S75" i="7"/>
  <c r="W75" i="7"/>
  <c r="X75" i="7"/>
  <c r="Z75" i="7"/>
  <c r="F75" i="7"/>
  <c r="I75" i="7"/>
  <c r="N75" i="7"/>
  <c r="R75" i="7"/>
  <c r="U75" i="7"/>
  <c r="Y75" i="7"/>
  <c r="H76" i="12"/>
  <c r="C78" i="4" l="1"/>
  <c r="D78" i="4"/>
  <c r="E78" i="4"/>
  <c r="F78" i="4"/>
  <c r="G78" i="4"/>
  <c r="H78" i="4"/>
  <c r="I78" i="4"/>
  <c r="J78" i="4"/>
  <c r="K78" i="4"/>
  <c r="L78" i="4"/>
  <c r="M78" i="4"/>
  <c r="N78" i="4"/>
  <c r="O78" i="4"/>
  <c r="P78" i="4"/>
  <c r="Q78" i="4"/>
  <c r="R78" i="4"/>
  <c r="S78" i="4"/>
  <c r="T78" i="4"/>
  <c r="U78" i="4"/>
  <c r="V78" i="4"/>
  <c r="W78" i="4"/>
  <c r="X78" i="4"/>
  <c r="Y78" i="4"/>
  <c r="Z78" i="4"/>
  <c r="AA78" i="4"/>
  <c r="G79" i="12"/>
  <c r="B79" i="4" a="1"/>
  <c r="B79" i="4" s="1"/>
  <c r="C76" i="7"/>
  <c r="E76" i="7"/>
  <c r="I76" i="7"/>
  <c r="L76" i="7"/>
  <c r="N76" i="7"/>
  <c r="Q76" i="7"/>
  <c r="T76" i="7"/>
  <c r="F76" i="7"/>
  <c r="J76" i="7"/>
  <c r="M76" i="7"/>
  <c r="P76" i="7"/>
  <c r="R76" i="7"/>
  <c r="X76" i="7"/>
  <c r="Y76" i="7"/>
  <c r="D76" i="7"/>
  <c r="G76" i="7"/>
  <c r="H76" i="7"/>
  <c r="K76" i="7"/>
  <c r="O76" i="7"/>
  <c r="S76" i="7"/>
  <c r="U76" i="7"/>
  <c r="V76" i="7"/>
  <c r="W76" i="7"/>
  <c r="Z76" i="7"/>
  <c r="AA76" i="7"/>
  <c r="H77" i="12"/>
  <c r="B77" i="7" a="1"/>
  <c r="B77" i="7" s="1"/>
  <c r="B80" i="4" l="1" a="1"/>
  <c r="B80" i="4" s="1"/>
  <c r="C79" i="4"/>
  <c r="D79" i="4"/>
  <c r="E79" i="4"/>
  <c r="F79" i="4"/>
  <c r="G79" i="4"/>
  <c r="H79" i="4"/>
  <c r="I79" i="4"/>
  <c r="J79" i="4"/>
  <c r="K79" i="4"/>
  <c r="L79" i="4"/>
  <c r="M79" i="4"/>
  <c r="N79" i="4"/>
  <c r="O79" i="4"/>
  <c r="P79" i="4"/>
  <c r="Q79" i="4"/>
  <c r="R79" i="4"/>
  <c r="S79" i="4"/>
  <c r="T79" i="4"/>
  <c r="U79" i="4"/>
  <c r="V79" i="4"/>
  <c r="W79" i="4"/>
  <c r="X79" i="4"/>
  <c r="Y79" i="4"/>
  <c r="Z79" i="4"/>
  <c r="AA79" i="4"/>
  <c r="G80" i="12"/>
  <c r="E77" i="7"/>
  <c r="F77" i="7"/>
  <c r="G77" i="7"/>
  <c r="J77" i="7"/>
  <c r="P77" i="7"/>
  <c r="S77" i="7"/>
  <c r="T77" i="7"/>
  <c r="U77" i="7"/>
  <c r="V77" i="7"/>
  <c r="Z77" i="7"/>
  <c r="AA77" i="7"/>
  <c r="H78" i="12"/>
  <c r="I77" i="7"/>
  <c r="L77" i="7"/>
  <c r="R77" i="7"/>
  <c r="X77" i="7"/>
  <c r="C77" i="7"/>
  <c r="D77" i="7"/>
  <c r="H77" i="7"/>
  <c r="K77" i="7"/>
  <c r="M77" i="7"/>
  <c r="N77" i="7"/>
  <c r="O77" i="7"/>
  <c r="Q77" i="7"/>
  <c r="W77" i="7"/>
  <c r="Y77" i="7"/>
  <c r="B78" i="7" a="1"/>
  <c r="B78" i="7" s="1"/>
  <c r="C80" i="4" l="1"/>
  <c r="D80" i="4"/>
  <c r="E80" i="4"/>
  <c r="F80" i="4"/>
  <c r="G80" i="4"/>
  <c r="H80" i="4"/>
  <c r="I80" i="4"/>
  <c r="J80" i="4"/>
  <c r="K80" i="4"/>
  <c r="L80" i="4"/>
  <c r="M80" i="4"/>
  <c r="N80" i="4"/>
  <c r="O80" i="4"/>
  <c r="P80" i="4"/>
  <c r="Q80" i="4"/>
  <c r="R80" i="4"/>
  <c r="S80" i="4"/>
  <c r="T80" i="4"/>
  <c r="U80" i="4"/>
  <c r="V80" i="4"/>
  <c r="W80" i="4"/>
  <c r="X80" i="4"/>
  <c r="Y80" i="4"/>
  <c r="Z80" i="4"/>
  <c r="AA80" i="4"/>
  <c r="G81" i="12"/>
  <c r="B81" i="4" a="1"/>
  <c r="B81" i="4" s="1"/>
  <c r="D78" i="7"/>
  <c r="H78" i="7"/>
  <c r="J78" i="7"/>
  <c r="M78" i="7"/>
  <c r="R78" i="7"/>
  <c r="Y78" i="7"/>
  <c r="H79" i="12"/>
  <c r="C78" i="7"/>
  <c r="F78" i="7"/>
  <c r="G78" i="7"/>
  <c r="I78" i="7"/>
  <c r="O78" i="7"/>
  <c r="P78" i="7"/>
  <c r="T78" i="7"/>
  <c r="Z78" i="7"/>
  <c r="E78" i="7"/>
  <c r="K78" i="7"/>
  <c r="L78" i="7"/>
  <c r="N78" i="7"/>
  <c r="Q78" i="7"/>
  <c r="S78" i="7"/>
  <c r="U78" i="7"/>
  <c r="V78" i="7"/>
  <c r="W78" i="7"/>
  <c r="X78" i="7"/>
  <c r="AA78" i="7"/>
  <c r="B79" i="7" a="1"/>
  <c r="B79" i="7" s="1"/>
  <c r="B82" i="4" l="1" a="1"/>
  <c r="B82" i="4" s="1"/>
  <c r="C81" i="4"/>
  <c r="D81" i="4"/>
  <c r="E81" i="4"/>
  <c r="F81" i="4"/>
  <c r="G81" i="4"/>
  <c r="H81" i="4"/>
  <c r="I81" i="4"/>
  <c r="J81" i="4"/>
  <c r="K81" i="4"/>
  <c r="L81" i="4"/>
  <c r="M81" i="4"/>
  <c r="N81" i="4"/>
  <c r="O81" i="4"/>
  <c r="P81" i="4"/>
  <c r="Q81" i="4"/>
  <c r="R81" i="4"/>
  <c r="S81" i="4"/>
  <c r="T81" i="4"/>
  <c r="U81" i="4"/>
  <c r="V81" i="4"/>
  <c r="W81" i="4"/>
  <c r="X81" i="4"/>
  <c r="Y81" i="4"/>
  <c r="Z81" i="4"/>
  <c r="AA81" i="4"/>
  <c r="G82" i="12"/>
  <c r="C79" i="7"/>
  <c r="F79" i="7"/>
  <c r="I79" i="7"/>
  <c r="K79" i="7"/>
  <c r="M79" i="7"/>
  <c r="R79" i="7"/>
  <c r="W79" i="7"/>
  <c r="AA79" i="7"/>
  <c r="E79" i="7"/>
  <c r="H79" i="7"/>
  <c r="N79" i="7"/>
  <c r="O79" i="7"/>
  <c r="P79" i="7"/>
  <c r="Q79" i="7"/>
  <c r="S79" i="7"/>
  <c r="U79" i="7"/>
  <c r="V79" i="7"/>
  <c r="X79" i="7"/>
  <c r="Y79" i="7"/>
  <c r="Z79" i="7"/>
  <c r="H80" i="12"/>
  <c r="D79" i="7"/>
  <c r="G79" i="7"/>
  <c r="J79" i="7"/>
  <c r="L79" i="7"/>
  <c r="T79" i="7"/>
  <c r="B80" i="7" a="1"/>
  <c r="B80" i="7" s="1"/>
  <c r="C82" i="4" l="1"/>
  <c r="D82" i="4"/>
  <c r="E82" i="4"/>
  <c r="F82" i="4"/>
  <c r="G82" i="4"/>
  <c r="H82" i="4"/>
  <c r="I82" i="4"/>
  <c r="J82" i="4"/>
  <c r="K82" i="4"/>
  <c r="L82" i="4"/>
  <c r="M82" i="4"/>
  <c r="N82" i="4"/>
  <c r="O82" i="4"/>
  <c r="P82" i="4"/>
  <c r="Q82" i="4"/>
  <c r="R82" i="4"/>
  <c r="S82" i="4"/>
  <c r="T82" i="4"/>
  <c r="U82" i="4"/>
  <c r="V82" i="4"/>
  <c r="W82" i="4"/>
  <c r="X82" i="4"/>
  <c r="Y82" i="4"/>
  <c r="Z82" i="4"/>
  <c r="AA82" i="4"/>
  <c r="G83" i="12"/>
  <c r="B83" i="4" a="1"/>
  <c r="B83" i="4" s="1"/>
  <c r="D80" i="7"/>
  <c r="J80" i="7"/>
  <c r="N80" i="7"/>
  <c r="P80" i="7"/>
  <c r="S80" i="7"/>
  <c r="W80" i="7"/>
  <c r="Y80" i="7"/>
  <c r="C80" i="7"/>
  <c r="E80" i="7"/>
  <c r="F80" i="7"/>
  <c r="H80" i="7"/>
  <c r="K80" i="7"/>
  <c r="M80" i="7"/>
  <c r="Q80" i="7"/>
  <c r="U80" i="7"/>
  <c r="V80" i="7"/>
  <c r="X80" i="7"/>
  <c r="AA80" i="7"/>
  <c r="H81" i="12"/>
  <c r="G80" i="7"/>
  <c r="I80" i="7"/>
  <c r="L80" i="7"/>
  <c r="O80" i="7"/>
  <c r="R80" i="7"/>
  <c r="T80" i="7"/>
  <c r="Z80" i="7"/>
  <c r="B81" i="7" a="1"/>
  <c r="B81" i="7" s="1"/>
  <c r="C83" i="4" l="1"/>
  <c r="D83" i="4"/>
  <c r="E83" i="4"/>
  <c r="F83" i="4"/>
  <c r="G83" i="4"/>
  <c r="H83" i="4"/>
  <c r="I83" i="4"/>
  <c r="J83" i="4"/>
  <c r="K83" i="4"/>
  <c r="L83" i="4"/>
  <c r="M83" i="4"/>
  <c r="N83" i="4"/>
  <c r="O83" i="4"/>
  <c r="P83" i="4"/>
  <c r="Q83" i="4"/>
  <c r="R83" i="4"/>
  <c r="S83" i="4"/>
  <c r="T83" i="4"/>
  <c r="U83" i="4"/>
  <c r="V83" i="4"/>
  <c r="W83" i="4"/>
  <c r="X83" i="4"/>
  <c r="Y83" i="4"/>
  <c r="Z83" i="4"/>
  <c r="AA83" i="4"/>
  <c r="G84" i="12"/>
  <c r="B84" i="4" a="1"/>
  <c r="B84" i="4" s="1"/>
  <c r="D81" i="7"/>
  <c r="F81" i="7"/>
  <c r="I81" i="7"/>
  <c r="M81" i="7"/>
  <c r="O81" i="7"/>
  <c r="S81" i="7"/>
  <c r="U81" i="7"/>
  <c r="X81" i="7"/>
  <c r="Z81" i="7"/>
  <c r="C81" i="7"/>
  <c r="E81" i="7"/>
  <c r="H81" i="7"/>
  <c r="K81" i="7"/>
  <c r="L81" i="7"/>
  <c r="N81" i="7"/>
  <c r="R81" i="7"/>
  <c r="T81" i="7"/>
  <c r="V81" i="7"/>
  <c r="Y81" i="7"/>
  <c r="G81" i="7"/>
  <c r="J81" i="7"/>
  <c r="P81" i="7"/>
  <c r="Q81" i="7"/>
  <c r="W81" i="7"/>
  <c r="AA81" i="7"/>
  <c r="H82" i="12"/>
  <c r="B82" i="7" a="1"/>
  <c r="B82" i="7" s="1"/>
  <c r="C84" i="4" l="1"/>
  <c r="D84" i="4"/>
  <c r="E84" i="4"/>
  <c r="F84" i="4"/>
  <c r="G84" i="4"/>
  <c r="H84" i="4"/>
  <c r="I84" i="4"/>
  <c r="J84" i="4"/>
  <c r="K84" i="4"/>
  <c r="L84" i="4"/>
  <c r="M84" i="4"/>
  <c r="N84" i="4"/>
  <c r="O84" i="4"/>
  <c r="P84" i="4"/>
  <c r="Q84" i="4"/>
  <c r="R84" i="4"/>
  <c r="S84" i="4"/>
  <c r="T84" i="4"/>
  <c r="U84" i="4"/>
  <c r="V84" i="4"/>
  <c r="W84" i="4"/>
  <c r="X84" i="4"/>
  <c r="Y84" i="4"/>
  <c r="Z84" i="4"/>
  <c r="AA84" i="4"/>
  <c r="G85" i="12"/>
  <c r="B85" i="4" a="1"/>
  <c r="B85" i="4" s="1"/>
  <c r="B83" i="7" a="1"/>
  <c r="B83" i="7" s="1"/>
  <c r="D82" i="7"/>
  <c r="E82" i="7"/>
  <c r="G82" i="7"/>
  <c r="H82" i="7"/>
  <c r="L82" i="7"/>
  <c r="O82" i="7"/>
  <c r="R82" i="7"/>
  <c r="U82" i="7"/>
  <c r="V82" i="7"/>
  <c r="W82" i="7"/>
  <c r="X82" i="7"/>
  <c r="Y82" i="7"/>
  <c r="H83" i="12"/>
  <c r="C82" i="7"/>
  <c r="F82" i="7"/>
  <c r="J82" i="7"/>
  <c r="M82" i="7"/>
  <c r="P82" i="7"/>
  <c r="Q82" i="7"/>
  <c r="T82" i="7"/>
  <c r="AA82" i="7"/>
  <c r="I82" i="7"/>
  <c r="K82" i="7"/>
  <c r="N82" i="7"/>
  <c r="S82" i="7"/>
  <c r="Z82" i="7"/>
  <c r="C85" i="4" l="1"/>
  <c r="D85" i="4"/>
  <c r="E85" i="4"/>
  <c r="F85" i="4"/>
  <c r="G85" i="4"/>
  <c r="H85" i="4"/>
  <c r="I85" i="4"/>
  <c r="J85" i="4"/>
  <c r="K85" i="4"/>
  <c r="L85" i="4"/>
  <c r="M85" i="4"/>
  <c r="N85" i="4"/>
  <c r="O85" i="4"/>
  <c r="P85" i="4"/>
  <c r="Q85" i="4"/>
  <c r="R85" i="4"/>
  <c r="S85" i="4"/>
  <c r="T85" i="4"/>
  <c r="U85" i="4"/>
  <c r="V85" i="4"/>
  <c r="W85" i="4"/>
  <c r="X85" i="4"/>
  <c r="Y85" i="4"/>
  <c r="Z85" i="4"/>
  <c r="AA85" i="4"/>
  <c r="G86" i="12"/>
  <c r="B86" i="4" a="1"/>
  <c r="B86" i="4" s="1"/>
  <c r="D83" i="7"/>
  <c r="J83" i="7"/>
  <c r="M83" i="7"/>
  <c r="P83" i="7"/>
  <c r="S83" i="7"/>
  <c r="AA83" i="7"/>
  <c r="F83" i="7"/>
  <c r="K83" i="7"/>
  <c r="N83" i="7"/>
  <c r="R83" i="7"/>
  <c r="U83" i="7"/>
  <c r="W83" i="7"/>
  <c r="X83" i="7"/>
  <c r="Z83" i="7"/>
  <c r="C83" i="7"/>
  <c r="E83" i="7"/>
  <c r="G83" i="7"/>
  <c r="H83" i="7"/>
  <c r="I83" i="7"/>
  <c r="L83" i="7"/>
  <c r="O83" i="7"/>
  <c r="Q83" i="7"/>
  <c r="T83" i="7"/>
  <c r="V83" i="7"/>
  <c r="Y83" i="7"/>
  <c r="H84" i="12"/>
  <c r="B84" i="7" a="1"/>
  <c r="B84" i="7" s="1"/>
  <c r="C86" i="4" l="1"/>
  <c r="D86" i="4"/>
  <c r="E86" i="4"/>
  <c r="F86" i="4"/>
  <c r="G86" i="4"/>
  <c r="H86" i="4"/>
  <c r="I86" i="4"/>
  <c r="J86" i="4"/>
  <c r="K86" i="4"/>
  <c r="L86" i="4"/>
  <c r="M86" i="4"/>
  <c r="N86" i="4"/>
  <c r="O86" i="4"/>
  <c r="P86" i="4"/>
  <c r="Q86" i="4"/>
  <c r="R86" i="4"/>
  <c r="S86" i="4"/>
  <c r="T86" i="4"/>
  <c r="U86" i="4"/>
  <c r="V86" i="4"/>
  <c r="W86" i="4"/>
  <c r="X86" i="4"/>
  <c r="Y86" i="4"/>
  <c r="Z86" i="4"/>
  <c r="AA86" i="4"/>
  <c r="G87" i="12"/>
  <c r="B87" i="4" a="1"/>
  <c r="B87" i="4" s="1"/>
  <c r="F84" i="7"/>
  <c r="I84" i="7"/>
  <c r="L84" i="7"/>
  <c r="N84" i="7"/>
  <c r="Q84" i="7"/>
  <c r="W84" i="7"/>
  <c r="D84" i="7"/>
  <c r="H84" i="7"/>
  <c r="K84" i="7"/>
  <c r="O84" i="7"/>
  <c r="R84" i="7"/>
  <c r="T84" i="7"/>
  <c r="U84" i="7"/>
  <c r="V84" i="7"/>
  <c r="X84" i="7"/>
  <c r="Y84" i="7"/>
  <c r="Z84" i="7"/>
  <c r="H85" i="12"/>
  <c r="C84" i="7"/>
  <c r="E84" i="7"/>
  <c r="G84" i="7"/>
  <c r="J84" i="7"/>
  <c r="M84" i="7"/>
  <c r="P84" i="7"/>
  <c r="S84" i="7"/>
  <c r="AA84" i="7"/>
  <c r="B85" i="7" a="1"/>
  <c r="B85" i="7" s="1"/>
  <c r="B88" i="4" l="1" a="1"/>
  <c r="B88" i="4" s="1"/>
  <c r="C87" i="4"/>
  <c r="D87" i="4"/>
  <c r="E87" i="4"/>
  <c r="F87" i="4"/>
  <c r="G87" i="4"/>
  <c r="H87" i="4"/>
  <c r="I87" i="4"/>
  <c r="J87" i="4"/>
  <c r="K87" i="4"/>
  <c r="L87" i="4"/>
  <c r="M87" i="4"/>
  <c r="N87" i="4"/>
  <c r="O87" i="4"/>
  <c r="P87" i="4"/>
  <c r="Q87" i="4"/>
  <c r="R87" i="4"/>
  <c r="S87" i="4"/>
  <c r="T87" i="4"/>
  <c r="U87" i="4"/>
  <c r="V87" i="4"/>
  <c r="W87" i="4"/>
  <c r="X87" i="4"/>
  <c r="Y87" i="4"/>
  <c r="Z87" i="4"/>
  <c r="AA87" i="4"/>
  <c r="G88" i="12"/>
  <c r="B86" i="7" a="1"/>
  <c r="B86" i="7" s="1"/>
  <c r="D85" i="7"/>
  <c r="M85" i="7"/>
  <c r="P85" i="7"/>
  <c r="S85" i="7"/>
  <c r="T85" i="7"/>
  <c r="U85" i="7"/>
  <c r="X85" i="7"/>
  <c r="Z85" i="7"/>
  <c r="AA85" i="7"/>
  <c r="C85" i="7"/>
  <c r="E85" i="7"/>
  <c r="G85" i="7"/>
  <c r="I85" i="7"/>
  <c r="J85" i="7"/>
  <c r="K85" i="7"/>
  <c r="N85" i="7"/>
  <c r="Q85" i="7"/>
  <c r="V85" i="7"/>
  <c r="W85" i="7"/>
  <c r="H86" i="12"/>
  <c r="F85" i="7"/>
  <c r="H85" i="7"/>
  <c r="L85" i="7"/>
  <c r="O85" i="7"/>
  <c r="R85" i="7"/>
  <c r="Y85" i="7"/>
  <c r="C88" i="4" l="1"/>
  <c r="D88" i="4"/>
  <c r="E88" i="4"/>
  <c r="F88" i="4"/>
  <c r="G88" i="4"/>
  <c r="H88" i="4"/>
  <c r="I88" i="4"/>
  <c r="J88" i="4"/>
  <c r="K88" i="4"/>
  <c r="L88" i="4"/>
  <c r="M88" i="4"/>
  <c r="N88" i="4"/>
  <c r="O88" i="4"/>
  <c r="P88" i="4"/>
  <c r="Q88" i="4"/>
  <c r="R88" i="4"/>
  <c r="S88" i="4"/>
  <c r="T88" i="4"/>
  <c r="U88" i="4"/>
  <c r="V88" i="4"/>
  <c r="W88" i="4"/>
  <c r="X88" i="4"/>
  <c r="Y88" i="4"/>
  <c r="Z88" i="4"/>
  <c r="AA88" i="4"/>
  <c r="G89" i="12"/>
  <c r="B89" i="4" a="1"/>
  <c r="B89" i="4" s="1"/>
  <c r="E86" i="7"/>
  <c r="G86" i="7"/>
  <c r="H86" i="7"/>
  <c r="M86" i="7"/>
  <c r="Q86" i="7"/>
  <c r="T86" i="7"/>
  <c r="W86" i="7"/>
  <c r="AA86" i="7"/>
  <c r="D86" i="7"/>
  <c r="I86" i="7"/>
  <c r="K86" i="7"/>
  <c r="L86" i="7"/>
  <c r="S86" i="7"/>
  <c r="V86" i="7"/>
  <c r="Z86" i="7"/>
  <c r="C86" i="7"/>
  <c r="F86" i="7"/>
  <c r="J86" i="7"/>
  <c r="N86" i="7"/>
  <c r="O86" i="7"/>
  <c r="P86" i="7"/>
  <c r="R86" i="7"/>
  <c r="U86" i="7"/>
  <c r="X86" i="7"/>
  <c r="Y86" i="7"/>
  <c r="H87" i="12"/>
  <c r="B87" i="7" a="1"/>
  <c r="B87" i="7" s="1"/>
  <c r="C89" i="4" l="1"/>
  <c r="D89" i="4"/>
  <c r="E89" i="4"/>
  <c r="F89" i="4"/>
  <c r="G89" i="4"/>
  <c r="H89" i="4"/>
  <c r="I89" i="4"/>
  <c r="J89" i="4"/>
  <c r="K89" i="4"/>
  <c r="L89" i="4"/>
  <c r="M89" i="4"/>
  <c r="N89" i="4"/>
  <c r="O89" i="4"/>
  <c r="P89" i="4"/>
  <c r="Q89" i="4"/>
  <c r="R89" i="4"/>
  <c r="S89" i="4"/>
  <c r="T89" i="4"/>
  <c r="U89" i="4"/>
  <c r="V89" i="4"/>
  <c r="W89" i="4"/>
  <c r="X89" i="4"/>
  <c r="Y89" i="4"/>
  <c r="Z89" i="4"/>
  <c r="AA89" i="4"/>
  <c r="G90" i="12"/>
  <c r="B90" i="4" a="1"/>
  <c r="B90" i="4" s="1"/>
  <c r="C87" i="7"/>
  <c r="E87" i="7"/>
  <c r="J87" i="7"/>
  <c r="P87" i="7"/>
  <c r="Q87" i="7"/>
  <c r="U87" i="7"/>
  <c r="Y87" i="7"/>
  <c r="F87" i="7"/>
  <c r="G87" i="7"/>
  <c r="I87" i="7"/>
  <c r="L87" i="7"/>
  <c r="M87" i="7"/>
  <c r="N87" i="7"/>
  <c r="O87" i="7"/>
  <c r="S87" i="7"/>
  <c r="V87" i="7"/>
  <c r="W87" i="7"/>
  <c r="X87" i="7"/>
  <c r="AA87" i="7"/>
  <c r="H88" i="12"/>
  <c r="D87" i="7"/>
  <c r="H87" i="7"/>
  <c r="K87" i="7"/>
  <c r="R87" i="7"/>
  <c r="T87" i="7"/>
  <c r="Z87" i="7"/>
  <c r="B88" i="7" a="1"/>
  <c r="B88" i="7" s="1"/>
  <c r="C90" i="4" l="1"/>
  <c r="D90" i="4"/>
  <c r="E90" i="4"/>
  <c r="F90" i="4"/>
  <c r="G90" i="4"/>
  <c r="H90" i="4"/>
  <c r="I90" i="4"/>
  <c r="J90" i="4"/>
  <c r="K90" i="4"/>
  <c r="L90" i="4"/>
  <c r="M90" i="4"/>
  <c r="N90" i="4"/>
  <c r="O90" i="4"/>
  <c r="P90" i="4"/>
  <c r="Q90" i="4"/>
  <c r="R90" i="4"/>
  <c r="S90" i="4"/>
  <c r="T90" i="4"/>
  <c r="U90" i="4"/>
  <c r="V90" i="4"/>
  <c r="W90" i="4"/>
  <c r="X90" i="4"/>
  <c r="Y90" i="4"/>
  <c r="Z90" i="4"/>
  <c r="AA90" i="4"/>
  <c r="G91" i="12"/>
  <c r="B91" i="4" a="1"/>
  <c r="B91" i="4" s="1"/>
  <c r="B89" i="7" a="1"/>
  <c r="B89" i="7" s="1"/>
  <c r="D88" i="7"/>
  <c r="G88" i="7"/>
  <c r="I88" i="7"/>
  <c r="M88" i="7"/>
  <c r="N88" i="7"/>
  <c r="O88" i="7"/>
  <c r="P88" i="7"/>
  <c r="Q88" i="7"/>
  <c r="S88" i="7"/>
  <c r="T88" i="7"/>
  <c r="U88" i="7"/>
  <c r="V88" i="7"/>
  <c r="Y88" i="7"/>
  <c r="AA88" i="7"/>
  <c r="H89" i="12"/>
  <c r="C88" i="7"/>
  <c r="E88" i="7"/>
  <c r="H88" i="7"/>
  <c r="K88" i="7"/>
  <c r="R88" i="7"/>
  <c r="X88" i="7"/>
  <c r="F88" i="7"/>
  <c r="J88" i="7"/>
  <c r="L88" i="7"/>
  <c r="W88" i="7"/>
  <c r="Z88" i="7"/>
  <c r="C91" i="4" l="1"/>
  <c r="D91" i="4"/>
  <c r="E91" i="4"/>
  <c r="F91" i="4"/>
  <c r="G91" i="4"/>
  <c r="H91" i="4"/>
  <c r="I91" i="4"/>
  <c r="J91" i="4"/>
  <c r="K91" i="4"/>
  <c r="L91" i="4"/>
  <c r="M91" i="4"/>
  <c r="N91" i="4"/>
  <c r="O91" i="4"/>
  <c r="P91" i="4"/>
  <c r="Q91" i="4"/>
  <c r="R91" i="4"/>
  <c r="S91" i="4"/>
  <c r="T91" i="4"/>
  <c r="U91" i="4"/>
  <c r="V91" i="4"/>
  <c r="W91" i="4"/>
  <c r="X91" i="4"/>
  <c r="Y91" i="4"/>
  <c r="Z91" i="4"/>
  <c r="AA91" i="4"/>
  <c r="G92" i="12"/>
  <c r="B92" i="4" a="1"/>
  <c r="B92" i="4" s="1"/>
  <c r="C89" i="7"/>
  <c r="F89" i="7"/>
  <c r="G89" i="7"/>
  <c r="H89" i="7"/>
  <c r="I89" i="7"/>
  <c r="J89" i="7"/>
  <c r="K89" i="7"/>
  <c r="N89" i="7"/>
  <c r="P89" i="7"/>
  <c r="S89" i="7"/>
  <c r="X89" i="7"/>
  <c r="Z89" i="7"/>
  <c r="H90" i="12"/>
  <c r="E89" i="7"/>
  <c r="M89" i="7"/>
  <c r="Q89" i="7"/>
  <c r="T89" i="7"/>
  <c r="AA89" i="7"/>
  <c r="D89" i="7"/>
  <c r="L89" i="7"/>
  <c r="O89" i="7"/>
  <c r="R89" i="7"/>
  <c r="U89" i="7"/>
  <c r="V89" i="7"/>
  <c r="W89" i="7"/>
  <c r="Y89" i="7"/>
  <c r="B90" i="7" a="1"/>
  <c r="B90" i="7" s="1"/>
  <c r="C92" i="4" l="1"/>
  <c r="D92" i="4"/>
  <c r="E92" i="4"/>
  <c r="F92" i="4"/>
  <c r="G92" i="4"/>
  <c r="H92" i="4"/>
  <c r="I92" i="4"/>
  <c r="J92" i="4"/>
  <c r="K92" i="4"/>
  <c r="L92" i="4"/>
  <c r="M92" i="4"/>
  <c r="N92" i="4"/>
  <c r="O92" i="4"/>
  <c r="P92" i="4"/>
  <c r="Q92" i="4"/>
  <c r="R92" i="4"/>
  <c r="S92" i="4"/>
  <c r="T92" i="4"/>
  <c r="U92" i="4"/>
  <c r="V92" i="4"/>
  <c r="W92" i="4"/>
  <c r="X92" i="4"/>
  <c r="Y92" i="4"/>
  <c r="Z92" i="4"/>
  <c r="AA92" i="4"/>
  <c r="G93" i="12"/>
  <c r="B93" i="4" a="1"/>
  <c r="B93" i="4" s="1"/>
  <c r="B91" i="7" a="1"/>
  <c r="B91" i="7" s="1"/>
  <c r="C90" i="7"/>
  <c r="F90" i="7"/>
  <c r="J90" i="7"/>
  <c r="L90" i="7"/>
  <c r="O90" i="7"/>
  <c r="Q90" i="7"/>
  <c r="W90" i="7"/>
  <c r="E90" i="7"/>
  <c r="K90" i="7"/>
  <c r="N90" i="7"/>
  <c r="P90" i="7"/>
  <c r="S90" i="7"/>
  <c r="T90" i="7"/>
  <c r="X90" i="7"/>
  <c r="D90" i="7"/>
  <c r="G90" i="7"/>
  <c r="H90" i="7"/>
  <c r="I90" i="7"/>
  <c r="M90" i="7"/>
  <c r="R90" i="7"/>
  <c r="U90" i="7"/>
  <c r="V90" i="7"/>
  <c r="Y90" i="7"/>
  <c r="Z90" i="7"/>
  <c r="AA90" i="7"/>
  <c r="H91" i="12"/>
  <c r="C93" i="4" l="1"/>
  <c r="D93" i="4"/>
  <c r="E93" i="4"/>
  <c r="F93" i="4"/>
  <c r="G93" i="4"/>
  <c r="H93" i="4"/>
  <c r="I93" i="4"/>
  <c r="J93" i="4"/>
  <c r="K93" i="4"/>
  <c r="L93" i="4"/>
  <c r="M93" i="4"/>
  <c r="N93" i="4"/>
  <c r="O93" i="4"/>
  <c r="P93" i="4"/>
  <c r="Q93" i="4"/>
  <c r="R93" i="4"/>
  <c r="S93" i="4"/>
  <c r="T93" i="4"/>
  <c r="U93" i="4"/>
  <c r="V93" i="4"/>
  <c r="W93" i="4"/>
  <c r="X93" i="4"/>
  <c r="Y93" i="4"/>
  <c r="Z93" i="4"/>
  <c r="AA93" i="4"/>
  <c r="G94" i="12"/>
  <c r="B94" i="4" a="1"/>
  <c r="B94" i="4" s="1"/>
  <c r="D91" i="7"/>
  <c r="F91" i="7"/>
  <c r="G91" i="7"/>
  <c r="K91" i="7"/>
  <c r="N91" i="7"/>
  <c r="R91" i="7"/>
  <c r="T91" i="7"/>
  <c r="Z91" i="7"/>
  <c r="H92" i="12"/>
  <c r="C91" i="7"/>
  <c r="E91" i="7"/>
  <c r="I91" i="7"/>
  <c r="L91" i="7"/>
  <c r="O91" i="7"/>
  <c r="P91" i="7"/>
  <c r="S91" i="7"/>
  <c r="AA91" i="7"/>
  <c r="H91" i="7"/>
  <c r="J91" i="7"/>
  <c r="M91" i="7"/>
  <c r="Q91" i="7"/>
  <c r="U91" i="7"/>
  <c r="V91" i="7"/>
  <c r="W91" i="7"/>
  <c r="X91" i="7"/>
  <c r="Y91" i="7"/>
  <c r="B92" i="7" a="1"/>
  <c r="B92" i="7" s="1"/>
  <c r="C94" i="4" l="1"/>
  <c r="D94" i="4"/>
  <c r="E94" i="4"/>
  <c r="F94" i="4"/>
  <c r="G94" i="4"/>
  <c r="H94" i="4"/>
  <c r="I94" i="4"/>
  <c r="J94" i="4"/>
  <c r="K94" i="4"/>
  <c r="L94" i="4"/>
  <c r="M94" i="4"/>
  <c r="N94" i="4"/>
  <c r="O94" i="4"/>
  <c r="P94" i="4"/>
  <c r="Q94" i="4"/>
  <c r="R94" i="4"/>
  <c r="S94" i="4"/>
  <c r="T94" i="4"/>
  <c r="U94" i="4"/>
  <c r="V94" i="4"/>
  <c r="W94" i="4"/>
  <c r="X94" i="4"/>
  <c r="Y94" i="4"/>
  <c r="Z94" i="4"/>
  <c r="AA94" i="4"/>
  <c r="G95" i="12"/>
  <c r="B95" i="4" a="1"/>
  <c r="B95" i="4" s="1"/>
  <c r="D92" i="7"/>
  <c r="G92" i="7"/>
  <c r="M92" i="7"/>
  <c r="P92" i="7"/>
  <c r="W92" i="7"/>
  <c r="H92" i="7"/>
  <c r="L92" i="7"/>
  <c r="N92" i="7"/>
  <c r="R92" i="7"/>
  <c r="S92" i="7"/>
  <c r="T92" i="7"/>
  <c r="U92" i="7"/>
  <c r="X92" i="7"/>
  <c r="Y92" i="7"/>
  <c r="Z92" i="7"/>
  <c r="C92" i="7"/>
  <c r="E92" i="7"/>
  <c r="F92" i="7"/>
  <c r="I92" i="7"/>
  <c r="J92" i="7"/>
  <c r="K92" i="7"/>
  <c r="O92" i="7"/>
  <c r="Q92" i="7"/>
  <c r="V92" i="7"/>
  <c r="AA92" i="7"/>
  <c r="H93" i="12"/>
  <c r="B93" i="7" a="1"/>
  <c r="B93" i="7" s="1"/>
  <c r="B96" i="4" l="1" a="1"/>
  <c r="B96" i="4" s="1"/>
  <c r="C95" i="4"/>
  <c r="D95" i="4"/>
  <c r="E95" i="4"/>
  <c r="F95" i="4"/>
  <c r="G95" i="4"/>
  <c r="I95" i="4"/>
  <c r="K95" i="4"/>
  <c r="N95" i="4"/>
  <c r="O95" i="4"/>
  <c r="Q95" i="4"/>
  <c r="S95" i="4"/>
  <c r="U95" i="4"/>
  <c r="W95" i="4"/>
  <c r="Y95" i="4"/>
  <c r="Z95" i="4"/>
  <c r="H95" i="4"/>
  <c r="J95" i="4"/>
  <c r="L95" i="4"/>
  <c r="M95" i="4"/>
  <c r="P95" i="4"/>
  <c r="R95" i="4"/>
  <c r="T95" i="4"/>
  <c r="V95" i="4"/>
  <c r="X95" i="4"/>
  <c r="AA95" i="4"/>
  <c r="G96" i="12"/>
  <c r="E93" i="7"/>
  <c r="I93" i="7"/>
  <c r="K93" i="7"/>
  <c r="N93" i="7"/>
  <c r="U93" i="7"/>
  <c r="Z93" i="7"/>
  <c r="H94" i="12"/>
  <c r="F93" i="7"/>
  <c r="G93" i="7"/>
  <c r="J93" i="7"/>
  <c r="M93" i="7"/>
  <c r="P93" i="7"/>
  <c r="AA93" i="7"/>
  <c r="C93" i="7"/>
  <c r="D93" i="7"/>
  <c r="H93" i="7"/>
  <c r="L93" i="7"/>
  <c r="O93" i="7"/>
  <c r="Q93" i="7"/>
  <c r="R93" i="7"/>
  <c r="S93" i="7"/>
  <c r="T93" i="7"/>
  <c r="V93" i="7"/>
  <c r="W93" i="7"/>
  <c r="X93" i="7"/>
  <c r="Y93" i="7"/>
  <c r="B94" i="7" a="1"/>
  <c r="B94" i="7" s="1"/>
  <c r="D96" i="4" l="1"/>
  <c r="F96" i="4"/>
  <c r="H96" i="4"/>
  <c r="J96" i="4"/>
  <c r="L96" i="4"/>
  <c r="N96" i="4"/>
  <c r="O96" i="4"/>
  <c r="Q96" i="4"/>
  <c r="T96" i="4"/>
  <c r="V96" i="4"/>
  <c r="X96" i="4"/>
  <c r="Y96" i="4"/>
  <c r="AA96" i="4"/>
  <c r="G97" i="12"/>
  <c r="C96" i="4"/>
  <c r="E96" i="4"/>
  <c r="G96" i="4"/>
  <c r="I96" i="4"/>
  <c r="K96" i="4"/>
  <c r="M96" i="4"/>
  <c r="P96" i="4"/>
  <c r="R96" i="4"/>
  <c r="S96" i="4"/>
  <c r="U96" i="4"/>
  <c r="W96" i="4"/>
  <c r="Z96" i="4"/>
  <c r="B97" i="4" a="1"/>
  <c r="B97" i="4" s="1"/>
  <c r="B95" i="7" a="1"/>
  <c r="B95" i="7" s="1"/>
  <c r="D94" i="7"/>
  <c r="G94" i="7"/>
  <c r="J94" i="7"/>
  <c r="L94" i="7"/>
  <c r="O94" i="7"/>
  <c r="S94" i="7"/>
  <c r="Z94" i="7"/>
  <c r="C94" i="7"/>
  <c r="E94" i="7"/>
  <c r="I94" i="7"/>
  <c r="N94" i="7"/>
  <c r="P94" i="7"/>
  <c r="Q94" i="7"/>
  <c r="T94" i="7"/>
  <c r="Y94" i="7"/>
  <c r="AA94" i="7"/>
  <c r="F94" i="7"/>
  <c r="H94" i="7"/>
  <c r="K94" i="7"/>
  <c r="M94" i="7"/>
  <c r="R94" i="7"/>
  <c r="U94" i="7"/>
  <c r="V94" i="7"/>
  <c r="W94" i="7"/>
  <c r="X94" i="7"/>
  <c r="H95" i="12"/>
  <c r="C97" i="4" l="1"/>
  <c r="E97" i="4"/>
  <c r="G97" i="4"/>
  <c r="I97" i="4"/>
  <c r="K97" i="4"/>
  <c r="M97" i="4"/>
  <c r="P97" i="4"/>
  <c r="R97" i="4"/>
  <c r="T97" i="4"/>
  <c r="V97" i="4"/>
  <c r="X97" i="4"/>
  <c r="Z97" i="4"/>
  <c r="AA97" i="4"/>
  <c r="G98" i="12"/>
  <c r="D97" i="4"/>
  <c r="F97" i="4"/>
  <c r="H97" i="4"/>
  <c r="J97" i="4"/>
  <c r="L97" i="4"/>
  <c r="N97" i="4"/>
  <c r="O97" i="4"/>
  <c r="Q97" i="4"/>
  <c r="S97" i="4"/>
  <c r="U97" i="4"/>
  <c r="W97" i="4"/>
  <c r="Y97" i="4"/>
  <c r="B98" i="4" a="1"/>
  <c r="B98" i="4" s="1"/>
  <c r="D95" i="7"/>
  <c r="I95" i="7"/>
  <c r="K95" i="7"/>
  <c r="L95" i="7"/>
  <c r="N95" i="7"/>
  <c r="R95" i="7"/>
  <c r="X95" i="7"/>
  <c r="Z95" i="7"/>
  <c r="AA95" i="7"/>
  <c r="F95" i="7"/>
  <c r="G95" i="7"/>
  <c r="J95" i="7"/>
  <c r="O95" i="7"/>
  <c r="P95" i="7"/>
  <c r="Q95" i="7"/>
  <c r="S95" i="7"/>
  <c r="T95" i="7"/>
  <c r="U95" i="7"/>
  <c r="W95" i="7"/>
  <c r="Y95" i="7"/>
  <c r="H96" i="12"/>
  <c r="C95" i="7"/>
  <c r="E95" i="7"/>
  <c r="H95" i="7"/>
  <c r="M95" i="7"/>
  <c r="V95" i="7"/>
  <c r="B96" i="7" a="1"/>
  <c r="B96" i="7" s="1"/>
  <c r="B99" i="4" l="1" a="1"/>
  <c r="B99" i="4" s="1"/>
  <c r="C98" i="4"/>
  <c r="E98" i="4"/>
  <c r="G98" i="4"/>
  <c r="I98" i="4"/>
  <c r="K98" i="4"/>
  <c r="M98" i="4"/>
  <c r="P98" i="4"/>
  <c r="R98" i="4"/>
  <c r="T98" i="4"/>
  <c r="V98" i="4"/>
  <c r="X98" i="4"/>
  <c r="Y98" i="4"/>
  <c r="G99" i="12"/>
  <c r="D98" i="4"/>
  <c r="F98" i="4"/>
  <c r="H98" i="4"/>
  <c r="J98" i="4"/>
  <c r="L98" i="4"/>
  <c r="N98" i="4"/>
  <c r="O98" i="4"/>
  <c r="Q98" i="4"/>
  <c r="S98" i="4"/>
  <c r="U98" i="4"/>
  <c r="W98" i="4"/>
  <c r="Z98" i="4"/>
  <c r="AA98" i="4"/>
  <c r="D96" i="7"/>
  <c r="F96" i="7"/>
  <c r="K96" i="7"/>
  <c r="M96" i="7"/>
  <c r="S96" i="7"/>
  <c r="T96" i="7"/>
  <c r="U96" i="7"/>
  <c r="Y96" i="7"/>
  <c r="AA96" i="7"/>
  <c r="C96" i="7"/>
  <c r="G96" i="7"/>
  <c r="I96" i="7"/>
  <c r="J96" i="7"/>
  <c r="N96" i="7"/>
  <c r="O96" i="7"/>
  <c r="P96" i="7"/>
  <c r="Q96" i="7"/>
  <c r="R96" i="7"/>
  <c r="V96" i="7"/>
  <c r="X96" i="7"/>
  <c r="Z96" i="7"/>
  <c r="H97" i="12"/>
  <c r="E96" i="7"/>
  <c r="H96" i="7"/>
  <c r="L96" i="7"/>
  <c r="W96" i="7"/>
  <c r="B97" i="7" a="1"/>
  <c r="B97" i="7" s="1"/>
  <c r="C99" i="4" l="1"/>
  <c r="E99" i="4"/>
  <c r="F99" i="4"/>
  <c r="G99" i="4"/>
  <c r="I99" i="4"/>
  <c r="J99" i="4"/>
  <c r="K99" i="4"/>
  <c r="L99" i="4"/>
  <c r="M99" i="4"/>
  <c r="N99" i="4"/>
  <c r="O99" i="4"/>
  <c r="P99" i="4"/>
  <c r="Q99" i="4"/>
  <c r="R99" i="4"/>
  <c r="S99" i="4"/>
  <c r="T99" i="4"/>
  <c r="U99" i="4"/>
  <c r="V99" i="4"/>
  <c r="W99" i="4"/>
  <c r="X99" i="4"/>
  <c r="Y99" i="4"/>
  <c r="Z99" i="4"/>
  <c r="AA99" i="4"/>
  <c r="D99" i="4"/>
  <c r="H99" i="4"/>
  <c r="G100" i="12"/>
  <c r="B100" i="4" a="1"/>
  <c r="B100" i="4" s="1"/>
  <c r="B98" i="7" a="1"/>
  <c r="B98" i="7" s="1"/>
  <c r="C97" i="7"/>
  <c r="F97" i="7"/>
  <c r="H97" i="7"/>
  <c r="J97" i="7"/>
  <c r="L97" i="7"/>
  <c r="N97" i="7"/>
  <c r="P97" i="7"/>
  <c r="R97" i="7"/>
  <c r="U97" i="7"/>
  <c r="V97" i="7"/>
  <c r="X97" i="7"/>
  <c r="Y97" i="7"/>
  <c r="Z97" i="7"/>
  <c r="D97" i="7"/>
  <c r="I97" i="7"/>
  <c r="M97" i="7"/>
  <c r="Q97" i="7"/>
  <c r="S97" i="7"/>
  <c r="T97" i="7"/>
  <c r="W97" i="7"/>
  <c r="AA97" i="7"/>
  <c r="H98" i="12"/>
  <c r="E97" i="7"/>
  <c r="G97" i="7"/>
  <c r="K97" i="7"/>
  <c r="O97" i="7"/>
  <c r="B101" i="4" l="1" a="1"/>
  <c r="B101" i="4" s="1"/>
  <c r="C100" i="4"/>
  <c r="D100" i="4"/>
  <c r="E100" i="4"/>
  <c r="F100" i="4"/>
  <c r="G100" i="4"/>
  <c r="H100" i="4"/>
  <c r="I100" i="4"/>
  <c r="J100" i="4"/>
  <c r="K100" i="4"/>
  <c r="L100" i="4"/>
  <c r="M100" i="4"/>
  <c r="N100" i="4"/>
  <c r="O100" i="4"/>
  <c r="P100" i="4"/>
  <c r="Q100" i="4"/>
  <c r="R100" i="4"/>
  <c r="S100" i="4"/>
  <c r="T100" i="4"/>
  <c r="U100" i="4"/>
  <c r="V100" i="4"/>
  <c r="W100" i="4"/>
  <c r="X100" i="4"/>
  <c r="Y100" i="4"/>
  <c r="Z100" i="4"/>
  <c r="AA100" i="4"/>
  <c r="G101" i="12"/>
  <c r="F98" i="7"/>
  <c r="G98" i="7"/>
  <c r="L98" i="7"/>
  <c r="N98" i="7"/>
  <c r="R98" i="7"/>
  <c r="T98" i="7"/>
  <c r="V98" i="7"/>
  <c r="Y98" i="7"/>
  <c r="H99" i="12"/>
  <c r="E98" i="7"/>
  <c r="I98" i="7"/>
  <c r="K98" i="7"/>
  <c r="O98" i="7"/>
  <c r="Q98" i="7"/>
  <c r="U98" i="7"/>
  <c r="Z98" i="7"/>
  <c r="C98" i="7"/>
  <c r="D98" i="7"/>
  <c r="H98" i="7"/>
  <c r="J98" i="7"/>
  <c r="M98" i="7"/>
  <c r="P98" i="7"/>
  <c r="S98" i="7"/>
  <c r="W98" i="7"/>
  <c r="X98" i="7"/>
  <c r="AA98" i="7"/>
  <c r="B99" i="7" a="1"/>
  <c r="B99" i="7" s="1"/>
  <c r="B102" i="4" l="1" a="1"/>
  <c r="B102" i="4" s="1"/>
  <c r="C101" i="4"/>
  <c r="D101" i="4"/>
  <c r="E101" i="4"/>
  <c r="F101" i="4"/>
  <c r="G101" i="4"/>
  <c r="H101" i="4"/>
  <c r="I101" i="4"/>
  <c r="J101" i="4"/>
  <c r="K101" i="4"/>
  <c r="L101" i="4"/>
  <c r="M101" i="4"/>
  <c r="N101" i="4"/>
  <c r="O101" i="4"/>
  <c r="P101" i="4"/>
  <c r="Q101" i="4"/>
  <c r="R101" i="4"/>
  <c r="S101" i="4"/>
  <c r="T101" i="4"/>
  <c r="U101" i="4"/>
  <c r="V101" i="4"/>
  <c r="W101" i="4"/>
  <c r="X101" i="4"/>
  <c r="Y101" i="4"/>
  <c r="Z101" i="4"/>
  <c r="AA101" i="4"/>
  <c r="G102" i="12"/>
  <c r="L99" i="7"/>
  <c r="O99" i="7"/>
  <c r="Q99" i="7"/>
  <c r="T99" i="7"/>
  <c r="X99" i="7"/>
  <c r="C99" i="7"/>
  <c r="D99" i="7"/>
  <c r="F99" i="7"/>
  <c r="H99" i="7"/>
  <c r="I99" i="7"/>
  <c r="J99" i="7"/>
  <c r="M99" i="7"/>
  <c r="P99" i="7"/>
  <c r="R99" i="7"/>
  <c r="S99" i="7"/>
  <c r="V99" i="7"/>
  <c r="W99" i="7"/>
  <c r="Y99" i="7"/>
  <c r="Z99" i="7"/>
  <c r="AA99" i="7"/>
  <c r="H100" i="12"/>
  <c r="E99" i="7"/>
  <c r="G99" i="7"/>
  <c r="K99" i="7"/>
  <c r="N99" i="7"/>
  <c r="U99" i="7"/>
  <c r="B100" i="7" a="1"/>
  <c r="B100" i="7" s="1"/>
  <c r="B103" i="4" l="1" a="1"/>
  <c r="B103" i="4" s="1"/>
  <c r="C102" i="4"/>
  <c r="D102" i="4"/>
  <c r="E102" i="4"/>
  <c r="F102" i="4"/>
  <c r="G102" i="4"/>
  <c r="H102" i="4"/>
  <c r="I102" i="4"/>
  <c r="J102" i="4"/>
  <c r="K102" i="4"/>
  <c r="L102" i="4"/>
  <c r="M102" i="4"/>
  <c r="N102" i="4"/>
  <c r="O102" i="4"/>
  <c r="P102" i="4"/>
  <c r="Q102" i="4"/>
  <c r="R102" i="4"/>
  <c r="S102" i="4"/>
  <c r="T102" i="4"/>
  <c r="U102" i="4"/>
  <c r="V102" i="4"/>
  <c r="W102" i="4"/>
  <c r="X102" i="4"/>
  <c r="Y102" i="4"/>
  <c r="Z102" i="4"/>
  <c r="AA102" i="4"/>
  <c r="G103" i="12"/>
  <c r="C100" i="7"/>
  <c r="D100" i="7"/>
  <c r="F100" i="7"/>
  <c r="I100" i="7"/>
  <c r="J100" i="7"/>
  <c r="K100" i="7"/>
  <c r="N100" i="7"/>
  <c r="O100" i="7"/>
  <c r="W100" i="7"/>
  <c r="Y100" i="7"/>
  <c r="H101" i="12"/>
  <c r="E100" i="7"/>
  <c r="M100" i="7"/>
  <c r="S100" i="7"/>
  <c r="Z100" i="7"/>
  <c r="G100" i="7"/>
  <c r="H100" i="7"/>
  <c r="L100" i="7"/>
  <c r="P100" i="7"/>
  <c r="Q100" i="7"/>
  <c r="R100" i="7"/>
  <c r="T100" i="7"/>
  <c r="U100" i="7"/>
  <c r="V100" i="7"/>
  <c r="X100" i="7"/>
  <c r="AA100" i="7"/>
  <c r="B101" i="7" a="1"/>
  <c r="B101" i="7" s="1"/>
  <c r="C103" i="4" l="1"/>
  <c r="D103" i="4"/>
  <c r="E103" i="4"/>
  <c r="F103" i="4"/>
  <c r="G103" i="4"/>
  <c r="H103" i="4"/>
  <c r="I103" i="4"/>
  <c r="J103" i="4"/>
  <c r="K103" i="4"/>
  <c r="L103" i="4"/>
  <c r="M103" i="4"/>
  <c r="N103" i="4"/>
  <c r="O103" i="4"/>
  <c r="P103" i="4"/>
  <c r="Q103" i="4"/>
  <c r="R103" i="4"/>
  <c r="S103" i="4"/>
  <c r="T103" i="4"/>
  <c r="U103" i="4"/>
  <c r="V103" i="4"/>
  <c r="W103" i="4"/>
  <c r="X103" i="4"/>
  <c r="Y103" i="4"/>
  <c r="Z103" i="4"/>
  <c r="AA103" i="4"/>
  <c r="G104" i="12"/>
  <c r="B104" i="4" a="1"/>
  <c r="B104" i="4" s="1"/>
  <c r="C101" i="7"/>
  <c r="I101" i="7"/>
  <c r="M101" i="7"/>
  <c r="R101" i="7"/>
  <c r="T101" i="7"/>
  <c r="W101" i="7"/>
  <c r="Y101" i="7"/>
  <c r="Z101" i="7"/>
  <c r="D101" i="7"/>
  <c r="E101" i="7"/>
  <c r="F101" i="7"/>
  <c r="G101" i="7"/>
  <c r="J101" i="7"/>
  <c r="L101" i="7"/>
  <c r="O101" i="7"/>
  <c r="P101" i="7"/>
  <c r="Q101" i="7"/>
  <c r="U101" i="7"/>
  <c r="V101" i="7"/>
  <c r="X101" i="7"/>
  <c r="H102" i="12"/>
  <c r="H101" i="7"/>
  <c r="K101" i="7"/>
  <c r="N101" i="7"/>
  <c r="S101" i="7"/>
  <c r="AA101" i="7"/>
  <c r="B102" i="7" a="1"/>
  <c r="B102" i="7" s="1"/>
  <c r="B105" i="4" l="1" a="1"/>
  <c r="B105" i="4" s="1"/>
  <c r="C104" i="4"/>
  <c r="D104" i="4"/>
  <c r="E104" i="4"/>
  <c r="F104" i="4"/>
  <c r="G104" i="4"/>
  <c r="H104" i="4"/>
  <c r="I104" i="4"/>
  <c r="J104" i="4"/>
  <c r="K104" i="4"/>
  <c r="L104" i="4"/>
  <c r="M104" i="4"/>
  <c r="N104" i="4"/>
  <c r="O104" i="4"/>
  <c r="P104" i="4"/>
  <c r="Q104" i="4"/>
  <c r="R104" i="4"/>
  <c r="S104" i="4"/>
  <c r="T104" i="4"/>
  <c r="U104" i="4"/>
  <c r="V104" i="4"/>
  <c r="W104" i="4"/>
  <c r="X104" i="4"/>
  <c r="Y104" i="4"/>
  <c r="Z104" i="4"/>
  <c r="AA104" i="4"/>
  <c r="G105" i="12"/>
  <c r="B103" i="7" a="1"/>
  <c r="B103" i="7" s="1"/>
  <c r="D102" i="7"/>
  <c r="E102" i="7"/>
  <c r="H102" i="7"/>
  <c r="O102" i="7"/>
  <c r="S102" i="7"/>
  <c r="X102" i="7"/>
  <c r="Z102" i="7"/>
  <c r="AA102" i="7"/>
  <c r="I102" i="7"/>
  <c r="J102" i="7"/>
  <c r="K102" i="7"/>
  <c r="L102" i="7"/>
  <c r="M102" i="7"/>
  <c r="N102" i="7"/>
  <c r="P102" i="7"/>
  <c r="Q102" i="7"/>
  <c r="U102" i="7"/>
  <c r="V102" i="7"/>
  <c r="Y102" i="7"/>
  <c r="C102" i="7"/>
  <c r="F102" i="7"/>
  <c r="G102" i="7"/>
  <c r="R102" i="7"/>
  <c r="T102" i="7"/>
  <c r="W102" i="7"/>
  <c r="H103" i="12"/>
  <c r="C105" i="4" l="1"/>
  <c r="D105" i="4"/>
  <c r="E105" i="4"/>
  <c r="F105" i="4"/>
  <c r="G105" i="4"/>
  <c r="H105" i="4"/>
  <c r="I105" i="4"/>
  <c r="J105" i="4"/>
  <c r="K105" i="4"/>
  <c r="L105" i="4"/>
  <c r="M105" i="4"/>
  <c r="N105" i="4"/>
  <c r="O105" i="4"/>
  <c r="P105" i="4"/>
  <c r="Q105" i="4"/>
  <c r="R105" i="4"/>
  <c r="S105" i="4"/>
  <c r="T105" i="4"/>
  <c r="U105" i="4"/>
  <c r="V105" i="4"/>
  <c r="W105" i="4"/>
  <c r="X105" i="4"/>
  <c r="Y105" i="4"/>
  <c r="Z105" i="4"/>
  <c r="AA105" i="4"/>
  <c r="G106" i="12"/>
  <c r="B106" i="4" a="1"/>
  <c r="B106" i="4" s="1"/>
  <c r="B104" i="7" a="1"/>
  <c r="B104" i="7" s="1"/>
  <c r="C103" i="7"/>
  <c r="D103" i="7"/>
  <c r="E103" i="7"/>
  <c r="F103" i="7"/>
  <c r="G103" i="7"/>
  <c r="H103" i="7"/>
  <c r="I103" i="7"/>
  <c r="J103" i="7"/>
  <c r="K103" i="7"/>
  <c r="L103" i="7"/>
  <c r="M103" i="7"/>
  <c r="N103" i="7"/>
  <c r="O103" i="7"/>
  <c r="P103" i="7"/>
  <c r="Q103" i="7"/>
  <c r="R103" i="7"/>
  <c r="S103" i="7"/>
  <c r="T103" i="7"/>
  <c r="U103" i="7"/>
  <c r="V103" i="7"/>
  <c r="W103" i="7"/>
  <c r="X103" i="7"/>
  <c r="Y103" i="7"/>
  <c r="Z103" i="7"/>
  <c r="AA103" i="7"/>
  <c r="H104" i="12"/>
  <c r="C106" i="4" l="1"/>
  <c r="D106" i="4"/>
  <c r="E106" i="4"/>
  <c r="F106" i="4"/>
  <c r="G106" i="4"/>
  <c r="H106" i="4"/>
  <c r="I106" i="4"/>
  <c r="J106" i="4"/>
  <c r="K106" i="4"/>
  <c r="L106" i="4"/>
  <c r="M106" i="4"/>
  <c r="N106" i="4"/>
  <c r="O106" i="4"/>
  <c r="P106" i="4"/>
  <c r="Q106" i="4"/>
  <c r="R106" i="4"/>
  <c r="S106" i="4"/>
  <c r="T106" i="4"/>
  <c r="U106" i="4"/>
  <c r="V106" i="4"/>
  <c r="W106" i="4"/>
  <c r="X106" i="4"/>
  <c r="Y106" i="4"/>
  <c r="Z106" i="4"/>
  <c r="AA106" i="4"/>
  <c r="G107" i="12"/>
  <c r="B107" i="4" a="1"/>
  <c r="B107" i="4" s="1"/>
  <c r="B105" i="7" a="1"/>
  <c r="B105" i="7" s="1"/>
  <c r="C104" i="7"/>
  <c r="D104" i="7"/>
  <c r="E104" i="7"/>
  <c r="F104" i="7"/>
  <c r="G104" i="7"/>
  <c r="H104" i="7"/>
  <c r="I104" i="7"/>
  <c r="J104" i="7"/>
  <c r="K104" i="7"/>
  <c r="L104" i="7"/>
  <c r="M104" i="7"/>
  <c r="N104" i="7"/>
  <c r="O104" i="7"/>
  <c r="P104" i="7"/>
  <c r="Q104" i="7"/>
  <c r="R104" i="7"/>
  <c r="S104" i="7"/>
  <c r="T104" i="7"/>
  <c r="U104" i="7"/>
  <c r="V104" i="7"/>
  <c r="W104" i="7"/>
  <c r="X104" i="7"/>
  <c r="Y104" i="7"/>
  <c r="Z104" i="7"/>
  <c r="AA104" i="7"/>
  <c r="H105" i="12"/>
  <c r="C107" i="4" l="1"/>
  <c r="D107" i="4"/>
  <c r="E107" i="4"/>
  <c r="F107" i="4"/>
  <c r="G107" i="4"/>
  <c r="H107" i="4"/>
  <c r="I107" i="4"/>
  <c r="J107" i="4"/>
  <c r="K107" i="4"/>
  <c r="L107" i="4"/>
  <c r="M107" i="4"/>
  <c r="N107" i="4"/>
  <c r="O107" i="4"/>
  <c r="P107" i="4"/>
  <c r="Q107" i="4"/>
  <c r="R107" i="4"/>
  <c r="S107" i="4"/>
  <c r="T107" i="4"/>
  <c r="U107" i="4"/>
  <c r="V107" i="4"/>
  <c r="W107" i="4"/>
  <c r="X107" i="4"/>
  <c r="Y107" i="4"/>
  <c r="Z107" i="4"/>
  <c r="AA107" i="4"/>
  <c r="G108" i="12"/>
  <c r="B108" i="4" a="1"/>
  <c r="B108" i="4" s="1"/>
  <c r="C105" i="7"/>
  <c r="D105" i="7"/>
  <c r="E105" i="7"/>
  <c r="F105" i="7"/>
  <c r="G105" i="7"/>
  <c r="H105" i="7"/>
  <c r="I105" i="7"/>
  <c r="J105" i="7"/>
  <c r="K105" i="7"/>
  <c r="L105" i="7"/>
  <c r="M105" i="7"/>
  <c r="N105" i="7"/>
  <c r="O105" i="7"/>
  <c r="P105" i="7"/>
  <c r="Q105" i="7"/>
  <c r="R105" i="7"/>
  <c r="S105" i="7"/>
  <c r="T105" i="7"/>
  <c r="U105" i="7"/>
  <c r="V105" i="7"/>
  <c r="W105" i="7"/>
  <c r="X105" i="7"/>
  <c r="Y105" i="7"/>
  <c r="Z105" i="7"/>
  <c r="AA105" i="7"/>
  <c r="H106" i="12"/>
  <c r="B106" i="7" a="1"/>
  <c r="B106" i="7" s="1"/>
  <c r="B109" i="4" l="1" a="1"/>
  <c r="B109" i="4" s="1"/>
  <c r="C108" i="4"/>
  <c r="D108" i="4"/>
  <c r="E108" i="4"/>
  <c r="F108" i="4"/>
  <c r="G108" i="4"/>
  <c r="H108" i="4"/>
  <c r="I108" i="4"/>
  <c r="J108" i="4"/>
  <c r="K108" i="4"/>
  <c r="L108" i="4"/>
  <c r="M108" i="4"/>
  <c r="N108" i="4"/>
  <c r="O108" i="4"/>
  <c r="P108" i="4"/>
  <c r="Q108" i="4"/>
  <c r="R108" i="4"/>
  <c r="S108" i="4"/>
  <c r="T108" i="4"/>
  <c r="U108" i="4"/>
  <c r="V108" i="4"/>
  <c r="W108" i="4"/>
  <c r="X108" i="4"/>
  <c r="Y108" i="4"/>
  <c r="Z108" i="4"/>
  <c r="AA108" i="4"/>
  <c r="G109" i="12"/>
  <c r="B107" i="7" a="1"/>
  <c r="B107" i="7" s="1"/>
  <c r="C106" i="7"/>
  <c r="D106" i="7"/>
  <c r="E106" i="7"/>
  <c r="F106" i="7"/>
  <c r="G106" i="7"/>
  <c r="H106" i="7"/>
  <c r="I106" i="7"/>
  <c r="J106" i="7"/>
  <c r="K106" i="7"/>
  <c r="L106" i="7"/>
  <c r="M106" i="7"/>
  <c r="N106" i="7"/>
  <c r="O106" i="7"/>
  <c r="P106" i="7"/>
  <c r="Q106" i="7"/>
  <c r="R106" i="7"/>
  <c r="S106" i="7"/>
  <c r="T106" i="7"/>
  <c r="U106" i="7"/>
  <c r="V106" i="7"/>
  <c r="W106" i="7"/>
  <c r="X106" i="7"/>
  <c r="Y106" i="7"/>
  <c r="Z106" i="7"/>
  <c r="AA106" i="7"/>
  <c r="H107" i="12"/>
  <c r="C109" i="4" l="1"/>
  <c r="D109" i="4"/>
  <c r="E109" i="4"/>
  <c r="F109" i="4"/>
  <c r="G109" i="4"/>
  <c r="H109" i="4"/>
  <c r="I109" i="4"/>
  <c r="J109" i="4"/>
  <c r="K109" i="4"/>
  <c r="L109" i="4"/>
  <c r="M109" i="4"/>
  <c r="N109" i="4"/>
  <c r="O109" i="4"/>
  <c r="P109" i="4"/>
  <c r="Q109" i="4"/>
  <c r="R109" i="4"/>
  <c r="S109" i="4"/>
  <c r="T109" i="4"/>
  <c r="U109" i="4"/>
  <c r="V109" i="4"/>
  <c r="W109" i="4"/>
  <c r="X109" i="4"/>
  <c r="Y109" i="4"/>
  <c r="Z109" i="4"/>
  <c r="AA109" i="4"/>
  <c r="G110" i="12"/>
  <c r="B110" i="4" a="1"/>
  <c r="B110" i="4" s="1"/>
  <c r="C107" i="7"/>
  <c r="D107" i="7"/>
  <c r="E107" i="7"/>
  <c r="F107" i="7"/>
  <c r="G107" i="7"/>
  <c r="H107" i="7"/>
  <c r="I107" i="7"/>
  <c r="J107" i="7"/>
  <c r="K107" i="7"/>
  <c r="L107" i="7"/>
  <c r="M107" i="7"/>
  <c r="N107" i="7"/>
  <c r="O107" i="7"/>
  <c r="P107" i="7"/>
  <c r="Q107" i="7"/>
  <c r="R107" i="7"/>
  <c r="S107" i="7"/>
  <c r="T107" i="7"/>
  <c r="U107" i="7"/>
  <c r="V107" i="7"/>
  <c r="W107" i="7"/>
  <c r="X107" i="7"/>
  <c r="Y107" i="7"/>
  <c r="Z107" i="7"/>
  <c r="AA107" i="7"/>
  <c r="H108" i="12"/>
  <c r="B108" i="7" a="1"/>
  <c r="B108" i="7" s="1"/>
  <c r="C110" i="4" l="1"/>
  <c r="D110" i="4"/>
  <c r="E110" i="4"/>
  <c r="F110" i="4"/>
  <c r="G110" i="4"/>
  <c r="H110" i="4"/>
  <c r="I110" i="4"/>
  <c r="J110" i="4"/>
  <c r="K110" i="4"/>
  <c r="L110" i="4"/>
  <c r="M110" i="4"/>
  <c r="N110" i="4"/>
  <c r="O110" i="4"/>
  <c r="P110" i="4"/>
  <c r="Q110" i="4"/>
  <c r="R110" i="4"/>
  <c r="S110" i="4"/>
  <c r="T110" i="4"/>
  <c r="U110" i="4"/>
  <c r="V110" i="4"/>
  <c r="W110" i="4"/>
  <c r="X110" i="4"/>
  <c r="Y110" i="4"/>
  <c r="Z110" i="4"/>
  <c r="AA110" i="4"/>
  <c r="G111" i="12"/>
  <c r="B111" i="4" a="1"/>
  <c r="B111" i="4" s="1"/>
  <c r="C108" i="7"/>
  <c r="D108" i="7"/>
  <c r="E108" i="7"/>
  <c r="F108" i="7"/>
  <c r="G108" i="7"/>
  <c r="H108" i="7"/>
  <c r="I108" i="7"/>
  <c r="J108" i="7"/>
  <c r="K108" i="7"/>
  <c r="L108" i="7"/>
  <c r="M108" i="7"/>
  <c r="N108" i="7"/>
  <c r="O108" i="7"/>
  <c r="P108" i="7"/>
  <c r="Q108" i="7"/>
  <c r="R108" i="7"/>
  <c r="S108" i="7"/>
  <c r="T108" i="7"/>
  <c r="U108" i="7"/>
  <c r="V108" i="7"/>
  <c r="W108" i="7"/>
  <c r="X108" i="7"/>
  <c r="Y108" i="7"/>
  <c r="Z108" i="7"/>
  <c r="AA108" i="7"/>
  <c r="H109" i="12"/>
  <c r="B109" i="7" a="1"/>
  <c r="B109" i="7" s="1"/>
  <c r="B112" i="4" l="1" a="1"/>
  <c r="B112" i="4" s="1"/>
  <c r="C111" i="4"/>
  <c r="D111" i="4"/>
  <c r="E111" i="4"/>
  <c r="F111" i="4"/>
  <c r="G111" i="4"/>
  <c r="H111" i="4"/>
  <c r="I111" i="4"/>
  <c r="J111" i="4"/>
  <c r="K111" i="4"/>
  <c r="L111" i="4"/>
  <c r="M111" i="4"/>
  <c r="N111" i="4"/>
  <c r="O111" i="4"/>
  <c r="P111" i="4"/>
  <c r="Q111" i="4"/>
  <c r="R111" i="4"/>
  <c r="S111" i="4"/>
  <c r="T111" i="4"/>
  <c r="U111" i="4"/>
  <c r="V111" i="4"/>
  <c r="W111" i="4"/>
  <c r="X111" i="4"/>
  <c r="Y111" i="4"/>
  <c r="Z111" i="4"/>
  <c r="AA111" i="4"/>
  <c r="G112" i="12"/>
  <c r="C109" i="7"/>
  <c r="D109" i="7"/>
  <c r="E109" i="7"/>
  <c r="F109" i="7"/>
  <c r="G109" i="7"/>
  <c r="H109" i="7"/>
  <c r="I109" i="7"/>
  <c r="J109" i="7"/>
  <c r="K109" i="7"/>
  <c r="L109" i="7"/>
  <c r="M109" i="7"/>
  <c r="N109" i="7"/>
  <c r="O109" i="7"/>
  <c r="P109" i="7"/>
  <c r="Q109" i="7"/>
  <c r="R109" i="7"/>
  <c r="S109" i="7"/>
  <c r="T109" i="7"/>
  <c r="U109" i="7"/>
  <c r="V109" i="7"/>
  <c r="W109" i="7"/>
  <c r="X109" i="7"/>
  <c r="Y109" i="7"/>
  <c r="Z109" i="7"/>
  <c r="AA109" i="7"/>
  <c r="H110" i="12"/>
  <c r="B110" i="7" a="1"/>
  <c r="B110" i="7" s="1"/>
  <c r="B113" i="4" l="1" a="1"/>
  <c r="B113" i="4" s="1"/>
  <c r="C112" i="4"/>
  <c r="D112" i="4"/>
  <c r="E112" i="4"/>
  <c r="F112" i="4"/>
  <c r="G112" i="4"/>
  <c r="H112" i="4"/>
  <c r="I112" i="4"/>
  <c r="J112" i="4"/>
  <c r="K112" i="4"/>
  <c r="L112" i="4"/>
  <c r="M112" i="4"/>
  <c r="N112" i="4"/>
  <c r="O112" i="4"/>
  <c r="P112" i="4"/>
  <c r="Q112" i="4"/>
  <c r="R112" i="4"/>
  <c r="S112" i="4"/>
  <c r="T112" i="4"/>
  <c r="U112" i="4"/>
  <c r="V112" i="4"/>
  <c r="W112" i="4"/>
  <c r="X112" i="4"/>
  <c r="Y112" i="4"/>
  <c r="Z112" i="4"/>
  <c r="AA112" i="4"/>
  <c r="G113" i="12"/>
  <c r="B111" i="7" a="1"/>
  <c r="B111" i="7" s="1"/>
  <c r="C110" i="7"/>
  <c r="D110" i="7"/>
  <c r="E110" i="7"/>
  <c r="F110" i="7"/>
  <c r="G110" i="7"/>
  <c r="H110" i="7"/>
  <c r="I110" i="7"/>
  <c r="J110" i="7"/>
  <c r="K110" i="7"/>
  <c r="L110" i="7"/>
  <c r="M110" i="7"/>
  <c r="N110" i="7"/>
  <c r="O110" i="7"/>
  <c r="P110" i="7"/>
  <c r="Q110" i="7"/>
  <c r="R110" i="7"/>
  <c r="S110" i="7"/>
  <c r="T110" i="7"/>
  <c r="U110" i="7"/>
  <c r="V110" i="7"/>
  <c r="W110" i="7"/>
  <c r="X110" i="7"/>
  <c r="Y110" i="7"/>
  <c r="Z110" i="7"/>
  <c r="AA110" i="7"/>
  <c r="H111" i="12"/>
  <c r="B114" i="4" l="1" a="1"/>
  <c r="B114" i="4" s="1"/>
  <c r="C113" i="4"/>
  <c r="D113" i="4"/>
  <c r="E113" i="4"/>
  <c r="F113" i="4"/>
  <c r="G113" i="4"/>
  <c r="H113" i="4"/>
  <c r="I113" i="4"/>
  <c r="J113" i="4"/>
  <c r="K113" i="4"/>
  <c r="L113" i="4"/>
  <c r="M113" i="4"/>
  <c r="N113" i="4"/>
  <c r="O113" i="4"/>
  <c r="P113" i="4"/>
  <c r="Q113" i="4"/>
  <c r="R113" i="4"/>
  <c r="S113" i="4"/>
  <c r="T113" i="4"/>
  <c r="U113" i="4"/>
  <c r="V113" i="4"/>
  <c r="W113" i="4"/>
  <c r="X113" i="4"/>
  <c r="Y113" i="4"/>
  <c r="Z113" i="4"/>
  <c r="AA113" i="4"/>
  <c r="G114" i="12"/>
  <c r="C111" i="7"/>
  <c r="D111" i="7"/>
  <c r="E111" i="7"/>
  <c r="F111" i="7"/>
  <c r="G111" i="7"/>
  <c r="H111" i="7"/>
  <c r="I111" i="7"/>
  <c r="J111" i="7"/>
  <c r="K111" i="7"/>
  <c r="L111" i="7"/>
  <c r="M111" i="7"/>
  <c r="N111" i="7"/>
  <c r="O111" i="7"/>
  <c r="P111" i="7"/>
  <c r="Q111" i="7"/>
  <c r="R111" i="7"/>
  <c r="S111" i="7"/>
  <c r="T111" i="7"/>
  <c r="U111" i="7"/>
  <c r="V111" i="7"/>
  <c r="W111" i="7"/>
  <c r="X111" i="7"/>
  <c r="Y111" i="7"/>
  <c r="Z111" i="7"/>
  <c r="AA111" i="7"/>
  <c r="H112" i="12"/>
  <c r="B112" i="7" a="1"/>
  <c r="B112" i="7" s="1"/>
  <c r="C114" i="4" l="1"/>
  <c r="D114" i="4"/>
  <c r="E114" i="4"/>
  <c r="F114" i="4"/>
  <c r="G114" i="4"/>
  <c r="H114" i="4"/>
  <c r="I114" i="4"/>
  <c r="J114" i="4"/>
  <c r="K114" i="4"/>
  <c r="L114" i="4"/>
  <c r="M114" i="4"/>
  <c r="N114" i="4"/>
  <c r="O114" i="4"/>
  <c r="P114" i="4"/>
  <c r="Q114" i="4"/>
  <c r="R114" i="4"/>
  <c r="S114" i="4"/>
  <c r="T114" i="4"/>
  <c r="U114" i="4"/>
  <c r="V114" i="4"/>
  <c r="W114" i="4"/>
  <c r="X114" i="4"/>
  <c r="Y114" i="4"/>
  <c r="Z114" i="4"/>
  <c r="AA114" i="4"/>
  <c r="G115" i="12"/>
  <c r="B115" i="4" a="1"/>
  <c r="B115" i="4" s="1"/>
  <c r="C112" i="7"/>
  <c r="D112" i="7"/>
  <c r="E112" i="7"/>
  <c r="F112" i="7"/>
  <c r="G112" i="7"/>
  <c r="H112" i="7"/>
  <c r="I112" i="7"/>
  <c r="J112" i="7"/>
  <c r="K112" i="7"/>
  <c r="L112" i="7"/>
  <c r="M112" i="7"/>
  <c r="N112" i="7"/>
  <c r="O112" i="7"/>
  <c r="P112" i="7"/>
  <c r="Q112" i="7"/>
  <c r="R112" i="7"/>
  <c r="S112" i="7"/>
  <c r="T112" i="7"/>
  <c r="U112" i="7"/>
  <c r="V112" i="7"/>
  <c r="W112" i="7"/>
  <c r="X112" i="7"/>
  <c r="Y112" i="7"/>
  <c r="Z112" i="7"/>
  <c r="AA112" i="7"/>
  <c r="H113" i="12"/>
  <c r="B113" i="7" a="1"/>
  <c r="B113" i="7" s="1"/>
  <c r="B116" i="4" l="1" a="1"/>
  <c r="B116" i="4" s="1"/>
  <c r="C115" i="4"/>
  <c r="D115" i="4"/>
  <c r="E115" i="4"/>
  <c r="F115" i="4"/>
  <c r="G115" i="4"/>
  <c r="H115" i="4"/>
  <c r="I115" i="4"/>
  <c r="J115" i="4"/>
  <c r="K115" i="4"/>
  <c r="L115" i="4"/>
  <c r="M115" i="4"/>
  <c r="N115" i="4"/>
  <c r="O115" i="4"/>
  <c r="P115" i="4"/>
  <c r="Q115" i="4"/>
  <c r="R115" i="4"/>
  <c r="S115" i="4"/>
  <c r="T115" i="4"/>
  <c r="U115" i="4"/>
  <c r="V115" i="4"/>
  <c r="W115" i="4"/>
  <c r="X115" i="4"/>
  <c r="Y115" i="4"/>
  <c r="Z115" i="4"/>
  <c r="AA115" i="4"/>
  <c r="G116" i="12"/>
  <c r="C113" i="7"/>
  <c r="D113" i="7"/>
  <c r="E113" i="7"/>
  <c r="F113" i="7"/>
  <c r="G113" i="7"/>
  <c r="H113" i="7"/>
  <c r="I113" i="7"/>
  <c r="J113" i="7"/>
  <c r="K113" i="7"/>
  <c r="L113" i="7"/>
  <c r="M113" i="7"/>
  <c r="N113" i="7"/>
  <c r="O113" i="7"/>
  <c r="P113" i="7"/>
  <c r="Q113" i="7"/>
  <c r="R113" i="7"/>
  <c r="S113" i="7"/>
  <c r="T113" i="7"/>
  <c r="U113" i="7"/>
  <c r="V113" i="7"/>
  <c r="W113" i="7"/>
  <c r="X113" i="7"/>
  <c r="Y113" i="7"/>
  <c r="Z113" i="7"/>
  <c r="AA113" i="7"/>
  <c r="H114" i="12"/>
  <c r="B114" i="7" a="1"/>
  <c r="B114" i="7" s="1"/>
  <c r="C116" i="4" l="1"/>
  <c r="D116" i="4"/>
  <c r="E116" i="4"/>
  <c r="F116" i="4"/>
  <c r="G116" i="4"/>
  <c r="H116" i="4"/>
  <c r="I116" i="4"/>
  <c r="J116" i="4"/>
  <c r="K116" i="4"/>
  <c r="L116" i="4"/>
  <c r="M116" i="4"/>
  <c r="N116" i="4"/>
  <c r="O116" i="4"/>
  <c r="P116" i="4"/>
  <c r="Q116" i="4"/>
  <c r="R116" i="4"/>
  <c r="S116" i="4"/>
  <c r="T116" i="4"/>
  <c r="U116" i="4"/>
  <c r="V116" i="4"/>
  <c r="W116" i="4"/>
  <c r="X116" i="4"/>
  <c r="Y116" i="4"/>
  <c r="Z116" i="4"/>
  <c r="AA116" i="4"/>
  <c r="G117" i="12"/>
  <c r="B117" i="4" a="1"/>
  <c r="B117" i="4" s="1"/>
  <c r="B115" i="7" a="1"/>
  <c r="B115" i="7" s="1"/>
  <c r="C114" i="7"/>
  <c r="D114" i="7"/>
  <c r="E114" i="7"/>
  <c r="F114" i="7"/>
  <c r="G114" i="7"/>
  <c r="H114" i="7"/>
  <c r="I114" i="7"/>
  <c r="J114" i="7"/>
  <c r="K114" i="7"/>
  <c r="L114" i="7"/>
  <c r="M114" i="7"/>
  <c r="N114" i="7"/>
  <c r="O114" i="7"/>
  <c r="P114" i="7"/>
  <c r="Q114" i="7"/>
  <c r="R114" i="7"/>
  <c r="S114" i="7"/>
  <c r="T114" i="7"/>
  <c r="U114" i="7"/>
  <c r="V114" i="7"/>
  <c r="W114" i="7"/>
  <c r="X114" i="7"/>
  <c r="Y114" i="7"/>
  <c r="Z114" i="7"/>
  <c r="AA114" i="7"/>
  <c r="H115" i="12"/>
  <c r="B118" i="4" l="1" a="1"/>
  <c r="B118" i="4" s="1"/>
  <c r="C117" i="4"/>
  <c r="D117" i="4"/>
  <c r="E117" i="4"/>
  <c r="F117" i="4"/>
  <c r="G117" i="4"/>
  <c r="H117" i="4"/>
  <c r="I117" i="4"/>
  <c r="J117" i="4"/>
  <c r="K117" i="4"/>
  <c r="L117" i="4"/>
  <c r="M117" i="4"/>
  <c r="N117" i="4"/>
  <c r="O117" i="4"/>
  <c r="P117" i="4"/>
  <c r="Q117" i="4"/>
  <c r="R117" i="4"/>
  <c r="S117" i="4"/>
  <c r="T117" i="4"/>
  <c r="U117" i="4"/>
  <c r="V117" i="4"/>
  <c r="W117" i="4"/>
  <c r="X117" i="4"/>
  <c r="Y117" i="4"/>
  <c r="Z117" i="4"/>
  <c r="AA117" i="4"/>
  <c r="G118" i="12"/>
  <c r="C115" i="7"/>
  <c r="D115" i="7"/>
  <c r="E115" i="7"/>
  <c r="F115" i="7"/>
  <c r="G115" i="7"/>
  <c r="H115" i="7"/>
  <c r="I115" i="7"/>
  <c r="J115" i="7"/>
  <c r="K115" i="7"/>
  <c r="L115" i="7"/>
  <c r="M115" i="7"/>
  <c r="N115" i="7"/>
  <c r="O115" i="7"/>
  <c r="P115" i="7"/>
  <c r="Q115" i="7"/>
  <c r="R115" i="7"/>
  <c r="S115" i="7"/>
  <c r="T115" i="7"/>
  <c r="U115" i="7"/>
  <c r="V115" i="7"/>
  <c r="W115" i="7"/>
  <c r="X115" i="7"/>
  <c r="Y115" i="7"/>
  <c r="Z115" i="7"/>
  <c r="AA115" i="7"/>
  <c r="H116" i="12"/>
  <c r="B116" i="7" a="1"/>
  <c r="B116" i="7" s="1"/>
  <c r="C118" i="4" l="1"/>
  <c r="D118" i="4"/>
  <c r="E118" i="4"/>
  <c r="F118" i="4"/>
  <c r="G118" i="4"/>
  <c r="H118" i="4"/>
  <c r="I118" i="4"/>
  <c r="J118" i="4"/>
  <c r="K118" i="4"/>
  <c r="L118" i="4"/>
  <c r="M118" i="4"/>
  <c r="N118" i="4"/>
  <c r="O118" i="4"/>
  <c r="P118" i="4"/>
  <c r="Q118" i="4"/>
  <c r="R118" i="4"/>
  <c r="S118" i="4"/>
  <c r="T118" i="4"/>
  <c r="U118" i="4"/>
  <c r="V118" i="4"/>
  <c r="W118" i="4"/>
  <c r="X118" i="4"/>
  <c r="Y118" i="4"/>
  <c r="Z118" i="4"/>
  <c r="AA118" i="4"/>
  <c r="G119" i="12"/>
  <c r="B119" i="4" a="1"/>
  <c r="B119" i="4" s="1"/>
  <c r="C116" i="7"/>
  <c r="D116" i="7"/>
  <c r="E116" i="7"/>
  <c r="F116" i="7"/>
  <c r="G116" i="7"/>
  <c r="H116" i="7"/>
  <c r="I116" i="7"/>
  <c r="J116" i="7"/>
  <c r="K116" i="7"/>
  <c r="L116" i="7"/>
  <c r="M116" i="7"/>
  <c r="N116" i="7"/>
  <c r="O116" i="7"/>
  <c r="P116" i="7"/>
  <c r="Q116" i="7"/>
  <c r="R116" i="7"/>
  <c r="S116" i="7"/>
  <c r="T116" i="7"/>
  <c r="U116" i="7"/>
  <c r="V116" i="7"/>
  <c r="W116" i="7"/>
  <c r="X116" i="7"/>
  <c r="Y116" i="7"/>
  <c r="Z116" i="7"/>
  <c r="AA116" i="7"/>
  <c r="H117" i="12"/>
  <c r="B117" i="7" a="1"/>
  <c r="B117" i="7" s="1"/>
  <c r="B120" i="4" l="1" a="1"/>
  <c r="B120" i="4" s="1"/>
  <c r="C119" i="4"/>
  <c r="D119" i="4"/>
  <c r="E119" i="4"/>
  <c r="F119" i="4"/>
  <c r="G119" i="4"/>
  <c r="H119" i="4"/>
  <c r="I119" i="4"/>
  <c r="J119" i="4"/>
  <c r="K119" i="4"/>
  <c r="L119" i="4"/>
  <c r="M119" i="4"/>
  <c r="N119" i="4"/>
  <c r="O119" i="4"/>
  <c r="P119" i="4"/>
  <c r="Q119" i="4"/>
  <c r="R119" i="4"/>
  <c r="S119" i="4"/>
  <c r="T119" i="4"/>
  <c r="U119" i="4"/>
  <c r="V119" i="4"/>
  <c r="W119" i="4"/>
  <c r="X119" i="4"/>
  <c r="Y119" i="4"/>
  <c r="Z119" i="4"/>
  <c r="AA119" i="4"/>
  <c r="G120" i="12"/>
  <c r="C117" i="7"/>
  <c r="D117" i="7"/>
  <c r="E117" i="7"/>
  <c r="F117" i="7"/>
  <c r="G117" i="7"/>
  <c r="H117" i="7"/>
  <c r="I117" i="7"/>
  <c r="J117" i="7"/>
  <c r="K117" i="7"/>
  <c r="L117" i="7"/>
  <c r="M117" i="7"/>
  <c r="N117" i="7"/>
  <c r="O117" i="7"/>
  <c r="P117" i="7"/>
  <c r="Q117" i="7"/>
  <c r="R117" i="7"/>
  <c r="S117" i="7"/>
  <c r="T117" i="7"/>
  <c r="V117" i="7"/>
  <c r="X117" i="7"/>
  <c r="Y117" i="7"/>
  <c r="AA117" i="7"/>
  <c r="U117" i="7"/>
  <c r="W117" i="7"/>
  <c r="Z117" i="7"/>
  <c r="H118" i="12"/>
  <c r="B118" i="7" a="1"/>
  <c r="B118" i="7" s="1"/>
  <c r="B121" i="4" l="1" a="1"/>
  <c r="B121" i="4" s="1"/>
  <c r="C120" i="4"/>
  <c r="D120" i="4"/>
  <c r="E120" i="4"/>
  <c r="F120" i="4"/>
  <c r="G120" i="4"/>
  <c r="H120" i="4"/>
  <c r="I120" i="4"/>
  <c r="J120" i="4"/>
  <c r="K120" i="4"/>
  <c r="L120" i="4"/>
  <c r="M120" i="4"/>
  <c r="N120" i="4"/>
  <c r="O120" i="4"/>
  <c r="P120" i="4"/>
  <c r="Q120" i="4"/>
  <c r="R120" i="4"/>
  <c r="S120" i="4"/>
  <c r="T120" i="4"/>
  <c r="U120" i="4"/>
  <c r="V120" i="4"/>
  <c r="W120" i="4"/>
  <c r="X120" i="4"/>
  <c r="Y120" i="4"/>
  <c r="Z120" i="4"/>
  <c r="AA120" i="4"/>
  <c r="G121" i="12"/>
  <c r="E118" i="7"/>
  <c r="F118" i="7"/>
  <c r="L118" i="7"/>
  <c r="M118" i="7"/>
  <c r="N118" i="7"/>
  <c r="P118" i="7"/>
  <c r="Q118" i="7"/>
  <c r="S118" i="7"/>
  <c r="U118" i="7"/>
  <c r="W118" i="7"/>
  <c r="Y118" i="7"/>
  <c r="AA118" i="7"/>
  <c r="C118" i="7"/>
  <c r="D118" i="7"/>
  <c r="G118" i="7"/>
  <c r="H118" i="7"/>
  <c r="I118" i="7"/>
  <c r="J118" i="7"/>
  <c r="K118" i="7"/>
  <c r="O118" i="7"/>
  <c r="R118" i="7"/>
  <c r="T118" i="7"/>
  <c r="V118" i="7"/>
  <c r="X118" i="7"/>
  <c r="Z118" i="7"/>
  <c r="H119" i="12"/>
  <c r="B119" i="7" a="1"/>
  <c r="B119" i="7" s="1"/>
  <c r="C121" i="4" l="1"/>
  <c r="D121" i="4"/>
  <c r="E121" i="4"/>
  <c r="F121" i="4"/>
  <c r="G121" i="4"/>
  <c r="H121" i="4"/>
  <c r="I121" i="4"/>
  <c r="J121" i="4"/>
  <c r="K121" i="4"/>
  <c r="L121" i="4"/>
  <c r="M121" i="4"/>
  <c r="N121" i="4"/>
  <c r="O121" i="4"/>
  <c r="P121" i="4"/>
  <c r="Q121" i="4"/>
  <c r="R121" i="4"/>
  <c r="S121" i="4"/>
  <c r="T121" i="4"/>
  <c r="U121" i="4"/>
  <c r="V121" i="4"/>
  <c r="W121" i="4"/>
  <c r="X121" i="4"/>
  <c r="Y121" i="4"/>
  <c r="Z121" i="4"/>
  <c r="AA121" i="4"/>
  <c r="G122" i="12"/>
  <c r="B122" i="4" a="1"/>
  <c r="B122" i="4" s="1"/>
  <c r="F119" i="7"/>
  <c r="H119" i="7"/>
  <c r="O119" i="7"/>
  <c r="S119" i="7"/>
  <c r="T119" i="7"/>
  <c r="U119" i="7"/>
  <c r="AA119" i="7"/>
  <c r="C119" i="7"/>
  <c r="D119" i="7"/>
  <c r="E119" i="7"/>
  <c r="G119" i="7"/>
  <c r="I119" i="7"/>
  <c r="J119" i="7"/>
  <c r="K119" i="7"/>
  <c r="L119" i="7"/>
  <c r="M119" i="7"/>
  <c r="N119" i="7"/>
  <c r="P119" i="7"/>
  <c r="Q119" i="7"/>
  <c r="R119" i="7"/>
  <c r="V119" i="7"/>
  <c r="W119" i="7"/>
  <c r="X119" i="7"/>
  <c r="Y119" i="7"/>
  <c r="Z119" i="7"/>
  <c r="H120" i="12"/>
  <c r="B120" i="7" a="1"/>
  <c r="B120" i="7" s="1"/>
  <c r="B123" i="4" l="1" a="1"/>
  <c r="B123" i="4" s="1"/>
  <c r="C122" i="4"/>
  <c r="D122" i="4"/>
  <c r="E122" i="4"/>
  <c r="F122" i="4"/>
  <c r="G122" i="4"/>
  <c r="H122" i="4"/>
  <c r="I122" i="4"/>
  <c r="J122" i="4"/>
  <c r="K122" i="4"/>
  <c r="L122" i="4"/>
  <c r="M122" i="4"/>
  <c r="N122" i="4"/>
  <c r="O122" i="4"/>
  <c r="P122" i="4"/>
  <c r="Q122" i="4"/>
  <c r="R122" i="4"/>
  <c r="S122" i="4"/>
  <c r="T122" i="4"/>
  <c r="U122" i="4"/>
  <c r="V122" i="4"/>
  <c r="W122" i="4"/>
  <c r="X122" i="4"/>
  <c r="Y122" i="4"/>
  <c r="Z122" i="4"/>
  <c r="AA122" i="4"/>
  <c r="G123" i="12"/>
  <c r="B121" i="7" a="1"/>
  <c r="B121" i="7" s="1"/>
  <c r="E120" i="7"/>
  <c r="K120" i="7"/>
  <c r="L120" i="7"/>
  <c r="M120" i="7"/>
  <c r="N120" i="7"/>
  <c r="Q120" i="7"/>
  <c r="S120" i="7"/>
  <c r="U120" i="7"/>
  <c r="W120" i="7"/>
  <c r="X120" i="7"/>
  <c r="Y120" i="7"/>
  <c r="AA120" i="7"/>
  <c r="C120" i="7"/>
  <c r="D120" i="7"/>
  <c r="F120" i="7"/>
  <c r="G120" i="7"/>
  <c r="H120" i="7"/>
  <c r="I120" i="7"/>
  <c r="J120" i="7"/>
  <c r="O120" i="7"/>
  <c r="P120" i="7"/>
  <c r="R120" i="7"/>
  <c r="T120" i="7"/>
  <c r="V120" i="7"/>
  <c r="Z120" i="7"/>
  <c r="H121" i="12"/>
  <c r="C123" i="4" l="1"/>
  <c r="D123" i="4"/>
  <c r="E123" i="4"/>
  <c r="F123" i="4"/>
  <c r="G123" i="4"/>
  <c r="H123" i="4"/>
  <c r="I123" i="4"/>
  <c r="J123" i="4"/>
  <c r="K123" i="4"/>
  <c r="L123" i="4"/>
  <c r="M123" i="4"/>
  <c r="N123" i="4"/>
  <c r="O123" i="4"/>
  <c r="P123" i="4"/>
  <c r="Q123" i="4"/>
  <c r="R123" i="4"/>
  <c r="S123" i="4"/>
  <c r="T123" i="4"/>
  <c r="U123" i="4"/>
  <c r="V123" i="4"/>
  <c r="W123" i="4"/>
  <c r="X123" i="4"/>
  <c r="Y123" i="4"/>
  <c r="Z123" i="4"/>
  <c r="AA123" i="4"/>
  <c r="G124" i="12"/>
  <c r="B124" i="4" a="1"/>
  <c r="B124" i="4" s="1"/>
  <c r="F121" i="7"/>
  <c r="I121" i="7"/>
  <c r="K121" i="7"/>
  <c r="P121" i="7"/>
  <c r="Q121" i="7"/>
  <c r="U121" i="7"/>
  <c r="V121" i="7"/>
  <c r="W121" i="7"/>
  <c r="X121" i="7"/>
  <c r="Y121" i="7"/>
  <c r="Z121" i="7"/>
  <c r="C121" i="7"/>
  <c r="D121" i="7"/>
  <c r="E121" i="7"/>
  <c r="G121" i="7"/>
  <c r="H121" i="7"/>
  <c r="J121" i="7"/>
  <c r="L121" i="7"/>
  <c r="M121" i="7"/>
  <c r="N121" i="7"/>
  <c r="O121" i="7"/>
  <c r="R121" i="7"/>
  <c r="S121" i="7"/>
  <c r="T121" i="7"/>
  <c r="AA121" i="7"/>
  <c r="H122" i="12"/>
  <c r="B122" i="7" a="1"/>
  <c r="B122" i="7" s="1"/>
  <c r="B125" i="4" l="1" a="1"/>
  <c r="B125" i="4" s="1"/>
  <c r="C124" i="4"/>
  <c r="D124" i="4"/>
  <c r="E124" i="4"/>
  <c r="F124" i="4"/>
  <c r="G124" i="4"/>
  <c r="H124" i="4"/>
  <c r="I124" i="4"/>
  <c r="J124" i="4"/>
  <c r="K124" i="4"/>
  <c r="L124" i="4"/>
  <c r="M124" i="4"/>
  <c r="N124" i="4"/>
  <c r="O124" i="4"/>
  <c r="P124" i="4"/>
  <c r="Q124" i="4"/>
  <c r="R124" i="4"/>
  <c r="S124" i="4"/>
  <c r="T124" i="4"/>
  <c r="U124" i="4"/>
  <c r="V124" i="4"/>
  <c r="W124" i="4"/>
  <c r="X124" i="4"/>
  <c r="Y124" i="4"/>
  <c r="Z124" i="4"/>
  <c r="AA124" i="4"/>
  <c r="G125" i="12"/>
  <c r="B123" i="7" a="1"/>
  <c r="B123" i="7" s="1"/>
  <c r="C122" i="7"/>
  <c r="D122" i="7"/>
  <c r="F122" i="7"/>
  <c r="H122" i="7"/>
  <c r="J122" i="7"/>
  <c r="M122" i="7"/>
  <c r="N122" i="7"/>
  <c r="O122" i="7"/>
  <c r="P122" i="7"/>
  <c r="Q122" i="7"/>
  <c r="T122" i="7"/>
  <c r="V122" i="7"/>
  <c r="W122" i="7"/>
  <c r="X122" i="7"/>
  <c r="Y122" i="7"/>
  <c r="AA122" i="7"/>
  <c r="H123" i="12"/>
  <c r="E122" i="7"/>
  <c r="G122" i="7"/>
  <c r="I122" i="7"/>
  <c r="K122" i="7"/>
  <c r="L122" i="7"/>
  <c r="R122" i="7"/>
  <c r="S122" i="7"/>
  <c r="U122" i="7"/>
  <c r="Z122" i="7"/>
  <c r="C125" i="4" l="1"/>
  <c r="D125" i="4"/>
  <c r="E125" i="4"/>
  <c r="F125" i="4"/>
  <c r="G125" i="4"/>
  <c r="H125" i="4"/>
  <c r="I125" i="4"/>
  <c r="J125" i="4"/>
  <c r="K125" i="4"/>
  <c r="L125" i="4"/>
  <c r="M125" i="4"/>
  <c r="N125" i="4"/>
  <c r="O125" i="4"/>
  <c r="P125" i="4"/>
  <c r="Q125" i="4"/>
  <c r="R125" i="4"/>
  <c r="S125" i="4"/>
  <c r="T125" i="4"/>
  <c r="U125" i="4"/>
  <c r="V125" i="4"/>
  <c r="W125" i="4"/>
  <c r="X125" i="4"/>
  <c r="Y125" i="4"/>
  <c r="Z125" i="4"/>
  <c r="AA125" i="4"/>
  <c r="G126" i="12"/>
  <c r="B126" i="4" a="1"/>
  <c r="B126" i="4" s="1"/>
  <c r="B124" i="7" a="1"/>
  <c r="B124" i="7" s="1"/>
  <c r="C123" i="7"/>
  <c r="E123" i="7"/>
  <c r="I123" i="7"/>
  <c r="O123" i="7"/>
  <c r="P123" i="7"/>
  <c r="Q123" i="7"/>
  <c r="R123" i="7"/>
  <c r="T123" i="7"/>
  <c r="U123" i="7"/>
  <c r="H124" i="12"/>
  <c r="D123" i="7"/>
  <c r="F123" i="7"/>
  <c r="G123" i="7"/>
  <c r="H123" i="7"/>
  <c r="J123" i="7"/>
  <c r="K123" i="7"/>
  <c r="L123" i="7"/>
  <c r="M123" i="7"/>
  <c r="N123" i="7"/>
  <c r="S123" i="7"/>
  <c r="V123" i="7"/>
  <c r="W123" i="7"/>
  <c r="X123" i="7"/>
  <c r="Y123" i="7"/>
  <c r="Z123" i="7"/>
  <c r="AA123" i="7"/>
  <c r="C126" i="4" l="1"/>
  <c r="D126" i="4"/>
  <c r="E126" i="4"/>
  <c r="F126" i="4"/>
  <c r="G126" i="4"/>
  <c r="H126" i="4"/>
  <c r="I126" i="4"/>
  <c r="J126" i="4"/>
  <c r="K126" i="4"/>
  <c r="L126" i="4"/>
  <c r="M126" i="4"/>
  <c r="N126" i="4"/>
  <c r="O126" i="4"/>
  <c r="P126" i="4"/>
  <c r="Q126" i="4"/>
  <c r="R126" i="4"/>
  <c r="S126" i="4"/>
  <c r="T126" i="4"/>
  <c r="U126" i="4"/>
  <c r="V126" i="4"/>
  <c r="W126" i="4"/>
  <c r="X126" i="4"/>
  <c r="Y126" i="4"/>
  <c r="Z126" i="4"/>
  <c r="AA126" i="4"/>
  <c r="G127" i="12"/>
  <c r="B127" i="4" a="1"/>
  <c r="B127" i="4" s="1"/>
  <c r="B125" i="7" a="1"/>
  <c r="B125" i="7" s="1"/>
  <c r="H124" i="7"/>
  <c r="R124" i="7"/>
  <c r="AA124" i="7"/>
  <c r="C124" i="7"/>
  <c r="D124" i="7"/>
  <c r="E124" i="7"/>
  <c r="F124" i="7"/>
  <c r="G124" i="7"/>
  <c r="I124" i="7"/>
  <c r="J124" i="7"/>
  <c r="K124" i="7"/>
  <c r="L124" i="7"/>
  <c r="M124" i="7"/>
  <c r="N124" i="7"/>
  <c r="O124" i="7"/>
  <c r="P124" i="7"/>
  <c r="Q124" i="7"/>
  <c r="S124" i="7"/>
  <c r="T124" i="7"/>
  <c r="U124" i="7"/>
  <c r="V124" i="7"/>
  <c r="W124" i="7"/>
  <c r="X124" i="7"/>
  <c r="Y124" i="7"/>
  <c r="Z124" i="7"/>
  <c r="H125" i="12"/>
  <c r="B128" i="4" l="1" a="1"/>
  <c r="B128" i="4" s="1"/>
  <c r="C127" i="4"/>
  <c r="D127" i="4"/>
  <c r="E127" i="4"/>
  <c r="F127" i="4"/>
  <c r="G127" i="4"/>
  <c r="H127" i="4"/>
  <c r="I127" i="4"/>
  <c r="J127" i="4"/>
  <c r="K127" i="4"/>
  <c r="L127" i="4"/>
  <c r="M127" i="4"/>
  <c r="N127" i="4"/>
  <c r="O127" i="4"/>
  <c r="P127" i="4"/>
  <c r="Q127" i="4"/>
  <c r="R127" i="4"/>
  <c r="S127" i="4"/>
  <c r="T127" i="4"/>
  <c r="U127" i="4"/>
  <c r="V127" i="4"/>
  <c r="W127" i="4"/>
  <c r="X127" i="4"/>
  <c r="Y127" i="4"/>
  <c r="Z127" i="4"/>
  <c r="AA127" i="4"/>
  <c r="G128" i="12"/>
  <c r="H125" i="7"/>
  <c r="J125" i="7"/>
  <c r="L125" i="7"/>
  <c r="M125" i="7"/>
  <c r="N125" i="7"/>
  <c r="O125" i="7"/>
  <c r="R125" i="7"/>
  <c r="C125" i="7"/>
  <c r="D125" i="7"/>
  <c r="E125" i="7"/>
  <c r="F125" i="7"/>
  <c r="G125" i="7"/>
  <c r="I125" i="7"/>
  <c r="K125" i="7"/>
  <c r="P125" i="7"/>
  <c r="Q125" i="7"/>
  <c r="S125" i="7"/>
  <c r="T125" i="7"/>
  <c r="U125" i="7"/>
  <c r="V125" i="7"/>
  <c r="W125" i="7"/>
  <c r="X125" i="7"/>
  <c r="Y125" i="7"/>
  <c r="Z125" i="7"/>
  <c r="AA125" i="7"/>
  <c r="H126" i="12"/>
  <c r="B126" i="7" a="1"/>
  <c r="B126" i="7" s="1"/>
  <c r="C128" i="4" l="1"/>
  <c r="D128" i="4"/>
  <c r="E128" i="4"/>
  <c r="F128" i="4"/>
  <c r="G128" i="4"/>
  <c r="H128" i="4"/>
  <c r="I128" i="4"/>
  <c r="J128" i="4"/>
  <c r="K128" i="4"/>
  <c r="L128" i="4"/>
  <c r="M128" i="4"/>
  <c r="N128" i="4"/>
  <c r="O128" i="4"/>
  <c r="P128" i="4"/>
  <c r="Q128" i="4"/>
  <c r="R128" i="4"/>
  <c r="S128" i="4"/>
  <c r="T128" i="4"/>
  <c r="U128" i="4"/>
  <c r="V128" i="4"/>
  <c r="W128" i="4"/>
  <c r="X128" i="4"/>
  <c r="Y128" i="4"/>
  <c r="Z128" i="4"/>
  <c r="AA128" i="4"/>
  <c r="G129" i="12"/>
  <c r="B129" i="4" a="1"/>
  <c r="B129" i="4" s="1"/>
  <c r="B127" i="7" a="1"/>
  <c r="B127" i="7" s="1"/>
  <c r="D126" i="7"/>
  <c r="I126" i="7"/>
  <c r="J126" i="7"/>
  <c r="K126" i="7"/>
  <c r="L126" i="7"/>
  <c r="M126" i="7"/>
  <c r="N126" i="7"/>
  <c r="P126" i="7"/>
  <c r="Q126" i="7"/>
  <c r="S126" i="7"/>
  <c r="T126" i="7"/>
  <c r="U126" i="7"/>
  <c r="V126" i="7"/>
  <c r="W126" i="7"/>
  <c r="X126" i="7"/>
  <c r="Z126" i="7"/>
  <c r="H127" i="12"/>
  <c r="C126" i="7"/>
  <c r="E126" i="7"/>
  <c r="F126" i="7"/>
  <c r="G126" i="7"/>
  <c r="H126" i="7"/>
  <c r="O126" i="7"/>
  <c r="R126" i="7"/>
  <c r="Y126" i="7"/>
  <c r="AA126" i="7"/>
  <c r="C129" i="4" l="1"/>
  <c r="D129" i="4"/>
  <c r="E129" i="4"/>
  <c r="F129" i="4"/>
  <c r="G129" i="4"/>
  <c r="H129" i="4"/>
  <c r="I129" i="4"/>
  <c r="J129" i="4"/>
  <c r="K129" i="4"/>
  <c r="L129" i="4"/>
  <c r="M129" i="4"/>
  <c r="N129" i="4"/>
  <c r="O129" i="4"/>
  <c r="P129" i="4"/>
  <c r="Q129" i="4"/>
  <c r="R129" i="4"/>
  <c r="S129" i="4"/>
  <c r="T129" i="4"/>
  <c r="U129" i="4"/>
  <c r="V129" i="4"/>
  <c r="W129" i="4"/>
  <c r="X129" i="4"/>
  <c r="Y129" i="4"/>
  <c r="Z129" i="4"/>
  <c r="AA129" i="4"/>
  <c r="G130" i="12"/>
  <c r="B130" i="4" a="1"/>
  <c r="B130" i="4" s="1"/>
  <c r="C127" i="7"/>
  <c r="D127" i="7"/>
  <c r="E127" i="7"/>
  <c r="F127" i="7"/>
  <c r="G127" i="7"/>
  <c r="H127" i="7"/>
  <c r="I127" i="7"/>
  <c r="J127" i="7"/>
  <c r="K127" i="7"/>
  <c r="L127" i="7"/>
  <c r="M127" i="7"/>
  <c r="N127" i="7"/>
  <c r="O127" i="7"/>
  <c r="P127" i="7"/>
  <c r="Q127" i="7"/>
  <c r="R127" i="7"/>
  <c r="S127" i="7"/>
  <c r="T127" i="7"/>
  <c r="U127" i="7"/>
  <c r="V127" i="7"/>
  <c r="W127" i="7"/>
  <c r="X127" i="7"/>
  <c r="Y127" i="7"/>
  <c r="Z127" i="7"/>
  <c r="AA127" i="7"/>
  <c r="H128" i="12"/>
  <c r="B128" i="7" a="1"/>
  <c r="B128" i="7" s="1"/>
  <c r="C130" i="4" l="1"/>
  <c r="D130" i="4"/>
  <c r="E130" i="4"/>
  <c r="F130" i="4"/>
  <c r="G130" i="4"/>
  <c r="H130" i="4"/>
  <c r="I130" i="4"/>
  <c r="J130" i="4"/>
  <c r="K130" i="4"/>
  <c r="L130" i="4"/>
  <c r="M130" i="4"/>
  <c r="N130" i="4"/>
  <c r="O130" i="4"/>
  <c r="P130" i="4"/>
  <c r="Q130" i="4"/>
  <c r="R130" i="4"/>
  <c r="S130" i="4"/>
  <c r="T130" i="4"/>
  <c r="U130" i="4"/>
  <c r="V130" i="4"/>
  <c r="W130" i="4"/>
  <c r="X130" i="4"/>
  <c r="Y130" i="4"/>
  <c r="Z130" i="4"/>
  <c r="AA130" i="4"/>
  <c r="G131" i="12"/>
  <c r="B131" i="4" a="1"/>
  <c r="B131" i="4" s="1"/>
  <c r="C128" i="7"/>
  <c r="D128" i="7"/>
  <c r="E128" i="7"/>
  <c r="F128" i="7"/>
  <c r="G128" i="7"/>
  <c r="H128" i="7"/>
  <c r="I128" i="7"/>
  <c r="J128" i="7"/>
  <c r="K128" i="7"/>
  <c r="L128" i="7"/>
  <c r="M128" i="7"/>
  <c r="N128" i="7"/>
  <c r="O128" i="7"/>
  <c r="P128" i="7"/>
  <c r="Q128" i="7"/>
  <c r="R128" i="7"/>
  <c r="S128" i="7"/>
  <c r="T128" i="7"/>
  <c r="U128" i="7"/>
  <c r="V128" i="7"/>
  <c r="W128" i="7"/>
  <c r="X128" i="7"/>
  <c r="Y128" i="7"/>
  <c r="Z128" i="7"/>
  <c r="AA128" i="7"/>
  <c r="H129" i="12"/>
  <c r="B129" i="7" a="1"/>
  <c r="B129" i="7" s="1"/>
  <c r="B132" i="4" l="1" a="1"/>
  <c r="B132" i="4" s="1"/>
  <c r="C131" i="4"/>
  <c r="D131" i="4"/>
  <c r="E131" i="4"/>
  <c r="F131" i="4"/>
  <c r="G131" i="4"/>
  <c r="H131" i="4"/>
  <c r="I131" i="4"/>
  <c r="J131" i="4"/>
  <c r="K131" i="4"/>
  <c r="L131" i="4"/>
  <c r="M131" i="4"/>
  <c r="N131" i="4"/>
  <c r="O131" i="4"/>
  <c r="P131" i="4"/>
  <c r="Q131" i="4"/>
  <c r="R131" i="4"/>
  <c r="S131" i="4"/>
  <c r="T131" i="4"/>
  <c r="U131" i="4"/>
  <c r="V131" i="4"/>
  <c r="W131" i="4"/>
  <c r="X131" i="4"/>
  <c r="Y131" i="4"/>
  <c r="Z131" i="4"/>
  <c r="AA131" i="4"/>
  <c r="G132" i="12"/>
  <c r="B130" i="7" a="1"/>
  <c r="B130" i="7" s="1"/>
  <c r="C129" i="7"/>
  <c r="D129" i="7"/>
  <c r="E129" i="7"/>
  <c r="F129" i="7"/>
  <c r="G129" i="7"/>
  <c r="H129" i="7"/>
  <c r="I129" i="7"/>
  <c r="J129" i="7"/>
  <c r="K129" i="7"/>
  <c r="L129" i="7"/>
  <c r="M129" i="7"/>
  <c r="N129" i="7"/>
  <c r="O129" i="7"/>
  <c r="P129" i="7"/>
  <c r="Q129" i="7"/>
  <c r="R129" i="7"/>
  <c r="S129" i="7"/>
  <c r="T129" i="7"/>
  <c r="U129" i="7"/>
  <c r="V129" i="7"/>
  <c r="W129" i="7"/>
  <c r="X129" i="7"/>
  <c r="Y129" i="7"/>
  <c r="Z129" i="7"/>
  <c r="AA129" i="7"/>
  <c r="H130" i="12"/>
  <c r="B133" i="4" l="1" a="1"/>
  <c r="B133" i="4" s="1"/>
  <c r="C132" i="4"/>
  <c r="D132" i="4"/>
  <c r="E132" i="4"/>
  <c r="F132" i="4"/>
  <c r="G132" i="4"/>
  <c r="H132" i="4"/>
  <c r="I132" i="4"/>
  <c r="J132" i="4"/>
  <c r="K132" i="4"/>
  <c r="L132" i="4"/>
  <c r="M132" i="4"/>
  <c r="N132" i="4"/>
  <c r="O132" i="4"/>
  <c r="P132" i="4"/>
  <c r="Q132" i="4"/>
  <c r="R132" i="4"/>
  <c r="S132" i="4"/>
  <c r="T132" i="4"/>
  <c r="U132" i="4"/>
  <c r="V132" i="4"/>
  <c r="W132" i="4"/>
  <c r="X132" i="4"/>
  <c r="Y132" i="4"/>
  <c r="Z132" i="4"/>
  <c r="AA132" i="4"/>
  <c r="G133" i="12"/>
  <c r="C130" i="7"/>
  <c r="D130" i="7"/>
  <c r="E130" i="7"/>
  <c r="F130" i="7"/>
  <c r="G130" i="7"/>
  <c r="H130" i="7"/>
  <c r="I130" i="7"/>
  <c r="J130" i="7"/>
  <c r="K130" i="7"/>
  <c r="L130" i="7"/>
  <c r="M130" i="7"/>
  <c r="N130" i="7"/>
  <c r="O130" i="7"/>
  <c r="P130" i="7"/>
  <c r="Q130" i="7"/>
  <c r="R130" i="7"/>
  <c r="S130" i="7"/>
  <c r="T130" i="7"/>
  <c r="U130" i="7"/>
  <c r="V130" i="7"/>
  <c r="W130" i="7"/>
  <c r="X130" i="7"/>
  <c r="Y130" i="7"/>
  <c r="Z130" i="7"/>
  <c r="AA130" i="7"/>
  <c r="H131" i="12"/>
  <c r="B131" i="7" a="1"/>
  <c r="B131" i="7" s="1"/>
  <c r="B134" i="4" l="1" a="1"/>
  <c r="B134" i="4" s="1"/>
  <c r="C133" i="4"/>
  <c r="D133" i="4"/>
  <c r="E133" i="4"/>
  <c r="F133" i="4"/>
  <c r="G133" i="4"/>
  <c r="H133" i="4"/>
  <c r="I133" i="4"/>
  <c r="J133" i="4"/>
  <c r="K133" i="4"/>
  <c r="L133" i="4"/>
  <c r="M133" i="4"/>
  <c r="N133" i="4"/>
  <c r="O133" i="4"/>
  <c r="P133" i="4"/>
  <c r="Q133" i="4"/>
  <c r="R133" i="4"/>
  <c r="S133" i="4"/>
  <c r="T133" i="4"/>
  <c r="U133" i="4"/>
  <c r="V133" i="4"/>
  <c r="W133" i="4"/>
  <c r="X133" i="4"/>
  <c r="Y133" i="4"/>
  <c r="Z133" i="4"/>
  <c r="AA133" i="4"/>
  <c r="G134" i="12"/>
  <c r="C131" i="7"/>
  <c r="H132" i="12"/>
  <c r="D131" i="7"/>
  <c r="E131" i="7"/>
  <c r="F131" i="7"/>
  <c r="G131" i="7"/>
  <c r="H131" i="7"/>
  <c r="I131" i="7"/>
  <c r="J131" i="7"/>
  <c r="K131" i="7"/>
  <c r="L131" i="7"/>
  <c r="M131" i="7"/>
  <c r="N131" i="7"/>
  <c r="O131" i="7"/>
  <c r="P131" i="7"/>
  <c r="Q131" i="7"/>
  <c r="R131" i="7"/>
  <c r="S131" i="7"/>
  <c r="T131" i="7"/>
  <c r="U131" i="7"/>
  <c r="V131" i="7"/>
  <c r="W131" i="7"/>
  <c r="X131" i="7"/>
  <c r="Y131" i="7"/>
  <c r="Z131" i="7"/>
  <c r="AA131" i="7"/>
  <c r="B132" i="7" a="1"/>
  <c r="B132" i="7" s="1"/>
  <c r="C134" i="4" l="1"/>
  <c r="D134" i="4"/>
  <c r="E134" i="4"/>
  <c r="F134" i="4"/>
  <c r="G134" i="4"/>
  <c r="H134" i="4"/>
  <c r="I134" i="4"/>
  <c r="J134" i="4"/>
  <c r="K134" i="4"/>
  <c r="L134" i="4"/>
  <c r="M134" i="4"/>
  <c r="N134" i="4"/>
  <c r="O134" i="4"/>
  <c r="P134" i="4"/>
  <c r="Q134" i="4"/>
  <c r="R134" i="4"/>
  <c r="S134" i="4"/>
  <c r="T134" i="4"/>
  <c r="U134" i="4"/>
  <c r="V134" i="4"/>
  <c r="W134" i="4"/>
  <c r="X134" i="4"/>
  <c r="Y134" i="4"/>
  <c r="Z134" i="4"/>
  <c r="AA134" i="4"/>
  <c r="G135" i="12"/>
  <c r="B135" i="4" a="1"/>
  <c r="B135" i="4" s="1"/>
  <c r="C132" i="7"/>
  <c r="D132" i="7"/>
  <c r="E132" i="7"/>
  <c r="F132" i="7"/>
  <c r="G132" i="7"/>
  <c r="H132" i="7"/>
  <c r="I132" i="7"/>
  <c r="J132" i="7"/>
  <c r="K132" i="7"/>
  <c r="L132" i="7"/>
  <c r="M132" i="7"/>
  <c r="N132" i="7"/>
  <c r="O132" i="7"/>
  <c r="P132" i="7"/>
  <c r="Q132" i="7"/>
  <c r="R132" i="7"/>
  <c r="S132" i="7"/>
  <c r="T132" i="7"/>
  <c r="U132" i="7"/>
  <c r="V132" i="7"/>
  <c r="W132" i="7"/>
  <c r="X132" i="7"/>
  <c r="Y132" i="7"/>
  <c r="Z132" i="7"/>
  <c r="AA132" i="7"/>
  <c r="H133" i="12"/>
  <c r="B133" i="7" a="1"/>
  <c r="B133" i="7" s="1"/>
  <c r="B136" i="4" l="1" a="1"/>
  <c r="B136" i="4" s="1"/>
  <c r="C135" i="4"/>
  <c r="D135" i="4"/>
  <c r="E135" i="4"/>
  <c r="F135" i="4"/>
  <c r="G135" i="4"/>
  <c r="H135" i="4"/>
  <c r="I135" i="4"/>
  <c r="J135" i="4"/>
  <c r="K135" i="4"/>
  <c r="L135" i="4"/>
  <c r="M135" i="4"/>
  <c r="N135" i="4"/>
  <c r="O135" i="4"/>
  <c r="P135" i="4"/>
  <c r="Q135" i="4"/>
  <c r="R135" i="4"/>
  <c r="S135" i="4"/>
  <c r="T135" i="4"/>
  <c r="U135" i="4"/>
  <c r="V135" i="4"/>
  <c r="W135" i="4"/>
  <c r="X135" i="4"/>
  <c r="Y135" i="4"/>
  <c r="Z135" i="4"/>
  <c r="AA135" i="4"/>
  <c r="G136" i="12"/>
  <c r="B134" i="7" a="1"/>
  <c r="B134" i="7" s="1"/>
  <c r="C133" i="7"/>
  <c r="D133" i="7"/>
  <c r="E133" i="7"/>
  <c r="F133" i="7"/>
  <c r="G133" i="7"/>
  <c r="H133" i="7"/>
  <c r="I133" i="7"/>
  <c r="J133" i="7"/>
  <c r="K133" i="7"/>
  <c r="L133" i="7"/>
  <c r="M133" i="7"/>
  <c r="N133" i="7"/>
  <c r="O133" i="7"/>
  <c r="P133" i="7"/>
  <c r="Q133" i="7"/>
  <c r="R133" i="7"/>
  <c r="S133" i="7"/>
  <c r="T133" i="7"/>
  <c r="U133" i="7"/>
  <c r="V133" i="7"/>
  <c r="W133" i="7"/>
  <c r="X133" i="7"/>
  <c r="Y133" i="7"/>
  <c r="Z133" i="7"/>
  <c r="AA133" i="7"/>
  <c r="H134" i="12"/>
  <c r="C136" i="4" l="1"/>
  <c r="D136" i="4"/>
  <c r="E136" i="4"/>
  <c r="F136" i="4"/>
  <c r="G136" i="4"/>
  <c r="H136" i="4"/>
  <c r="I136" i="4"/>
  <c r="J136" i="4"/>
  <c r="K136" i="4"/>
  <c r="L136" i="4"/>
  <c r="M136" i="4"/>
  <c r="N136" i="4"/>
  <c r="O136" i="4"/>
  <c r="P136" i="4"/>
  <c r="Q136" i="4"/>
  <c r="R136" i="4"/>
  <c r="S136" i="4"/>
  <c r="T136" i="4"/>
  <c r="U136" i="4"/>
  <c r="V136" i="4"/>
  <c r="W136" i="4"/>
  <c r="X136" i="4"/>
  <c r="Y136" i="4"/>
  <c r="Z136" i="4"/>
  <c r="AA136" i="4"/>
  <c r="G137" i="12"/>
  <c r="B137" i="4" a="1"/>
  <c r="B137" i="4" s="1"/>
  <c r="B135" i="7" a="1"/>
  <c r="B135" i="7" s="1"/>
  <c r="C134" i="7"/>
  <c r="D134" i="7"/>
  <c r="E134" i="7"/>
  <c r="F134" i="7"/>
  <c r="G134" i="7"/>
  <c r="H134" i="7"/>
  <c r="I134" i="7"/>
  <c r="J134" i="7"/>
  <c r="K134" i="7"/>
  <c r="L134" i="7"/>
  <c r="M134" i="7"/>
  <c r="N134" i="7"/>
  <c r="O134" i="7"/>
  <c r="P134" i="7"/>
  <c r="Q134" i="7"/>
  <c r="R134" i="7"/>
  <c r="S134" i="7"/>
  <c r="T134" i="7"/>
  <c r="U134" i="7"/>
  <c r="V134" i="7"/>
  <c r="W134" i="7"/>
  <c r="X134" i="7"/>
  <c r="Y134" i="7"/>
  <c r="Z134" i="7"/>
  <c r="AA134" i="7"/>
  <c r="H135" i="12"/>
  <c r="C137" i="4" l="1"/>
  <c r="D137" i="4"/>
  <c r="E137" i="4"/>
  <c r="F137" i="4"/>
  <c r="G137" i="4"/>
  <c r="H137" i="4"/>
  <c r="I137" i="4"/>
  <c r="J137" i="4"/>
  <c r="K137" i="4"/>
  <c r="L137" i="4"/>
  <c r="M137" i="4"/>
  <c r="N137" i="4"/>
  <c r="O137" i="4"/>
  <c r="P137" i="4"/>
  <c r="Q137" i="4"/>
  <c r="R137" i="4"/>
  <c r="S137" i="4"/>
  <c r="T137" i="4"/>
  <c r="U137" i="4"/>
  <c r="V137" i="4"/>
  <c r="W137" i="4"/>
  <c r="X137" i="4"/>
  <c r="Y137" i="4"/>
  <c r="Z137" i="4"/>
  <c r="AA137" i="4"/>
  <c r="G138" i="12"/>
  <c r="B138" i="4" a="1"/>
  <c r="B138" i="4" s="1"/>
  <c r="B136" i="7" a="1"/>
  <c r="B136" i="7" s="1"/>
  <c r="C135" i="7"/>
  <c r="D135" i="7"/>
  <c r="E135" i="7"/>
  <c r="F135" i="7"/>
  <c r="G135" i="7"/>
  <c r="H135" i="7"/>
  <c r="I135" i="7"/>
  <c r="J135" i="7"/>
  <c r="K135" i="7"/>
  <c r="L135" i="7"/>
  <c r="M135" i="7"/>
  <c r="N135" i="7"/>
  <c r="O135" i="7"/>
  <c r="P135" i="7"/>
  <c r="Q135" i="7"/>
  <c r="R135" i="7"/>
  <c r="S135" i="7"/>
  <c r="T135" i="7"/>
  <c r="U135" i="7"/>
  <c r="V135" i="7"/>
  <c r="W135" i="7"/>
  <c r="X135" i="7"/>
  <c r="Y135" i="7"/>
  <c r="Z135" i="7"/>
  <c r="AA135" i="7"/>
  <c r="H136" i="12"/>
  <c r="C138" i="4" l="1"/>
  <c r="D138" i="4"/>
  <c r="E138" i="4"/>
  <c r="F138" i="4"/>
  <c r="G138" i="4"/>
  <c r="H138" i="4"/>
  <c r="I138" i="4"/>
  <c r="J138" i="4"/>
  <c r="K138" i="4"/>
  <c r="L138" i="4"/>
  <c r="M138" i="4"/>
  <c r="N138" i="4"/>
  <c r="O138" i="4"/>
  <c r="P138" i="4"/>
  <c r="Q138" i="4"/>
  <c r="R138" i="4"/>
  <c r="S138" i="4"/>
  <c r="T138" i="4"/>
  <c r="U138" i="4"/>
  <c r="V138" i="4"/>
  <c r="W138" i="4"/>
  <c r="X138" i="4"/>
  <c r="Y138" i="4"/>
  <c r="Z138" i="4"/>
  <c r="AA138" i="4"/>
  <c r="G139" i="12"/>
  <c r="B139" i="4" a="1"/>
  <c r="B139" i="4" s="1"/>
  <c r="C136" i="7"/>
  <c r="D136" i="7"/>
  <c r="E136" i="7"/>
  <c r="F136" i="7"/>
  <c r="G136" i="7"/>
  <c r="H136" i="7"/>
  <c r="I136" i="7"/>
  <c r="J136" i="7"/>
  <c r="K136" i="7"/>
  <c r="L136" i="7"/>
  <c r="M136" i="7"/>
  <c r="N136" i="7"/>
  <c r="O136" i="7"/>
  <c r="P136" i="7"/>
  <c r="Q136" i="7"/>
  <c r="R136" i="7"/>
  <c r="S136" i="7"/>
  <c r="T136" i="7"/>
  <c r="U136" i="7"/>
  <c r="V136" i="7"/>
  <c r="W136" i="7"/>
  <c r="X136" i="7"/>
  <c r="Y136" i="7"/>
  <c r="Z136" i="7"/>
  <c r="AA136" i="7"/>
  <c r="H137" i="12"/>
  <c r="B137" i="7" a="1"/>
  <c r="B137" i="7" s="1"/>
  <c r="B140" i="4" l="1" a="1"/>
  <c r="B140" i="4" s="1"/>
  <c r="C139" i="4"/>
  <c r="D139" i="4"/>
  <c r="E139" i="4"/>
  <c r="F139" i="4"/>
  <c r="G139" i="4"/>
  <c r="H139" i="4"/>
  <c r="I139" i="4"/>
  <c r="J139" i="4"/>
  <c r="K139" i="4"/>
  <c r="L139" i="4"/>
  <c r="M139" i="4"/>
  <c r="N139" i="4"/>
  <c r="O139" i="4"/>
  <c r="P139" i="4"/>
  <c r="Q139" i="4"/>
  <c r="R139" i="4"/>
  <c r="S139" i="4"/>
  <c r="T139" i="4"/>
  <c r="U139" i="4"/>
  <c r="V139" i="4"/>
  <c r="W139" i="4"/>
  <c r="X139" i="4"/>
  <c r="Y139" i="4"/>
  <c r="Z139" i="4"/>
  <c r="AA139" i="4"/>
  <c r="G140" i="12"/>
  <c r="C137" i="7"/>
  <c r="D137" i="7"/>
  <c r="E137" i="7"/>
  <c r="F137" i="7"/>
  <c r="G137" i="7"/>
  <c r="H137" i="7"/>
  <c r="I137" i="7"/>
  <c r="J137" i="7"/>
  <c r="K137" i="7"/>
  <c r="L137" i="7"/>
  <c r="M137" i="7"/>
  <c r="N137" i="7"/>
  <c r="O137" i="7"/>
  <c r="P137" i="7"/>
  <c r="Q137" i="7"/>
  <c r="R137" i="7"/>
  <c r="S137" i="7"/>
  <c r="T137" i="7"/>
  <c r="U137" i="7"/>
  <c r="V137" i="7"/>
  <c r="W137" i="7"/>
  <c r="X137" i="7"/>
  <c r="Y137" i="7"/>
  <c r="Z137" i="7"/>
  <c r="AA137" i="7"/>
  <c r="H138" i="12"/>
  <c r="B138" i="7" a="1"/>
  <c r="B138" i="7" s="1"/>
  <c r="C140" i="4" l="1"/>
  <c r="D140" i="4"/>
  <c r="E140" i="4"/>
  <c r="F140" i="4"/>
  <c r="G140" i="4"/>
  <c r="H140" i="4"/>
  <c r="I140" i="4"/>
  <c r="J140" i="4"/>
  <c r="K140" i="4"/>
  <c r="L140" i="4"/>
  <c r="M140" i="4"/>
  <c r="N140" i="4"/>
  <c r="O140" i="4"/>
  <c r="P140" i="4"/>
  <c r="Q140" i="4"/>
  <c r="R140" i="4"/>
  <c r="S140" i="4"/>
  <c r="T140" i="4"/>
  <c r="U140" i="4"/>
  <c r="V140" i="4"/>
  <c r="W140" i="4"/>
  <c r="X140" i="4"/>
  <c r="Y140" i="4"/>
  <c r="Z140" i="4"/>
  <c r="AA140" i="4"/>
  <c r="G141" i="12"/>
  <c r="B141" i="4" a="1"/>
  <c r="B141" i="4" s="1"/>
  <c r="B139" i="7" a="1"/>
  <c r="B139" i="7" s="1"/>
  <c r="C138" i="7"/>
  <c r="D138" i="7"/>
  <c r="E138" i="7"/>
  <c r="F138" i="7"/>
  <c r="G138" i="7"/>
  <c r="H138" i="7"/>
  <c r="I138" i="7"/>
  <c r="J138" i="7"/>
  <c r="K138" i="7"/>
  <c r="L138" i="7"/>
  <c r="M138" i="7"/>
  <c r="N138" i="7"/>
  <c r="O138" i="7"/>
  <c r="P138" i="7"/>
  <c r="Q138" i="7"/>
  <c r="R138" i="7"/>
  <c r="S138" i="7"/>
  <c r="T138" i="7"/>
  <c r="U138" i="7"/>
  <c r="V138" i="7"/>
  <c r="W138" i="7"/>
  <c r="X138" i="7"/>
  <c r="Y138" i="7"/>
  <c r="Z138" i="7"/>
  <c r="AA138" i="7"/>
  <c r="H139" i="12"/>
  <c r="C141" i="4" l="1"/>
  <c r="D141" i="4"/>
  <c r="E141" i="4"/>
  <c r="F141" i="4"/>
  <c r="G141" i="4"/>
  <c r="H141" i="4"/>
  <c r="I141" i="4"/>
  <c r="J141" i="4"/>
  <c r="K141" i="4"/>
  <c r="L141" i="4"/>
  <c r="M141" i="4"/>
  <c r="N141" i="4"/>
  <c r="O141" i="4"/>
  <c r="P141" i="4"/>
  <c r="Q141" i="4"/>
  <c r="R141" i="4"/>
  <c r="S141" i="4"/>
  <c r="T141" i="4"/>
  <c r="U141" i="4"/>
  <c r="V141" i="4"/>
  <c r="W141" i="4"/>
  <c r="X141" i="4"/>
  <c r="Y141" i="4"/>
  <c r="Z141" i="4"/>
  <c r="AA141" i="4"/>
  <c r="G142" i="12"/>
  <c r="B142" i="4" a="1"/>
  <c r="B142" i="4" s="1"/>
  <c r="C139" i="7"/>
  <c r="D139" i="7"/>
  <c r="E139" i="7"/>
  <c r="F139" i="7"/>
  <c r="G139" i="7"/>
  <c r="H139" i="7"/>
  <c r="I139" i="7"/>
  <c r="J139" i="7"/>
  <c r="K139" i="7"/>
  <c r="L139" i="7"/>
  <c r="M139" i="7"/>
  <c r="N139" i="7"/>
  <c r="O139" i="7"/>
  <c r="P139" i="7"/>
  <c r="Q139" i="7"/>
  <c r="R139" i="7"/>
  <c r="S139" i="7"/>
  <c r="T139" i="7"/>
  <c r="U139" i="7"/>
  <c r="V139" i="7"/>
  <c r="W139" i="7"/>
  <c r="X139" i="7"/>
  <c r="Y139" i="7"/>
  <c r="Z139" i="7"/>
  <c r="AA139" i="7"/>
  <c r="H140" i="12"/>
  <c r="B140" i="7" a="1"/>
  <c r="B140" i="7" s="1"/>
  <c r="C142" i="4" l="1"/>
  <c r="D142" i="4"/>
  <c r="E142" i="4"/>
  <c r="F142" i="4"/>
  <c r="G142" i="4"/>
  <c r="H142" i="4"/>
  <c r="I142" i="4"/>
  <c r="J142" i="4"/>
  <c r="K142" i="4"/>
  <c r="L142" i="4"/>
  <c r="M142" i="4"/>
  <c r="N142" i="4"/>
  <c r="O142" i="4"/>
  <c r="P142" i="4"/>
  <c r="Q142" i="4"/>
  <c r="R142" i="4"/>
  <c r="S142" i="4"/>
  <c r="T142" i="4"/>
  <c r="U142" i="4"/>
  <c r="V142" i="4"/>
  <c r="W142" i="4"/>
  <c r="X142" i="4"/>
  <c r="Y142" i="4"/>
  <c r="Z142" i="4"/>
  <c r="AA142" i="4"/>
  <c r="G143" i="12"/>
  <c r="B143" i="4" a="1"/>
  <c r="B143" i="4" s="1"/>
  <c r="C140" i="7"/>
  <c r="D140" i="7"/>
  <c r="E140" i="7"/>
  <c r="F140" i="7"/>
  <c r="G140" i="7"/>
  <c r="H140" i="7"/>
  <c r="I140" i="7"/>
  <c r="J140" i="7"/>
  <c r="K140" i="7"/>
  <c r="L140" i="7"/>
  <c r="M140" i="7"/>
  <c r="N140" i="7"/>
  <c r="O140" i="7"/>
  <c r="P140" i="7"/>
  <c r="Q140" i="7"/>
  <c r="R140" i="7"/>
  <c r="S140" i="7"/>
  <c r="T140" i="7"/>
  <c r="U140" i="7"/>
  <c r="V140" i="7"/>
  <c r="W140" i="7"/>
  <c r="X140" i="7"/>
  <c r="Y140" i="7"/>
  <c r="Z140" i="7"/>
  <c r="AA140" i="7"/>
  <c r="H141" i="12"/>
  <c r="B141" i="7" a="1"/>
  <c r="B141" i="7" s="1"/>
  <c r="B144" i="4" l="1" a="1"/>
  <c r="B144" i="4" s="1"/>
  <c r="C143" i="4"/>
  <c r="D143" i="4"/>
  <c r="E143" i="4"/>
  <c r="F143" i="4"/>
  <c r="G143" i="4"/>
  <c r="H143" i="4"/>
  <c r="I143" i="4"/>
  <c r="J143" i="4"/>
  <c r="K143" i="4"/>
  <c r="L143" i="4"/>
  <c r="M143" i="4"/>
  <c r="N143" i="4"/>
  <c r="O143" i="4"/>
  <c r="P143" i="4"/>
  <c r="Q143" i="4"/>
  <c r="R143" i="4"/>
  <c r="S143" i="4"/>
  <c r="T143" i="4"/>
  <c r="U143" i="4"/>
  <c r="V143" i="4"/>
  <c r="W143" i="4"/>
  <c r="X143" i="4"/>
  <c r="Y143" i="4"/>
  <c r="Z143" i="4"/>
  <c r="AA143" i="4"/>
  <c r="G144" i="12"/>
  <c r="C141" i="7"/>
  <c r="D141" i="7"/>
  <c r="E141" i="7"/>
  <c r="F141" i="7"/>
  <c r="G141" i="7"/>
  <c r="H141" i="7"/>
  <c r="I141" i="7"/>
  <c r="J141" i="7"/>
  <c r="K141" i="7"/>
  <c r="L141" i="7"/>
  <c r="M141" i="7"/>
  <c r="N141" i="7"/>
  <c r="O141" i="7"/>
  <c r="P141" i="7"/>
  <c r="Q141" i="7"/>
  <c r="R141" i="7"/>
  <c r="S141" i="7"/>
  <c r="T141" i="7"/>
  <c r="U141" i="7"/>
  <c r="V141" i="7"/>
  <c r="W141" i="7"/>
  <c r="X141" i="7"/>
  <c r="Y141" i="7"/>
  <c r="Z141" i="7"/>
  <c r="AA141" i="7"/>
  <c r="H142" i="12"/>
  <c r="B142" i="7" a="1"/>
  <c r="B142" i="7" s="1"/>
  <c r="C144" i="4" l="1"/>
  <c r="D144" i="4"/>
  <c r="E144" i="4"/>
  <c r="F144" i="4"/>
  <c r="G144" i="4"/>
  <c r="H144" i="4"/>
  <c r="I144" i="4"/>
  <c r="J144" i="4"/>
  <c r="K144" i="4"/>
  <c r="L144" i="4"/>
  <c r="M144" i="4"/>
  <c r="N144" i="4"/>
  <c r="O144" i="4"/>
  <c r="P144" i="4"/>
  <c r="Q144" i="4"/>
  <c r="R144" i="4"/>
  <c r="S144" i="4"/>
  <c r="T144" i="4"/>
  <c r="U144" i="4"/>
  <c r="V144" i="4"/>
  <c r="W144" i="4"/>
  <c r="X144" i="4"/>
  <c r="Y144" i="4"/>
  <c r="Z144" i="4"/>
  <c r="AA144" i="4"/>
  <c r="G145" i="12"/>
  <c r="B145" i="4" a="1"/>
  <c r="B145" i="4" s="1"/>
  <c r="C142" i="7"/>
  <c r="D142" i="7"/>
  <c r="E142" i="7"/>
  <c r="F142" i="7"/>
  <c r="G142" i="7"/>
  <c r="H142" i="7"/>
  <c r="I142" i="7"/>
  <c r="J142" i="7"/>
  <c r="K142" i="7"/>
  <c r="L142" i="7"/>
  <c r="M142" i="7"/>
  <c r="N142" i="7"/>
  <c r="O142" i="7"/>
  <c r="P142" i="7"/>
  <c r="Q142" i="7"/>
  <c r="R142" i="7"/>
  <c r="S142" i="7"/>
  <c r="T142" i="7"/>
  <c r="U142" i="7"/>
  <c r="V142" i="7"/>
  <c r="W142" i="7"/>
  <c r="X142" i="7"/>
  <c r="Y142" i="7"/>
  <c r="Z142" i="7"/>
  <c r="AA142" i="7"/>
  <c r="H143" i="12"/>
  <c r="B143" i="7" a="1"/>
  <c r="B143" i="7" s="1"/>
  <c r="C145" i="4" l="1"/>
  <c r="D145" i="4"/>
  <c r="E145" i="4"/>
  <c r="F145" i="4"/>
  <c r="G145" i="4"/>
  <c r="H145" i="4"/>
  <c r="I145" i="4"/>
  <c r="J145" i="4"/>
  <c r="K145" i="4"/>
  <c r="L145" i="4"/>
  <c r="M145" i="4"/>
  <c r="N145" i="4"/>
  <c r="O145" i="4"/>
  <c r="P145" i="4"/>
  <c r="Q145" i="4"/>
  <c r="R145" i="4"/>
  <c r="S145" i="4"/>
  <c r="T145" i="4"/>
  <c r="U145" i="4"/>
  <c r="V145" i="4"/>
  <c r="W145" i="4"/>
  <c r="X145" i="4"/>
  <c r="Y145" i="4"/>
  <c r="Z145" i="4"/>
  <c r="AA145" i="4"/>
  <c r="G146" i="12"/>
  <c r="B146" i="4" a="1"/>
  <c r="B146" i="4" s="1"/>
  <c r="B144" i="7" a="1"/>
  <c r="B144" i="7" s="1"/>
  <c r="C143" i="7"/>
  <c r="D143" i="7"/>
  <c r="E143" i="7"/>
  <c r="F143" i="7"/>
  <c r="G143" i="7"/>
  <c r="H143" i="7"/>
  <c r="I143" i="7"/>
  <c r="J143" i="7"/>
  <c r="K143" i="7"/>
  <c r="L143" i="7"/>
  <c r="M143" i="7"/>
  <c r="N143" i="7"/>
  <c r="O143" i="7"/>
  <c r="P143" i="7"/>
  <c r="Q143" i="7"/>
  <c r="R143" i="7"/>
  <c r="S143" i="7"/>
  <c r="T143" i="7"/>
  <c r="U143" i="7"/>
  <c r="V143" i="7"/>
  <c r="W143" i="7"/>
  <c r="X143" i="7"/>
  <c r="Y143" i="7"/>
  <c r="Z143" i="7"/>
  <c r="AA143" i="7"/>
  <c r="H144" i="12"/>
  <c r="C146" i="4" l="1"/>
  <c r="D146" i="4"/>
  <c r="E146" i="4"/>
  <c r="F146" i="4"/>
  <c r="G146" i="4"/>
  <c r="H146" i="4"/>
  <c r="I146" i="4"/>
  <c r="J146" i="4"/>
  <c r="K146" i="4"/>
  <c r="L146" i="4"/>
  <c r="M146" i="4"/>
  <c r="N146" i="4"/>
  <c r="O146" i="4"/>
  <c r="P146" i="4"/>
  <c r="Q146" i="4"/>
  <c r="R146" i="4"/>
  <c r="S146" i="4"/>
  <c r="T146" i="4"/>
  <c r="U146" i="4"/>
  <c r="V146" i="4"/>
  <c r="W146" i="4"/>
  <c r="X146" i="4"/>
  <c r="Y146" i="4"/>
  <c r="Z146" i="4"/>
  <c r="AA146" i="4"/>
  <c r="G147" i="12"/>
  <c r="B147" i="4" a="1"/>
  <c r="B147" i="4" s="1"/>
  <c r="C144" i="7"/>
  <c r="D144" i="7"/>
  <c r="E144" i="7"/>
  <c r="F144" i="7"/>
  <c r="G144" i="7"/>
  <c r="H144" i="7"/>
  <c r="I144" i="7"/>
  <c r="J144" i="7"/>
  <c r="K144" i="7"/>
  <c r="L144" i="7"/>
  <c r="M144" i="7"/>
  <c r="N144" i="7"/>
  <c r="O144" i="7"/>
  <c r="P144" i="7"/>
  <c r="Q144" i="7"/>
  <c r="R144" i="7"/>
  <c r="S144" i="7"/>
  <c r="T144" i="7"/>
  <c r="U144" i="7"/>
  <c r="V144" i="7"/>
  <c r="W144" i="7"/>
  <c r="X144" i="7"/>
  <c r="Y144" i="7"/>
  <c r="Z144" i="7"/>
  <c r="AA144" i="7"/>
  <c r="H145" i="12"/>
  <c r="B145" i="7" a="1"/>
  <c r="B145" i="7" s="1"/>
  <c r="C147" i="4" l="1"/>
  <c r="D147" i="4"/>
  <c r="E147" i="4"/>
  <c r="F147" i="4"/>
  <c r="G147" i="4"/>
  <c r="H147" i="4"/>
  <c r="I147" i="4"/>
  <c r="J147" i="4"/>
  <c r="K147" i="4"/>
  <c r="L147" i="4"/>
  <c r="M147" i="4"/>
  <c r="N147" i="4"/>
  <c r="O147" i="4"/>
  <c r="P147" i="4"/>
  <c r="Q147" i="4"/>
  <c r="R147" i="4"/>
  <c r="S147" i="4"/>
  <c r="T147" i="4"/>
  <c r="U147" i="4"/>
  <c r="V147" i="4"/>
  <c r="W147" i="4"/>
  <c r="X147" i="4"/>
  <c r="Y147" i="4"/>
  <c r="Z147" i="4"/>
  <c r="AA147" i="4"/>
  <c r="G148" i="12"/>
  <c r="B148" i="4" a="1"/>
  <c r="B148" i="4" s="1"/>
  <c r="B146" i="7" a="1"/>
  <c r="B146" i="7" s="1"/>
  <c r="C145" i="7"/>
  <c r="D145" i="7"/>
  <c r="E145" i="7"/>
  <c r="F145" i="7"/>
  <c r="G145" i="7"/>
  <c r="H145" i="7"/>
  <c r="I145" i="7"/>
  <c r="J145" i="7"/>
  <c r="K145" i="7"/>
  <c r="L145" i="7"/>
  <c r="M145" i="7"/>
  <c r="N145" i="7"/>
  <c r="O145" i="7"/>
  <c r="P145" i="7"/>
  <c r="Q145" i="7"/>
  <c r="R145" i="7"/>
  <c r="S145" i="7"/>
  <c r="T145" i="7"/>
  <c r="U145" i="7"/>
  <c r="V145" i="7"/>
  <c r="W145" i="7"/>
  <c r="X145" i="7"/>
  <c r="Y145" i="7"/>
  <c r="Z145" i="7"/>
  <c r="AA145" i="7"/>
  <c r="H146" i="12"/>
  <c r="B149" i="4" l="1" a="1"/>
  <c r="B149" i="4" s="1"/>
  <c r="C148" i="4"/>
  <c r="D148" i="4"/>
  <c r="E148" i="4"/>
  <c r="F148" i="4"/>
  <c r="G148" i="4"/>
  <c r="H148" i="4"/>
  <c r="I148" i="4"/>
  <c r="J148" i="4"/>
  <c r="K148" i="4"/>
  <c r="L148" i="4"/>
  <c r="M148" i="4"/>
  <c r="N148" i="4"/>
  <c r="O148" i="4"/>
  <c r="P148" i="4"/>
  <c r="Q148" i="4"/>
  <c r="R148" i="4"/>
  <c r="S148" i="4"/>
  <c r="T148" i="4"/>
  <c r="U148" i="4"/>
  <c r="V148" i="4"/>
  <c r="W148" i="4"/>
  <c r="X148" i="4"/>
  <c r="Y148" i="4"/>
  <c r="Z148" i="4"/>
  <c r="AA148" i="4"/>
  <c r="G149" i="12"/>
  <c r="C146" i="7"/>
  <c r="D146" i="7"/>
  <c r="E146" i="7"/>
  <c r="F146" i="7"/>
  <c r="G146" i="7"/>
  <c r="H146" i="7"/>
  <c r="I146" i="7"/>
  <c r="J146" i="7"/>
  <c r="K146" i="7"/>
  <c r="L146" i="7"/>
  <c r="M146" i="7"/>
  <c r="N146" i="7"/>
  <c r="O146" i="7"/>
  <c r="P146" i="7"/>
  <c r="Q146" i="7"/>
  <c r="R146" i="7"/>
  <c r="S146" i="7"/>
  <c r="T146" i="7"/>
  <c r="U146" i="7"/>
  <c r="V146" i="7"/>
  <c r="W146" i="7"/>
  <c r="X146" i="7"/>
  <c r="Y146" i="7"/>
  <c r="Z146" i="7"/>
  <c r="AA146" i="7"/>
  <c r="H147" i="12"/>
  <c r="B147" i="7" a="1"/>
  <c r="B147" i="7" s="1"/>
  <c r="C149" i="4" l="1"/>
  <c r="D149" i="4"/>
  <c r="E149" i="4"/>
  <c r="F149" i="4"/>
  <c r="G149" i="4"/>
  <c r="H149" i="4"/>
  <c r="I149" i="4"/>
  <c r="J149" i="4"/>
  <c r="K149" i="4"/>
  <c r="L149" i="4"/>
  <c r="M149" i="4"/>
  <c r="N149" i="4"/>
  <c r="O149" i="4"/>
  <c r="P149" i="4"/>
  <c r="Q149" i="4"/>
  <c r="R149" i="4"/>
  <c r="S149" i="4"/>
  <c r="T149" i="4"/>
  <c r="U149" i="4"/>
  <c r="V149" i="4"/>
  <c r="W149" i="4"/>
  <c r="X149" i="4"/>
  <c r="Y149" i="4"/>
  <c r="Z149" i="4"/>
  <c r="AA149" i="4"/>
  <c r="G150" i="12"/>
  <c r="B150" i="4" a="1"/>
  <c r="B150" i="4" s="1"/>
  <c r="B148" i="7" a="1"/>
  <c r="B148" i="7" s="1"/>
  <c r="C147" i="7"/>
  <c r="D147" i="7"/>
  <c r="E147" i="7"/>
  <c r="F147" i="7"/>
  <c r="G147" i="7"/>
  <c r="H147" i="7"/>
  <c r="I147" i="7"/>
  <c r="J147" i="7"/>
  <c r="K147" i="7"/>
  <c r="L147" i="7"/>
  <c r="M147" i="7"/>
  <c r="N147" i="7"/>
  <c r="O147" i="7"/>
  <c r="P147" i="7"/>
  <c r="Q147" i="7"/>
  <c r="R147" i="7"/>
  <c r="S147" i="7"/>
  <c r="T147" i="7"/>
  <c r="U147" i="7"/>
  <c r="V147" i="7"/>
  <c r="W147" i="7"/>
  <c r="X147" i="7"/>
  <c r="Y147" i="7"/>
  <c r="Z147" i="7"/>
  <c r="AA147" i="7"/>
  <c r="H148" i="12"/>
  <c r="C150" i="4" l="1"/>
  <c r="D150" i="4"/>
  <c r="E150" i="4"/>
  <c r="F150" i="4"/>
  <c r="G150" i="4"/>
  <c r="H150" i="4"/>
  <c r="I150" i="4"/>
  <c r="J150" i="4"/>
  <c r="K150" i="4"/>
  <c r="L150" i="4"/>
  <c r="M150" i="4"/>
  <c r="N150" i="4"/>
  <c r="O150" i="4"/>
  <c r="P150" i="4"/>
  <c r="Q150" i="4"/>
  <c r="R150" i="4"/>
  <c r="S150" i="4"/>
  <c r="T150" i="4"/>
  <c r="U150" i="4"/>
  <c r="V150" i="4"/>
  <c r="W150" i="4"/>
  <c r="X150" i="4"/>
  <c r="Y150" i="4"/>
  <c r="Z150" i="4"/>
  <c r="AA150" i="4"/>
  <c r="G151" i="12"/>
  <c r="B151" i="4" a="1"/>
  <c r="B151" i="4" s="1"/>
  <c r="B149" i="7" a="1"/>
  <c r="B149" i="7" s="1"/>
  <c r="C148" i="7"/>
  <c r="D148" i="7"/>
  <c r="E148" i="7"/>
  <c r="F148" i="7"/>
  <c r="G148" i="7"/>
  <c r="H148" i="7"/>
  <c r="I148" i="7"/>
  <c r="J148" i="7"/>
  <c r="K148" i="7"/>
  <c r="L148" i="7"/>
  <c r="M148" i="7"/>
  <c r="N148" i="7"/>
  <c r="O148" i="7"/>
  <c r="P148" i="7"/>
  <c r="Q148" i="7"/>
  <c r="R148" i="7"/>
  <c r="S148" i="7"/>
  <c r="T148" i="7"/>
  <c r="U148" i="7"/>
  <c r="V148" i="7"/>
  <c r="W148" i="7"/>
  <c r="X148" i="7"/>
  <c r="Y148" i="7"/>
  <c r="Z148" i="7"/>
  <c r="AA148" i="7"/>
  <c r="H149" i="12"/>
  <c r="C151" i="4" l="1"/>
  <c r="D151" i="4"/>
  <c r="E151" i="4"/>
  <c r="F151" i="4"/>
  <c r="G151" i="4"/>
  <c r="H151" i="4"/>
  <c r="I151" i="4"/>
  <c r="J151" i="4"/>
  <c r="K151" i="4"/>
  <c r="L151" i="4"/>
  <c r="M151" i="4"/>
  <c r="N151" i="4"/>
  <c r="O151" i="4"/>
  <c r="P151" i="4"/>
  <c r="Q151" i="4"/>
  <c r="R151" i="4"/>
  <c r="S151" i="4"/>
  <c r="T151" i="4"/>
  <c r="U151" i="4"/>
  <c r="V151" i="4"/>
  <c r="W151" i="4"/>
  <c r="X151" i="4"/>
  <c r="Y151" i="4"/>
  <c r="Z151" i="4"/>
  <c r="AA151" i="4"/>
  <c r="G152" i="12"/>
  <c r="B152" i="4" a="1"/>
  <c r="B152" i="4" s="1"/>
  <c r="B150" i="7" a="1"/>
  <c r="B150" i="7" s="1"/>
  <c r="C149" i="7"/>
  <c r="D149" i="7"/>
  <c r="E149" i="7"/>
  <c r="F149" i="7"/>
  <c r="G149" i="7"/>
  <c r="H149" i="7"/>
  <c r="I149" i="7"/>
  <c r="J149" i="7"/>
  <c r="K149" i="7"/>
  <c r="L149" i="7"/>
  <c r="M149" i="7"/>
  <c r="N149" i="7"/>
  <c r="O149" i="7"/>
  <c r="P149" i="7"/>
  <c r="Q149" i="7"/>
  <c r="R149" i="7"/>
  <c r="S149" i="7"/>
  <c r="T149" i="7"/>
  <c r="U149" i="7"/>
  <c r="V149" i="7"/>
  <c r="W149" i="7"/>
  <c r="X149" i="7"/>
  <c r="Y149" i="7"/>
  <c r="Z149" i="7"/>
  <c r="AA149" i="7"/>
  <c r="H150" i="12"/>
  <c r="B153" i="4" l="1" a="1"/>
  <c r="B153" i="4" s="1"/>
  <c r="C152" i="4"/>
  <c r="D152" i="4"/>
  <c r="E152" i="4"/>
  <c r="F152" i="4"/>
  <c r="G152" i="4"/>
  <c r="H152" i="4"/>
  <c r="I152" i="4"/>
  <c r="J152" i="4"/>
  <c r="K152" i="4"/>
  <c r="L152" i="4"/>
  <c r="M152" i="4"/>
  <c r="N152" i="4"/>
  <c r="O152" i="4"/>
  <c r="P152" i="4"/>
  <c r="Q152" i="4"/>
  <c r="R152" i="4"/>
  <c r="S152" i="4"/>
  <c r="T152" i="4"/>
  <c r="U152" i="4"/>
  <c r="V152" i="4"/>
  <c r="W152" i="4"/>
  <c r="X152" i="4"/>
  <c r="Y152" i="4"/>
  <c r="Z152" i="4"/>
  <c r="AA152" i="4"/>
  <c r="G153" i="12"/>
  <c r="B151" i="7" a="1"/>
  <c r="B151" i="7" s="1"/>
  <c r="C150" i="7"/>
  <c r="D150" i="7"/>
  <c r="E150" i="7"/>
  <c r="F150" i="7"/>
  <c r="G150" i="7"/>
  <c r="H150" i="7"/>
  <c r="I150" i="7"/>
  <c r="J150" i="7"/>
  <c r="K150" i="7"/>
  <c r="L150" i="7"/>
  <c r="M150" i="7"/>
  <c r="N150" i="7"/>
  <c r="O150" i="7"/>
  <c r="P150" i="7"/>
  <c r="Q150" i="7"/>
  <c r="R150" i="7"/>
  <c r="S150" i="7"/>
  <c r="T150" i="7"/>
  <c r="U150" i="7"/>
  <c r="V150" i="7"/>
  <c r="W150" i="7"/>
  <c r="X150" i="7"/>
  <c r="Y150" i="7"/>
  <c r="Z150" i="7"/>
  <c r="AA150" i="7"/>
  <c r="H151" i="12"/>
  <c r="C153" i="4" l="1"/>
  <c r="D153" i="4"/>
  <c r="E153" i="4"/>
  <c r="F153" i="4"/>
  <c r="G153" i="4"/>
  <c r="H153" i="4"/>
  <c r="I153" i="4"/>
  <c r="J153" i="4"/>
  <c r="K153" i="4"/>
  <c r="L153" i="4"/>
  <c r="M153" i="4"/>
  <c r="N153" i="4"/>
  <c r="O153" i="4"/>
  <c r="P153" i="4"/>
  <c r="Q153" i="4"/>
  <c r="R153" i="4"/>
  <c r="S153" i="4"/>
  <c r="T153" i="4"/>
  <c r="U153" i="4"/>
  <c r="V153" i="4"/>
  <c r="W153" i="4"/>
  <c r="X153" i="4"/>
  <c r="Y153" i="4"/>
  <c r="Z153" i="4"/>
  <c r="AA153" i="4"/>
  <c r="G154" i="12"/>
  <c r="B154" i="4" a="1"/>
  <c r="B154" i="4" s="1"/>
  <c r="C151" i="7"/>
  <c r="D151" i="7"/>
  <c r="E151" i="7"/>
  <c r="F151" i="7"/>
  <c r="G151" i="7"/>
  <c r="H151" i="7"/>
  <c r="I151" i="7"/>
  <c r="J151" i="7"/>
  <c r="K151" i="7"/>
  <c r="L151" i="7"/>
  <c r="M151" i="7"/>
  <c r="N151" i="7"/>
  <c r="O151" i="7"/>
  <c r="P151" i="7"/>
  <c r="Q151" i="7"/>
  <c r="R151" i="7"/>
  <c r="S151" i="7"/>
  <c r="T151" i="7"/>
  <c r="U151" i="7"/>
  <c r="V151" i="7"/>
  <c r="W151" i="7"/>
  <c r="X151" i="7"/>
  <c r="Y151" i="7"/>
  <c r="Z151" i="7"/>
  <c r="AA151" i="7"/>
  <c r="H152" i="12"/>
  <c r="B152" i="7" a="1"/>
  <c r="B152" i="7" s="1"/>
  <c r="C154" i="4" l="1"/>
  <c r="D154" i="4"/>
  <c r="E154" i="4"/>
  <c r="F154" i="4"/>
  <c r="G154" i="4"/>
  <c r="H154" i="4"/>
  <c r="I154" i="4"/>
  <c r="J154" i="4"/>
  <c r="K154" i="4"/>
  <c r="L154" i="4"/>
  <c r="M154" i="4"/>
  <c r="N154" i="4"/>
  <c r="O154" i="4"/>
  <c r="P154" i="4"/>
  <c r="Q154" i="4"/>
  <c r="R154" i="4"/>
  <c r="S154" i="4"/>
  <c r="T154" i="4"/>
  <c r="U154" i="4"/>
  <c r="V154" i="4"/>
  <c r="W154" i="4"/>
  <c r="X154" i="4"/>
  <c r="Y154" i="4"/>
  <c r="Z154" i="4"/>
  <c r="AA154" i="4"/>
  <c r="G155" i="12"/>
  <c r="B155" i="4" a="1"/>
  <c r="B155" i="4" s="1"/>
  <c r="C152" i="7"/>
  <c r="D152" i="7"/>
  <c r="E152" i="7"/>
  <c r="F152" i="7"/>
  <c r="G152" i="7"/>
  <c r="H152" i="7"/>
  <c r="I152" i="7"/>
  <c r="J152" i="7"/>
  <c r="K152" i="7"/>
  <c r="L152" i="7"/>
  <c r="M152" i="7"/>
  <c r="N152" i="7"/>
  <c r="O152" i="7"/>
  <c r="P152" i="7"/>
  <c r="Q152" i="7"/>
  <c r="R152" i="7"/>
  <c r="S152" i="7"/>
  <c r="T152" i="7"/>
  <c r="U152" i="7"/>
  <c r="V152" i="7"/>
  <c r="W152" i="7"/>
  <c r="X152" i="7"/>
  <c r="Y152" i="7"/>
  <c r="Z152" i="7"/>
  <c r="AA152" i="7"/>
  <c r="H153" i="12"/>
  <c r="B153" i="7" a="1"/>
  <c r="B153" i="7" s="1"/>
  <c r="B156" i="4" l="1" a="1"/>
  <c r="B156" i="4" s="1"/>
  <c r="C155" i="4"/>
  <c r="D155" i="4"/>
  <c r="E155" i="4"/>
  <c r="F155" i="4"/>
  <c r="G155" i="4"/>
  <c r="H155" i="4"/>
  <c r="I155" i="4"/>
  <c r="J155" i="4"/>
  <c r="K155" i="4"/>
  <c r="L155" i="4"/>
  <c r="M155" i="4"/>
  <c r="N155" i="4"/>
  <c r="O155" i="4"/>
  <c r="P155" i="4"/>
  <c r="Q155" i="4"/>
  <c r="R155" i="4"/>
  <c r="S155" i="4"/>
  <c r="T155" i="4"/>
  <c r="U155" i="4"/>
  <c r="V155" i="4"/>
  <c r="W155" i="4"/>
  <c r="X155" i="4"/>
  <c r="Y155" i="4"/>
  <c r="Z155" i="4"/>
  <c r="AA155" i="4"/>
  <c r="G156" i="12"/>
  <c r="C153" i="7"/>
  <c r="D153" i="7"/>
  <c r="E153" i="7"/>
  <c r="F153" i="7"/>
  <c r="G153" i="7"/>
  <c r="H153" i="7"/>
  <c r="I153" i="7"/>
  <c r="J153" i="7"/>
  <c r="K153" i="7"/>
  <c r="L153" i="7"/>
  <c r="M153" i="7"/>
  <c r="N153" i="7"/>
  <c r="O153" i="7"/>
  <c r="P153" i="7"/>
  <c r="Q153" i="7"/>
  <c r="R153" i="7"/>
  <c r="S153" i="7"/>
  <c r="T153" i="7"/>
  <c r="U153" i="7"/>
  <c r="V153" i="7"/>
  <c r="W153" i="7"/>
  <c r="X153" i="7"/>
  <c r="Y153" i="7"/>
  <c r="Z153" i="7"/>
  <c r="AA153" i="7"/>
  <c r="H154" i="12"/>
  <c r="B154" i="7" a="1"/>
  <c r="B154" i="7" s="1"/>
  <c r="B157" i="4" l="1" a="1"/>
  <c r="B157" i="4" s="1"/>
  <c r="C156" i="4"/>
  <c r="D156" i="4"/>
  <c r="E156" i="4"/>
  <c r="F156" i="4"/>
  <c r="G156" i="4"/>
  <c r="H156" i="4"/>
  <c r="I156" i="4"/>
  <c r="J156" i="4"/>
  <c r="K156" i="4"/>
  <c r="L156" i="4"/>
  <c r="M156" i="4"/>
  <c r="N156" i="4"/>
  <c r="O156" i="4"/>
  <c r="P156" i="4"/>
  <c r="Q156" i="4"/>
  <c r="R156" i="4"/>
  <c r="S156" i="4"/>
  <c r="T156" i="4"/>
  <c r="U156" i="4"/>
  <c r="V156" i="4"/>
  <c r="W156" i="4"/>
  <c r="X156" i="4"/>
  <c r="Y156" i="4"/>
  <c r="Z156" i="4"/>
  <c r="AA156" i="4"/>
  <c r="G157" i="12"/>
  <c r="B155" i="7" a="1"/>
  <c r="B155" i="7" s="1"/>
  <c r="C154" i="7"/>
  <c r="D154" i="7"/>
  <c r="E154" i="7"/>
  <c r="F154" i="7"/>
  <c r="G154" i="7"/>
  <c r="H154" i="7"/>
  <c r="I154" i="7"/>
  <c r="J154" i="7"/>
  <c r="K154" i="7"/>
  <c r="L154" i="7"/>
  <c r="M154" i="7"/>
  <c r="N154" i="7"/>
  <c r="O154" i="7"/>
  <c r="P154" i="7"/>
  <c r="Q154" i="7"/>
  <c r="R154" i="7"/>
  <c r="S154" i="7"/>
  <c r="T154" i="7"/>
  <c r="U154" i="7"/>
  <c r="V154" i="7"/>
  <c r="W154" i="7"/>
  <c r="X154" i="7"/>
  <c r="Y154" i="7"/>
  <c r="Z154" i="7"/>
  <c r="AA154" i="7"/>
  <c r="H155" i="12"/>
  <c r="C157" i="4" l="1"/>
  <c r="D157" i="4"/>
  <c r="E157" i="4"/>
  <c r="F157" i="4"/>
  <c r="G157" i="4"/>
  <c r="H157" i="4"/>
  <c r="I157" i="4"/>
  <c r="J157" i="4"/>
  <c r="K157" i="4"/>
  <c r="L157" i="4"/>
  <c r="M157" i="4"/>
  <c r="N157" i="4"/>
  <c r="O157" i="4"/>
  <c r="P157" i="4"/>
  <c r="Q157" i="4"/>
  <c r="R157" i="4"/>
  <c r="S157" i="4"/>
  <c r="T157" i="4"/>
  <c r="U157" i="4"/>
  <c r="V157" i="4"/>
  <c r="W157" i="4"/>
  <c r="X157" i="4"/>
  <c r="Y157" i="4"/>
  <c r="Z157" i="4"/>
  <c r="AA157" i="4"/>
  <c r="G158" i="12"/>
  <c r="B158" i="4" a="1"/>
  <c r="B158" i="4" s="1"/>
  <c r="C155" i="7"/>
  <c r="D155" i="7"/>
  <c r="E155" i="7"/>
  <c r="F155" i="7"/>
  <c r="G155" i="7"/>
  <c r="H155" i="7"/>
  <c r="I155" i="7"/>
  <c r="J155" i="7"/>
  <c r="K155" i="7"/>
  <c r="L155" i="7"/>
  <c r="M155" i="7"/>
  <c r="N155" i="7"/>
  <c r="O155" i="7"/>
  <c r="P155" i="7"/>
  <c r="Q155" i="7"/>
  <c r="R155" i="7"/>
  <c r="S155" i="7"/>
  <c r="T155" i="7"/>
  <c r="U155" i="7"/>
  <c r="V155" i="7"/>
  <c r="W155" i="7"/>
  <c r="X155" i="7"/>
  <c r="Y155" i="7"/>
  <c r="Z155" i="7"/>
  <c r="AA155" i="7"/>
  <c r="H156" i="12"/>
  <c r="B156" i="7" a="1"/>
  <c r="B156" i="7" s="1"/>
  <c r="C158" i="4" l="1"/>
  <c r="D158" i="4"/>
  <c r="E158" i="4"/>
  <c r="F158" i="4"/>
  <c r="G158" i="4"/>
  <c r="H158" i="4"/>
  <c r="I158" i="4"/>
  <c r="J158" i="4"/>
  <c r="K158" i="4"/>
  <c r="L158" i="4"/>
  <c r="M158" i="4"/>
  <c r="N158" i="4"/>
  <c r="O158" i="4"/>
  <c r="P158" i="4"/>
  <c r="Q158" i="4"/>
  <c r="R158" i="4"/>
  <c r="S158" i="4"/>
  <c r="T158" i="4"/>
  <c r="U158" i="4"/>
  <c r="V158" i="4"/>
  <c r="W158" i="4"/>
  <c r="X158" i="4"/>
  <c r="Y158" i="4"/>
  <c r="Z158" i="4"/>
  <c r="AA158" i="4"/>
  <c r="G159" i="12"/>
  <c r="B159" i="4" a="1"/>
  <c r="B159" i="4" s="1"/>
  <c r="C156" i="7"/>
  <c r="D156" i="7"/>
  <c r="E156" i="7"/>
  <c r="F156" i="7"/>
  <c r="G156" i="7"/>
  <c r="H156" i="7"/>
  <c r="I156" i="7"/>
  <c r="J156" i="7"/>
  <c r="K156" i="7"/>
  <c r="L156" i="7"/>
  <c r="M156" i="7"/>
  <c r="N156" i="7"/>
  <c r="O156" i="7"/>
  <c r="P156" i="7"/>
  <c r="Q156" i="7"/>
  <c r="R156" i="7"/>
  <c r="S156" i="7"/>
  <c r="T156" i="7"/>
  <c r="U156" i="7"/>
  <c r="V156" i="7"/>
  <c r="W156" i="7"/>
  <c r="X156" i="7"/>
  <c r="Y156" i="7"/>
  <c r="Z156" i="7"/>
  <c r="AA156" i="7"/>
  <c r="H157" i="12"/>
  <c r="B157" i="7" a="1"/>
  <c r="B157" i="7" s="1"/>
  <c r="B160" i="4" l="1" a="1"/>
  <c r="B160" i="4" s="1"/>
  <c r="C159" i="4"/>
  <c r="D159" i="4"/>
  <c r="E159" i="4"/>
  <c r="F159" i="4"/>
  <c r="G159" i="4"/>
  <c r="H159" i="4"/>
  <c r="I159" i="4"/>
  <c r="J159" i="4"/>
  <c r="K159" i="4"/>
  <c r="L159" i="4"/>
  <c r="M159" i="4"/>
  <c r="N159" i="4"/>
  <c r="O159" i="4"/>
  <c r="P159" i="4"/>
  <c r="Q159" i="4"/>
  <c r="R159" i="4"/>
  <c r="S159" i="4"/>
  <c r="T159" i="4"/>
  <c r="U159" i="4"/>
  <c r="V159" i="4"/>
  <c r="W159" i="4"/>
  <c r="X159" i="4"/>
  <c r="Y159" i="4"/>
  <c r="Z159" i="4"/>
  <c r="AA159" i="4"/>
  <c r="G160" i="12"/>
  <c r="B158" i="7" a="1"/>
  <c r="B158" i="7" s="1"/>
  <c r="C157" i="7"/>
  <c r="D157" i="7"/>
  <c r="E157" i="7"/>
  <c r="F157" i="7"/>
  <c r="G157" i="7"/>
  <c r="H157" i="7"/>
  <c r="I157" i="7"/>
  <c r="J157" i="7"/>
  <c r="K157" i="7"/>
  <c r="L157" i="7"/>
  <c r="M157" i="7"/>
  <c r="N157" i="7"/>
  <c r="O157" i="7"/>
  <c r="P157" i="7"/>
  <c r="Q157" i="7"/>
  <c r="R157" i="7"/>
  <c r="S157" i="7"/>
  <c r="T157" i="7"/>
  <c r="U157" i="7"/>
  <c r="V157" i="7"/>
  <c r="W157" i="7"/>
  <c r="X157" i="7"/>
  <c r="Y157" i="7"/>
  <c r="Z157" i="7"/>
  <c r="AA157" i="7"/>
  <c r="H158" i="12"/>
  <c r="C160" i="4" l="1"/>
  <c r="D160" i="4"/>
  <c r="E160" i="4"/>
  <c r="F160" i="4"/>
  <c r="G160" i="4"/>
  <c r="H160" i="4"/>
  <c r="I160" i="4"/>
  <c r="J160" i="4"/>
  <c r="K160" i="4"/>
  <c r="L160" i="4"/>
  <c r="M160" i="4"/>
  <c r="N160" i="4"/>
  <c r="O160" i="4"/>
  <c r="P160" i="4"/>
  <c r="Q160" i="4"/>
  <c r="R160" i="4"/>
  <c r="S160" i="4"/>
  <c r="T160" i="4"/>
  <c r="U160" i="4"/>
  <c r="V160" i="4"/>
  <c r="W160" i="4"/>
  <c r="X160" i="4"/>
  <c r="Y160" i="4"/>
  <c r="Z160" i="4"/>
  <c r="AA160" i="4"/>
  <c r="G161" i="12"/>
  <c r="B161" i="4" a="1"/>
  <c r="B161" i="4" s="1"/>
  <c r="B159" i="7" a="1"/>
  <c r="B159" i="7" s="1"/>
  <c r="C158" i="7"/>
  <c r="D158" i="7"/>
  <c r="E158" i="7"/>
  <c r="F158" i="7"/>
  <c r="G158" i="7"/>
  <c r="H158" i="7"/>
  <c r="I158" i="7"/>
  <c r="J158" i="7"/>
  <c r="K158" i="7"/>
  <c r="L158" i="7"/>
  <c r="M158" i="7"/>
  <c r="N158" i="7"/>
  <c r="O158" i="7"/>
  <c r="P158" i="7"/>
  <c r="Q158" i="7"/>
  <c r="R158" i="7"/>
  <c r="S158" i="7"/>
  <c r="T158" i="7"/>
  <c r="U158" i="7"/>
  <c r="V158" i="7"/>
  <c r="W158" i="7"/>
  <c r="X158" i="7"/>
  <c r="Y158" i="7"/>
  <c r="Z158" i="7"/>
  <c r="AA158" i="7"/>
  <c r="H159" i="12"/>
  <c r="C161" i="4" l="1"/>
  <c r="D161" i="4"/>
  <c r="E161" i="4"/>
  <c r="F161" i="4"/>
  <c r="G161" i="4"/>
  <c r="H161" i="4"/>
  <c r="I161" i="4"/>
  <c r="J161" i="4"/>
  <c r="K161" i="4"/>
  <c r="L161" i="4"/>
  <c r="M161" i="4"/>
  <c r="N161" i="4"/>
  <c r="O161" i="4"/>
  <c r="P161" i="4"/>
  <c r="Q161" i="4"/>
  <c r="R161" i="4"/>
  <c r="S161" i="4"/>
  <c r="T161" i="4"/>
  <c r="U161" i="4"/>
  <c r="V161" i="4"/>
  <c r="W161" i="4"/>
  <c r="X161" i="4"/>
  <c r="Y161" i="4"/>
  <c r="Z161" i="4"/>
  <c r="AA161" i="4"/>
  <c r="G162" i="12"/>
  <c r="B162" i="4" a="1"/>
  <c r="B162" i="4" s="1"/>
  <c r="C159" i="7"/>
  <c r="D159" i="7"/>
  <c r="E159" i="7"/>
  <c r="F159" i="7"/>
  <c r="G159" i="7"/>
  <c r="H159" i="7"/>
  <c r="I159" i="7"/>
  <c r="J159" i="7"/>
  <c r="K159" i="7"/>
  <c r="L159" i="7"/>
  <c r="M159" i="7"/>
  <c r="N159" i="7"/>
  <c r="O159" i="7"/>
  <c r="P159" i="7"/>
  <c r="Q159" i="7"/>
  <c r="R159" i="7"/>
  <c r="S159" i="7"/>
  <c r="T159" i="7"/>
  <c r="U159" i="7"/>
  <c r="V159" i="7"/>
  <c r="W159" i="7"/>
  <c r="X159" i="7"/>
  <c r="Y159" i="7"/>
  <c r="Z159" i="7"/>
  <c r="AA159" i="7"/>
  <c r="H160" i="12"/>
  <c r="B160" i="7" a="1"/>
  <c r="B160" i="7" s="1"/>
  <c r="C162" i="4" l="1"/>
  <c r="D162" i="4"/>
  <c r="E162" i="4"/>
  <c r="F162" i="4"/>
  <c r="G162" i="4"/>
  <c r="H162" i="4"/>
  <c r="I162" i="4"/>
  <c r="J162" i="4"/>
  <c r="K162" i="4"/>
  <c r="L162" i="4"/>
  <c r="M162" i="4"/>
  <c r="N162" i="4"/>
  <c r="O162" i="4"/>
  <c r="P162" i="4"/>
  <c r="Q162" i="4"/>
  <c r="R162" i="4"/>
  <c r="S162" i="4"/>
  <c r="T162" i="4"/>
  <c r="U162" i="4"/>
  <c r="V162" i="4"/>
  <c r="W162" i="4"/>
  <c r="X162" i="4"/>
  <c r="Y162" i="4"/>
  <c r="Z162" i="4"/>
  <c r="AA162" i="4"/>
  <c r="G163" i="12"/>
  <c r="B163" i="4" a="1"/>
  <c r="B163" i="4" s="1"/>
  <c r="C160" i="7"/>
  <c r="D160" i="7"/>
  <c r="E160" i="7"/>
  <c r="F160" i="7"/>
  <c r="G160" i="7"/>
  <c r="H160" i="7"/>
  <c r="I160" i="7"/>
  <c r="J160" i="7"/>
  <c r="K160" i="7"/>
  <c r="L160" i="7"/>
  <c r="M160" i="7"/>
  <c r="N160" i="7"/>
  <c r="O160" i="7"/>
  <c r="P160" i="7"/>
  <c r="Q160" i="7"/>
  <c r="R160" i="7"/>
  <c r="S160" i="7"/>
  <c r="T160" i="7"/>
  <c r="U160" i="7"/>
  <c r="V160" i="7"/>
  <c r="W160" i="7"/>
  <c r="X160" i="7"/>
  <c r="Y160" i="7"/>
  <c r="Z160" i="7"/>
  <c r="AA160" i="7"/>
  <c r="H161" i="12"/>
  <c r="B161" i="7" a="1"/>
  <c r="B161" i="7" s="1"/>
  <c r="C163" i="4" l="1"/>
  <c r="D163" i="4"/>
  <c r="E163" i="4"/>
  <c r="F163" i="4"/>
  <c r="G163" i="4"/>
  <c r="H163" i="4"/>
  <c r="I163" i="4"/>
  <c r="J163" i="4"/>
  <c r="K163" i="4"/>
  <c r="L163" i="4"/>
  <c r="M163" i="4"/>
  <c r="N163" i="4"/>
  <c r="O163" i="4"/>
  <c r="P163" i="4"/>
  <c r="Q163" i="4"/>
  <c r="R163" i="4"/>
  <c r="S163" i="4"/>
  <c r="T163" i="4"/>
  <c r="U163" i="4"/>
  <c r="V163" i="4"/>
  <c r="W163" i="4"/>
  <c r="X163" i="4"/>
  <c r="Y163" i="4"/>
  <c r="Z163" i="4"/>
  <c r="AA163" i="4"/>
  <c r="G164" i="12"/>
  <c r="B164" i="4" a="1"/>
  <c r="B164" i="4" s="1"/>
  <c r="B162" i="7" a="1"/>
  <c r="B162" i="7" s="1"/>
  <c r="C161" i="7"/>
  <c r="D161" i="7"/>
  <c r="E161" i="7"/>
  <c r="F161" i="7"/>
  <c r="G161" i="7"/>
  <c r="H161" i="7"/>
  <c r="I161" i="7"/>
  <c r="J161" i="7"/>
  <c r="K161" i="7"/>
  <c r="L161" i="7"/>
  <c r="M161" i="7"/>
  <c r="N161" i="7"/>
  <c r="O161" i="7"/>
  <c r="P161" i="7"/>
  <c r="Q161" i="7"/>
  <c r="R161" i="7"/>
  <c r="S161" i="7"/>
  <c r="T161" i="7"/>
  <c r="U161" i="7"/>
  <c r="V161" i="7"/>
  <c r="W161" i="7"/>
  <c r="X161" i="7"/>
  <c r="Y161" i="7"/>
  <c r="Z161" i="7"/>
  <c r="AA161" i="7"/>
  <c r="H162" i="12"/>
  <c r="B165" i="4" l="1" a="1"/>
  <c r="B165" i="4" s="1"/>
  <c r="C164" i="4"/>
  <c r="D164" i="4"/>
  <c r="E164" i="4"/>
  <c r="F164" i="4"/>
  <c r="G164" i="4"/>
  <c r="H164" i="4"/>
  <c r="I164" i="4"/>
  <c r="J164" i="4"/>
  <c r="K164" i="4"/>
  <c r="L164" i="4"/>
  <c r="M164" i="4"/>
  <c r="N164" i="4"/>
  <c r="O164" i="4"/>
  <c r="P164" i="4"/>
  <c r="Q164" i="4"/>
  <c r="R164" i="4"/>
  <c r="S164" i="4"/>
  <c r="T164" i="4"/>
  <c r="U164" i="4"/>
  <c r="V164" i="4"/>
  <c r="W164" i="4"/>
  <c r="X164" i="4"/>
  <c r="Y164" i="4"/>
  <c r="Z164" i="4"/>
  <c r="AA164" i="4"/>
  <c r="G165" i="12"/>
  <c r="C162" i="7"/>
  <c r="D162" i="7"/>
  <c r="E162" i="7"/>
  <c r="F162" i="7"/>
  <c r="G162" i="7"/>
  <c r="H162" i="7"/>
  <c r="I162" i="7"/>
  <c r="J162" i="7"/>
  <c r="K162" i="7"/>
  <c r="L162" i="7"/>
  <c r="M162" i="7"/>
  <c r="N162" i="7"/>
  <c r="O162" i="7"/>
  <c r="P162" i="7"/>
  <c r="Q162" i="7"/>
  <c r="R162" i="7"/>
  <c r="S162" i="7"/>
  <c r="T162" i="7"/>
  <c r="U162" i="7"/>
  <c r="V162" i="7"/>
  <c r="W162" i="7"/>
  <c r="X162" i="7"/>
  <c r="Y162" i="7"/>
  <c r="Z162" i="7"/>
  <c r="AA162" i="7"/>
  <c r="H163" i="12"/>
  <c r="B163" i="7" a="1"/>
  <c r="B163" i="7" s="1"/>
  <c r="C165" i="4" l="1"/>
  <c r="D165" i="4"/>
  <c r="E165" i="4"/>
  <c r="F165" i="4"/>
  <c r="G165" i="4"/>
  <c r="H165" i="4"/>
  <c r="I165" i="4"/>
  <c r="J165" i="4"/>
  <c r="K165" i="4"/>
  <c r="L165" i="4"/>
  <c r="M165" i="4"/>
  <c r="N165" i="4"/>
  <c r="O165" i="4"/>
  <c r="P165" i="4"/>
  <c r="Q165" i="4"/>
  <c r="R165" i="4"/>
  <c r="S165" i="4"/>
  <c r="T165" i="4"/>
  <c r="U165" i="4"/>
  <c r="V165" i="4"/>
  <c r="W165" i="4"/>
  <c r="X165" i="4"/>
  <c r="Y165" i="4"/>
  <c r="Z165" i="4"/>
  <c r="AA165" i="4"/>
  <c r="G166" i="12"/>
  <c r="B166" i="4" a="1"/>
  <c r="B166" i="4" s="1"/>
  <c r="C163" i="7"/>
  <c r="D163" i="7"/>
  <c r="E163" i="7"/>
  <c r="F163" i="7"/>
  <c r="G163" i="7"/>
  <c r="H163" i="7"/>
  <c r="I163" i="7"/>
  <c r="J163" i="7"/>
  <c r="K163" i="7"/>
  <c r="L163" i="7"/>
  <c r="M163" i="7"/>
  <c r="N163" i="7"/>
  <c r="O163" i="7"/>
  <c r="P163" i="7"/>
  <c r="Q163" i="7"/>
  <c r="R163" i="7"/>
  <c r="S163" i="7"/>
  <c r="T163" i="7"/>
  <c r="U163" i="7"/>
  <c r="V163" i="7"/>
  <c r="W163" i="7"/>
  <c r="X163" i="7"/>
  <c r="Y163" i="7"/>
  <c r="Z163" i="7"/>
  <c r="AA163" i="7"/>
  <c r="H164" i="12"/>
  <c r="B164" i="7" a="1"/>
  <c r="B164" i="7" s="1"/>
  <c r="B167" i="4" l="1" a="1"/>
  <c r="B167" i="4" s="1"/>
  <c r="C166" i="4"/>
  <c r="D166" i="4"/>
  <c r="E166" i="4"/>
  <c r="F166" i="4"/>
  <c r="G166" i="4"/>
  <c r="H166" i="4"/>
  <c r="I166" i="4"/>
  <c r="J166" i="4"/>
  <c r="K166" i="4"/>
  <c r="L166" i="4"/>
  <c r="M166" i="4"/>
  <c r="N166" i="4"/>
  <c r="O166" i="4"/>
  <c r="P166" i="4"/>
  <c r="Q166" i="4"/>
  <c r="R166" i="4"/>
  <c r="S166" i="4"/>
  <c r="T166" i="4"/>
  <c r="U166" i="4"/>
  <c r="V166" i="4"/>
  <c r="W166" i="4"/>
  <c r="X166" i="4"/>
  <c r="Y166" i="4"/>
  <c r="Z166" i="4"/>
  <c r="AA166" i="4"/>
  <c r="G167" i="12"/>
  <c r="B165" i="7" a="1"/>
  <c r="B165" i="7" s="1"/>
  <c r="C164" i="7"/>
  <c r="D164" i="7"/>
  <c r="E164" i="7"/>
  <c r="F164" i="7"/>
  <c r="G164" i="7"/>
  <c r="H164" i="7"/>
  <c r="I164" i="7"/>
  <c r="J164" i="7"/>
  <c r="K164" i="7"/>
  <c r="L164" i="7"/>
  <c r="M164" i="7"/>
  <c r="N164" i="7"/>
  <c r="O164" i="7"/>
  <c r="P164" i="7"/>
  <c r="Q164" i="7"/>
  <c r="R164" i="7"/>
  <c r="S164" i="7"/>
  <c r="T164" i="7"/>
  <c r="U164" i="7"/>
  <c r="V164" i="7"/>
  <c r="W164" i="7"/>
  <c r="X164" i="7"/>
  <c r="Y164" i="7"/>
  <c r="Z164" i="7"/>
  <c r="AA164" i="7"/>
  <c r="H165" i="12"/>
  <c r="C167" i="4" l="1"/>
  <c r="D167" i="4"/>
  <c r="E167" i="4"/>
  <c r="F167" i="4"/>
  <c r="G167" i="4"/>
  <c r="H167" i="4"/>
  <c r="I167" i="4"/>
  <c r="J167" i="4"/>
  <c r="K167" i="4"/>
  <c r="L167" i="4"/>
  <c r="M167" i="4"/>
  <c r="N167" i="4"/>
  <c r="O167" i="4"/>
  <c r="P167" i="4"/>
  <c r="Q167" i="4"/>
  <c r="R167" i="4"/>
  <c r="S167" i="4"/>
  <c r="T167" i="4"/>
  <c r="U167" i="4"/>
  <c r="V167" i="4"/>
  <c r="W167" i="4"/>
  <c r="X167" i="4"/>
  <c r="Y167" i="4"/>
  <c r="Z167" i="4"/>
  <c r="AA167" i="4"/>
  <c r="G168" i="12"/>
  <c r="B168" i="4" a="1"/>
  <c r="B168" i="4" s="1"/>
  <c r="B166" i="7" a="1"/>
  <c r="B166" i="7" s="1"/>
  <c r="C165" i="7"/>
  <c r="D165" i="7"/>
  <c r="E165" i="7"/>
  <c r="F165" i="7"/>
  <c r="G165" i="7"/>
  <c r="H165" i="7"/>
  <c r="I165" i="7"/>
  <c r="J165" i="7"/>
  <c r="K165" i="7"/>
  <c r="L165" i="7"/>
  <c r="M165" i="7"/>
  <c r="N165" i="7"/>
  <c r="O165" i="7"/>
  <c r="P165" i="7"/>
  <c r="Q165" i="7"/>
  <c r="R165" i="7"/>
  <c r="S165" i="7"/>
  <c r="T165" i="7"/>
  <c r="U165" i="7"/>
  <c r="V165" i="7"/>
  <c r="W165" i="7"/>
  <c r="X165" i="7"/>
  <c r="Y165" i="7"/>
  <c r="Z165" i="7"/>
  <c r="AA165" i="7"/>
  <c r="H166" i="12"/>
  <c r="C168" i="4" l="1"/>
  <c r="D168" i="4"/>
  <c r="E168" i="4"/>
  <c r="F168" i="4"/>
  <c r="G168" i="4"/>
  <c r="H168" i="4"/>
  <c r="I168" i="4"/>
  <c r="J168" i="4"/>
  <c r="K168" i="4"/>
  <c r="L168" i="4"/>
  <c r="M168" i="4"/>
  <c r="N168" i="4"/>
  <c r="O168" i="4"/>
  <c r="P168" i="4"/>
  <c r="Q168" i="4"/>
  <c r="R168" i="4"/>
  <c r="S168" i="4"/>
  <c r="T168" i="4"/>
  <c r="U168" i="4"/>
  <c r="V168" i="4"/>
  <c r="W168" i="4"/>
  <c r="X168" i="4"/>
  <c r="Y168" i="4"/>
  <c r="Z168" i="4"/>
  <c r="AA168" i="4"/>
  <c r="G169" i="12"/>
  <c r="B169" i="4" a="1"/>
  <c r="B169" i="4" s="1"/>
  <c r="B167" i="7" a="1"/>
  <c r="B167" i="7" s="1"/>
  <c r="C166" i="7"/>
  <c r="D166" i="7"/>
  <c r="E166" i="7"/>
  <c r="F166" i="7"/>
  <c r="G166" i="7"/>
  <c r="H166" i="7"/>
  <c r="I166" i="7"/>
  <c r="J166" i="7"/>
  <c r="K166" i="7"/>
  <c r="L166" i="7"/>
  <c r="M166" i="7"/>
  <c r="N166" i="7"/>
  <c r="O166" i="7"/>
  <c r="P166" i="7"/>
  <c r="Q166" i="7"/>
  <c r="R166" i="7"/>
  <c r="S166" i="7"/>
  <c r="T166" i="7"/>
  <c r="U166" i="7"/>
  <c r="V166" i="7"/>
  <c r="W166" i="7"/>
  <c r="X166" i="7"/>
  <c r="Y166" i="7"/>
  <c r="Z166" i="7"/>
  <c r="AA166" i="7"/>
  <c r="H167" i="12"/>
  <c r="C169" i="4" l="1"/>
  <c r="D169" i="4"/>
  <c r="E169" i="4"/>
  <c r="F169" i="4"/>
  <c r="G169" i="4"/>
  <c r="H169" i="4"/>
  <c r="I169" i="4"/>
  <c r="J169" i="4"/>
  <c r="K169" i="4"/>
  <c r="L169" i="4"/>
  <c r="M169" i="4"/>
  <c r="N169" i="4"/>
  <c r="O169" i="4"/>
  <c r="P169" i="4"/>
  <c r="Q169" i="4"/>
  <c r="R169" i="4"/>
  <c r="S169" i="4"/>
  <c r="T169" i="4"/>
  <c r="U169" i="4"/>
  <c r="V169" i="4"/>
  <c r="W169" i="4"/>
  <c r="X169" i="4"/>
  <c r="Y169" i="4"/>
  <c r="Z169" i="4"/>
  <c r="AA169" i="4"/>
  <c r="G170" i="12"/>
  <c r="B170" i="4" a="1"/>
  <c r="B170" i="4" s="1"/>
  <c r="C167" i="7"/>
  <c r="D167" i="7"/>
  <c r="E167" i="7"/>
  <c r="F167" i="7"/>
  <c r="G167" i="7"/>
  <c r="H167" i="7"/>
  <c r="I167" i="7"/>
  <c r="J167" i="7"/>
  <c r="K167" i="7"/>
  <c r="L167" i="7"/>
  <c r="M167" i="7"/>
  <c r="N167" i="7"/>
  <c r="O167" i="7"/>
  <c r="P167" i="7"/>
  <c r="Q167" i="7"/>
  <c r="R167" i="7"/>
  <c r="S167" i="7"/>
  <c r="T167" i="7"/>
  <c r="U167" i="7"/>
  <c r="V167" i="7"/>
  <c r="W167" i="7"/>
  <c r="X167" i="7"/>
  <c r="Y167" i="7"/>
  <c r="Z167" i="7"/>
  <c r="AA167" i="7"/>
  <c r="H168" i="12"/>
  <c r="B168" i="7" a="1"/>
  <c r="B168" i="7" s="1"/>
  <c r="B171" i="4" l="1" a="1"/>
  <c r="B171" i="4" s="1"/>
  <c r="C170" i="4"/>
  <c r="D170" i="4"/>
  <c r="E170" i="4"/>
  <c r="F170" i="4"/>
  <c r="G170" i="4"/>
  <c r="H170" i="4"/>
  <c r="I170" i="4"/>
  <c r="J170" i="4"/>
  <c r="K170" i="4"/>
  <c r="L170" i="4"/>
  <c r="M170" i="4"/>
  <c r="N170" i="4"/>
  <c r="O170" i="4"/>
  <c r="P170" i="4"/>
  <c r="Q170" i="4"/>
  <c r="R170" i="4"/>
  <c r="S170" i="4"/>
  <c r="T170" i="4"/>
  <c r="U170" i="4"/>
  <c r="V170" i="4"/>
  <c r="W170" i="4"/>
  <c r="X170" i="4"/>
  <c r="Y170" i="4"/>
  <c r="Z170" i="4"/>
  <c r="AA170" i="4"/>
  <c r="G171" i="12"/>
  <c r="B169" i="7" a="1"/>
  <c r="B169" i="7" s="1"/>
  <c r="C168" i="7"/>
  <c r="D168" i="7"/>
  <c r="E168" i="7"/>
  <c r="F168" i="7"/>
  <c r="G168" i="7"/>
  <c r="H168" i="7"/>
  <c r="I168" i="7"/>
  <c r="J168" i="7"/>
  <c r="K168" i="7"/>
  <c r="L168" i="7"/>
  <c r="M168" i="7"/>
  <c r="N168" i="7"/>
  <c r="O168" i="7"/>
  <c r="P168" i="7"/>
  <c r="Q168" i="7"/>
  <c r="R168" i="7"/>
  <c r="S168" i="7"/>
  <c r="T168" i="7"/>
  <c r="U168" i="7"/>
  <c r="V168" i="7"/>
  <c r="W168" i="7"/>
  <c r="X168" i="7"/>
  <c r="Y168" i="7"/>
  <c r="Z168" i="7"/>
  <c r="AA168" i="7"/>
  <c r="H169" i="12"/>
  <c r="C171" i="4" l="1"/>
  <c r="D171" i="4"/>
  <c r="E171" i="4"/>
  <c r="F171" i="4"/>
  <c r="G171" i="4"/>
  <c r="H171" i="4"/>
  <c r="I171" i="4"/>
  <c r="J171" i="4"/>
  <c r="K171" i="4"/>
  <c r="L171" i="4"/>
  <c r="M171" i="4"/>
  <c r="N171" i="4"/>
  <c r="O171" i="4"/>
  <c r="P171" i="4"/>
  <c r="Q171" i="4"/>
  <c r="R171" i="4"/>
  <c r="S171" i="4"/>
  <c r="T171" i="4"/>
  <c r="U171" i="4"/>
  <c r="V171" i="4"/>
  <c r="W171" i="4"/>
  <c r="X171" i="4"/>
  <c r="Y171" i="4"/>
  <c r="Z171" i="4"/>
  <c r="AA171" i="4"/>
  <c r="G172" i="12"/>
  <c r="B172" i="4" a="1"/>
  <c r="B172" i="4" s="1"/>
  <c r="C169" i="7"/>
  <c r="D169" i="7"/>
  <c r="E169" i="7"/>
  <c r="F169" i="7"/>
  <c r="G169" i="7"/>
  <c r="H169" i="7"/>
  <c r="I169" i="7"/>
  <c r="J169" i="7"/>
  <c r="K169" i="7"/>
  <c r="L169" i="7"/>
  <c r="M169" i="7"/>
  <c r="N169" i="7"/>
  <c r="O169" i="7"/>
  <c r="P169" i="7"/>
  <c r="Q169" i="7"/>
  <c r="R169" i="7"/>
  <c r="S169" i="7"/>
  <c r="T169" i="7"/>
  <c r="U169" i="7"/>
  <c r="V169" i="7"/>
  <c r="W169" i="7"/>
  <c r="X169" i="7"/>
  <c r="Y169" i="7"/>
  <c r="Z169" i="7"/>
  <c r="AA169" i="7"/>
  <c r="H170" i="12"/>
  <c r="B170" i="7" a="1"/>
  <c r="B170" i="7" s="1"/>
  <c r="C172" i="4" l="1"/>
  <c r="D172" i="4"/>
  <c r="E172" i="4"/>
  <c r="F172" i="4"/>
  <c r="G172" i="4"/>
  <c r="H172" i="4"/>
  <c r="I172" i="4"/>
  <c r="J172" i="4"/>
  <c r="K172" i="4"/>
  <c r="L172" i="4"/>
  <c r="M172" i="4"/>
  <c r="N172" i="4"/>
  <c r="O172" i="4"/>
  <c r="P172" i="4"/>
  <c r="Q172" i="4"/>
  <c r="R172" i="4"/>
  <c r="S172" i="4"/>
  <c r="T172" i="4"/>
  <c r="U172" i="4"/>
  <c r="V172" i="4"/>
  <c r="W172" i="4"/>
  <c r="X172" i="4"/>
  <c r="Y172" i="4"/>
  <c r="Z172" i="4"/>
  <c r="AA172" i="4"/>
  <c r="G173" i="12"/>
  <c r="B173" i="4" a="1"/>
  <c r="B173" i="4" s="1"/>
  <c r="C170" i="7"/>
  <c r="D170" i="7"/>
  <c r="E170" i="7"/>
  <c r="F170" i="7"/>
  <c r="G170" i="7"/>
  <c r="H170" i="7"/>
  <c r="I170" i="7"/>
  <c r="J170" i="7"/>
  <c r="K170" i="7"/>
  <c r="L170" i="7"/>
  <c r="M170" i="7"/>
  <c r="N170" i="7"/>
  <c r="O170" i="7"/>
  <c r="P170" i="7"/>
  <c r="Q170" i="7"/>
  <c r="R170" i="7"/>
  <c r="S170" i="7"/>
  <c r="T170" i="7"/>
  <c r="U170" i="7"/>
  <c r="V170" i="7"/>
  <c r="W170" i="7"/>
  <c r="X170" i="7"/>
  <c r="Y170" i="7"/>
  <c r="Z170" i="7"/>
  <c r="AA170" i="7"/>
  <c r="H171" i="12"/>
  <c r="B171" i="7" a="1"/>
  <c r="B171" i="7" s="1"/>
  <c r="C173" i="4" l="1"/>
  <c r="D173" i="4"/>
  <c r="E173" i="4"/>
  <c r="F173" i="4"/>
  <c r="G173" i="4"/>
  <c r="H173" i="4"/>
  <c r="I173" i="4"/>
  <c r="J173" i="4"/>
  <c r="K173" i="4"/>
  <c r="L173" i="4"/>
  <c r="M173" i="4"/>
  <c r="N173" i="4"/>
  <c r="O173" i="4"/>
  <c r="P173" i="4"/>
  <c r="Q173" i="4"/>
  <c r="R173" i="4"/>
  <c r="S173" i="4"/>
  <c r="T173" i="4"/>
  <c r="U173" i="4"/>
  <c r="V173" i="4"/>
  <c r="W173" i="4"/>
  <c r="X173" i="4"/>
  <c r="Y173" i="4"/>
  <c r="Z173" i="4"/>
  <c r="AA173" i="4"/>
  <c r="G174" i="12"/>
  <c r="B174" i="4" a="1"/>
  <c r="B174" i="4" s="1"/>
  <c r="C171" i="7"/>
  <c r="D171" i="7"/>
  <c r="E171" i="7"/>
  <c r="F171" i="7"/>
  <c r="G171" i="7"/>
  <c r="H171" i="7"/>
  <c r="I171" i="7"/>
  <c r="J171" i="7"/>
  <c r="K171" i="7"/>
  <c r="L171" i="7"/>
  <c r="M171" i="7"/>
  <c r="N171" i="7"/>
  <c r="O171" i="7"/>
  <c r="P171" i="7"/>
  <c r="Q171" i="7"/>
  <c r="R171" i="7"/>
  <c r="S171" i="7"/>
  <c r="T171" i="7"/>
  <c r="U171" i="7"/>
  <c r="V171" i="7"/>
  <c r="W171" i="7"/>
  <c r="X171" i="7"/>
  <c r="Y171" i="7"/>
  <c r="Z171" i="7"/>
  <c r="AA171" i="7"/>
  <c r="H172" i="12"/>
  <c r="B172" i="7" a="1"/>
  <c r="B172" i="7" s="1"/>
  <c r="C174" i="4" l="1"/>
  <c r="D174" i="4"/>
  <c r="E174" i="4"/>
  <c r="F174" i="4"/>
  <c r="G174" i="4"/>
  <c r="H174" i="4"/>
  <c r="I174" i="4"/>
  <c r="J174" i="4"/>
  <c r="K174" i="4"/>
  <c r="L174" i="4"/>
  <c r="M174" i="4"/>
  <c r="N174" i="4"/>
  <c r="O174" i="4"/>
  <c r="P174" i="4"/>
  <c r="Q174" i="4"/>
  <c r="R174" i="4"/>
  <c r="S174" i="4"/>
  <c r="T174" i="4"/>
  <c r="U174" i="4"/>
  <c r="V174" i="4"/>
  <c r="W174" i="4"/>
  <c r="X174" i="4"/>
  <c r="Y174" i="4"/>
  <c r="Z174" i="4"/>
  <c r="AA174" i="4"/>
  <c r="G175" i="12"/>
  <c r="B175" i="4" a="1"/>
  <c r="B175" i="4" s="1"/>
  <c r="C172" i="7"/>
  <c r="D172" i="7"/>
  <c r="E172" i="7"/>
  <c r="F172" i="7"/>
  <c r="G172" i="7"/>
  <c r="H172" i="7"/>
  <c r="I172" i="7"/>
  <c r="J172" i="7"/>
  <c r="K172" i="7"/>
  <c r="L172" i="7"/>
  <c r="M172" i="7"/>
  <c r="N172" i="7"/>
  <c r="O172" i="7"/>
  <c r="P172" i="7"/>
  <c r="Q172" i="7"/>
  <c r="R172" i="7"/>
  <c r="S172" i="7"/>
  <c r="T172" i="7"/>
  <c r="U172" i="7"/>
  <c r="V172" i="7"/>
  <c r="W172" i="7"/>
  <c r="X172" i="7"/>
  <c r="Y172" i="7"/>
  <c r="Z172" i="7"/>
  <c r="AA172" i="7"/>
  <c r="H173" i="12"/>
  <c r="B173" i="7" a="1"/>
  <c r="B173" i="7" s="1"/>
  <c r="C175" i="4" l="1"/>
  <c r="D175" i="4"/>
  <c r="E175" i="4"/>
  <c r="F175" i="4"/>
  <c r="G175" i="4"/>
  <c r="H175" i="4"/>
  <c r="I175" i="4"/>
  <c r="J175" i="4"/>
  <c r="K175" i="4"/>
  <c r="L175" i="4"/>
  <c r="M175" i="4"/>
  <c r="N175" i="4"/>
  <c r="O175" i="4"/>
  <c r="P175" i="4"/>
  <c r="Q175" i="4"/>
  <c r="R175" i="4"/>
  <c r="S175" i="4"/>
  <c r="T175" i="4"/>
  <c r="U175" i="4"/>
  <c r="V175" i="4"/>
  <c r="W175" i="4"/>
  <c r="X175" i="4"/>
  <c r="Y175" i="4"/>
  <c r="Z175" i="4"/>
  <c r="AA175" i="4"/>
  <c r="G176" i="12"/>
  <c r="B176" i="4" a="1"/>
  <c r="B176" i="4" s="1"/>
  <c r="C173" i="7"/>
  <c r="D173" i="7"/>
  <c r="E173" i="7"/>
  <c r="F173" i="7"/>
  <c r="G173" i="7"/>
  <c r="H173" i="7"/>
  <c r="I173" i="7"/>
  <c r="J173" i="7"/>
  <c r="K173" i="7"/>
  <c r="L173" i="7"/>
  <c r="M173" i="7"/>
  <c r="N173" i="7"/>
  <c r="O173" i="7"/>
  <c r="P173" i="7"/>
  <c r="Q173" i="7"/>
  <c r="R173" i="7"/>
  <c r="S173" i="7"/>
  <c r="T173" i="7"/>
  <c r="U173" i="7"/>
  <c r="V173" i="7"/>
  <c r="W173" i="7"/>
  <c r="X173" i="7"/>
  <c r="Y173" i="7"/>
  <c r="Z173" i="7"/>
  <c r="AA173" i="7"/>
  <c r="H174" i="12"/>
  <c r="B174" i="7" a="1"/>
  <c r="B174" i="7" s="1"/>
  <c r="B177" i="4" l="1" a="1"/>
  <c r="B177" i="4" s="1"/>
  <c r="C176" i="4"/>
  <c r="D176" i="4"/>
  <c r="E176" i="4"/>
  <c r="F176" i="4"/>
  <c r="G176" i="4"/>
  <c r="H176" i="4"/>
  <c r="I176" i="4"/>
  <c r="J176" i="4"/>
  <c r="K176" i="4"/>
  <c r="L176" i="4"/>
  <c r="M176" i="4"/>
  <c r="N176" i="4"/>
  <c r="O176" i="4"/>
  <c r="P176" i="4"/>
  <c r="Q176" i="4"/>
  <c r="R176" i="4"/>
  <c r="S176" i="4"/>
  <c r="T176" i="4"/>
  <c r="U176" i="4"/>
  <c r="V176" i="4"/>
  <c r="W176" i="4"/>
  <c r="X176" i="4"/>
  <c r="Y176" i="4"/>
  <c r="Z176" i="4"/>
  <c r="AA176" i="4"/>
  <c r="G177" i="12"/>
  <c r="C174" i="7"/>
  <c r="D174" i="7"/>
  <c r="E174" i="7"/>
  <c r="F174" i="7"/>
  <c r="G174" i="7"/>
  <c r="H174" i="7"/>
  <c r="I174" i="7"/>
  <c r="J174" i="7"/>
  <c r="K174" i="7"/>
  <c r="L174" i="7"/>
  <c r="M174" i="7"/>
  <c r="N174" i="7"/>
  <c r="O174" i="7"/>
  <c r="P174" i="7"/>
  <c r="Q174" i="7"/>
  <c r="R174" i="7"/>
  <c r="S174" i="7"/>
  <c r="T174" i="7"/>
  <c r="U174" i="7"/>
  <c r="V174" i="7"/>
  <c r="W174" i="7"/>
  <c r="X174" i="7"/>
  <c r="Y174" i="7"/>
  <c r="Z174" i="7"/>
  <c r="AA174" i="7"/>
  <c r="H175" i="12"/>
  <c r="B175" i="7" a="1"/>
  <c r="B175" i="7" s="1"/>
  <c r="C177" i="4" l="1"/>
  <c r="D177" i="4"/>
  <c r="E177" i="4"/>
  <c r="F177" i="4"/>
  <c r="G177" i="4"/>
  <c r="H177" i="4"/>
  <c r="I177" i="4"/>
  <c r="J177" i="4"/>
  <c r="K177" i="4"/>
  <c r="L177" i="4"/>
  <c r="M177" i="4"/>
  <c r="N177" i="4"/>
  <c r="O177" i="4"/>
  <c r="P177" i="4"/>
  <c r="Q177" i="4"/>
  <c r="R177" i="4"/>
  <c r="S177" i="4"/>
  <c r="T177" i="4"/>
  <c r="U177" i="4"/>
  <c r="V177" i="4"/>
  <c r="W177" i="4"/>
  <c r="X177" i="4"/>
  <c r="Y177" i="4"/>
  <c r="Z177" i="4"/>
  <c r="AA177" i="4"/>
  <c r="G178" i="12"/>
  <c r="B178" i="4" a="1"/>
  <c r="B178" i="4" s="1"/>
  <c r="C175" i="7"/>
  <c r="D175" i="7"/>
  <c r="E175" i="7"/>
  <c r="F175" i="7"/>
  <c r="G175" i="7"/>
  <c r="H175" i="7"/>
  <c r="I175" i="7"/>
  <c r="J175" i="7"/>
  <c r="K175" i="7"/>
  <c r="L175" i="7"/>
  <c r="M175" i="7"/>
  <c r="N175" i="7"/>
  <c r="O175" i="7"/>
  <c r="P175" i="7"/>
  <c r="Q175" i="7"/>
  <c r="R175" i="7"/>
  <c r="S175" i="7"/>
  <c r="T175" i="7"/>
  <c r="U175" i="7"/>
  <c r="V175" i="7"/>
  <c r="W175" i="7"/>
  <c r="X175" i="7"/>
  <c r="Y175" i="7"/>
  <c r="Z175" i="7"/>
  <c r="AA175" i="7"/>
  <c r="H176" i="12"/>
  <c r="B176" i="7" a="1"/>
  <c r="B176" i="7" s="1"/>
  <c r="B179" i="4" l="1" a="1"/>
  <c r="B179" i="4" s="1"/>
  <c r="C178" i="4"/>
  <c r="D178" i="4"/>
  <c r="E178" i="4"/>
  <c r="F178" i="4"/>
  <c r="G178" i="4"/>
  <c r="H178" i="4"/>
  <c r="I178" i="4"/>
  <c r="J178" i="4"/>
  <c r="K178" i="4"/>
  <c r="L178" i="4"/>
  <c r="M178" i="4"/>
  <c r="N178" i="4"/>
  <c r="O178" i="4"/>
  <c r="P178" i="4"/>
  <c r="Q178" i="4"/>
  <c r="R178" i="4"/>
  <c r="S178" i="4"/>
  <c r="T178" i="4"/>
  <c r="U178" i="4"/>
  <c r="V178" i="4"/>
  <c r="W178" i="4"/>
  <c r="X178" i="4"/>
  <c r="Y178" i="4"/>
  <c r="Z178" i="4"/>
  <c r="AA178" i="4"/>
  <c r="G179" i="12"/>
  <c r="C176" i="7"/>
  <c r="D176" i="7"/>
  <c r="E176" i="7"/>
  <c r="F176" i="7"/>
  <c r="G176" i="7"/>
  <c r="H176" i="7"/>
  <c r="I176" i="7"/>
  <c r="J176" i="7"/>
  <c r="K176" i="7"/>
  <c r="L176" i="7"/>
  <c r="M176" i="7"/>
  <c r="N176" i="7"/>
  <c r="O176" i="7"/>
  <c r="P176" i="7"/>
  <c r="Q176" i="7"/>
  <c r="R176" i="7"/>
  <c r="S176" i="7"/>
  <c r="T176" i="7"/>
  <c r="U176" i="7"/>
  <c r="V176" i="7"/>
  <c r="W176" i="7"/>
  <c r="X176" i="7"/>
  <c r="Y176" i="7"/>
  <c r="Z176" i="7"/>
  <c r="AA176" i="7"/>
  <c r="H177" i="12"/>
  <c r="B177" i="7" a="1"/>
  <c r="B177" i="7" s="1"/>
  <c r="C179" i="4" l="1"/>
  <c r="D179" i="4"/>
  <c r="E179" i="4"/>
  <c r="F179" i="4"/>
  <c r="G179" i="4"/>
  <c r="H179" i="4"/>
  <c r="I179" i="4"/>
  <c r="J179" i="4"/>
  <c r="K179" i="4"/>
  <c r="L179" i="4"/>
  <c r="M179" i="4"/>
  <c r="N179" i="4"/>
  <c r="O179" i="4"/>
  <c r="P179" i="4"/>
  <c r="Q179" i="4"/>
  <c r="R179" i="4"/>
  <c r="S179" i="4"/>
  <c r="T179" i="4"/>
  <c r="U179" i="4"/>
  <c r="V179" i="4"/>
  <c r="W179" i="4"/>
  <c r="X179" i="4"/>
  <c r="Y179" i="4"/>
  <c r="Z179" i="4"/>
  <c r="AA179" i="4"/>
  <c r="G180" i="12"/>
  <c r="B180" i="4" a="1"/>
  <c r="B180" i="4" s="1"/>
  <c r="C177" i="7"/>
  <c r="D177" i="7"/>
  <c r="E177" i="7"/>
  <c r="F177" i="7"/>
  <c r="G177" i="7"/>
  <c r="H177" i="7"/>
  <c r="I177" i="7"/>
  <c r="J177" i="7"/>
  <c r="K177" i="7"/>
  <c r="L177" i="7"/>
  <c r="M177" i="7"/>
  <c r="N177" i="7"/>
  <c r="O177" i="7"/>
  <c r="P177" i="7"/>
  <c r="Q177" i="7"/>
  <c r="R177" i="7"/>
  <c r="S177" i="7"/>
  <c r="T177" i="7"/>
  <c r="U177" i="7"/>
  <c r="V177" i="7"/>
  <c r="W177" i="7"/>
  <c r="X177" i="7"/>
  <c r="Y177" i="7"/>
  <c r="Z177" i="7"/>
  <c r="AA177" i="7"/>
  <c r="H178" i="12"/>
  <c r="B178" i="7" a="1"/>
  <c r="B178" i="7" s="1"/>
  <c r="C180" i="4" l="1"/>
  <c r="D180" i="4"/>
  <c r="E180" i="4"/>
  <c r="F180" i="4"/>
  <c r="G180" i="4"/>
  <c r="H180" i="4"/>
  <c r="I180" i="4"/>
  <c r="J180" i="4"/>
  <c r="K180" i="4"/>
  <c r="L180" i="4"/>
  <c r="M180" i="4"/>
  <c r="N180" i="4"/>
  <c r="O180" i="4"/>
  <c r="P180" i="4"/>
  <c r="Q180" i="4"/>
  <c r="R180" i="4"/>
  <c r="S180" i="4"/>
  <c r="T180" i="4"/>
  <c r="U180" i="4"/>
  <c r="V180" i="4"/>
  <c r="W180" i="4"/>
  <c r="X180" i="4"/>
  <c r="Y180" i="4"/>
  <c r="Z180" i="4"/>
  <c r="AA180" i="4"/>
  <c r="G181" i="12"/>
  <c r="B181" i="4" a="1"/>
  <c r="B181" i="4" s="1"/>
  <c r="B179" i="7" a="1"/>
  <c r="B179" i="7" s="1"/>
  <c r="C178" i="7"/>
  <c r="D178" i="7"/>
  <c r="E178" i="7"/>
  <c r="F178" i="7"/>
  <c r="G178" i="7"/>
  <c r="H178" i="7"/>
  <c r="I178" i="7"/>
  <c r="J178" i="7"/>
  <c r="K178" i="7"/>
  <c r="L178" i="7"/>
  <c r="M178" i="7"/>
  <c r="N178" i="7"/>
  <c r="O178" i="7"/>
  <c r="P178" i="7"/>
  <c r="Q178" i="7"/>
  <c r="R178" i="7"/>
  <c r="S178" i="7"/>
  <c r="T178" i="7"/>
  <c r="U178" i="7"/>
  <c r="V178" i="7"/>
  <c r="W178" i="7"/>
  <c r="X178" i="7"/>
  <c r="Y178" i="7"/>
  <c r="Z178" i="7"/>
  <c r="AA178" i="7"/>
  <c r="H179" i="12"/>
  <c r="C181" i="4" l="1"/>
  <c r="D181" i="4"/>
  <c r="E181" i="4"/>
  <c r="F181" i="4"/>
  <c r="G181" i="4"/>
  <c r="H181" i="4"/>
  <c r="I181" i="4"/>
  <c r="J181" i="4"/>
  <c r="K181" i="4"/>
  <c r="L181" i="4"/>
  <c r="M181" i="4"/>
  <c r="N181" i="4"/>
  <c r="O181" i="4"/>
  <c r="P181" i="4"/>
  <c r="Q181" i="4"/>
  <c r="R181" i="4"/>
  <c r="S181" i="4"/>
  <c r="T181" i="4"/>
  <c r="U181" i="4"/>
  <c r="V181" i="4"/>
  <c r="W181" i="4"/>
  <c r="X181" i="4"/>
  <c r="Y181" i="4"/>
  <c r="Z181" i="4"/>
  <c r="AA181" i="4"/>
  <c r="G182" i="12"/>
  <c r="B182" i="4" a="1"/>
  <c r="B182" i="4" s="1"/>
  <c r="C179" i="7"/>
  <c r="D179" i="7"/>
  <c r="E179" i="7"/>
  <c r="F179" i="7"/>
  <c r="G179" i="7"/>
  <c r="H179" i="7"/>
  <c r="I179" i="7"/>
  <c r="J179" i="7"/>
  <c r="K179" i="7"/>
  <c r="L179" i="7"/>
  <c r="M179" i="7"/>
  <c r="N179" i="7"/>
  <c r="O179" i="7"/>
  <c r="P179" i="7"/>
  <c r="Q179" i="7"/>
  <c r="R179" i="7"/>
  <c r="S179" i="7"/>
  <c r="T179" i="7"/>
  <c r="U179" i="7"/>
  <c r="V179" i="7"/>
  <c r="W179" i="7"/>
  <c r="X179" i="7"/>
  <c r="Y179" i="7"/>
  <c r="Z179" i="7"/>
  <c r="AA179" i="7"/>
  <c r="H180" i="12"/>
  <c r="B180" i="7" a="1"/>
  <c r="B180" i="7" s="1"/>
  <c r="C182" i="4" l="1"/>
  <c r="D182" i="4"/>
  <c r="E182" i="4"/>
  <c r="F182" i="4"/>
  <c r="G182" i="4"/>
  <c r="H182" i="4"/>
  <c r="I182" i="4"/>
  <c r="J182" i="4"/>
  <c r="K182" i="4"/>
  <c r="L182" i="4"/>
  <c r="M182" i="4"/>
  <c r="N182" i="4"/>
  <c r="O182" i="4"/>
  <c r="P182" i="4"/>
  <c r="Q182" i="4"/>
  <c r="R182" i="4"/>
  <c r="S182" i="4"/>
  <c r="T182" i="4"/>
  <c r="U182" i="4"/>
  <c r="V182" i="4"/>
  <c r="W182" i="4"/>
  <c r="X182" i="4"/>
  <c r="Y182" i="4"/>
  <c r="Z182" i="4"/>
  <c r="AA182" i="4"/>
  <c r="G183" i="12"/>
  <c r="B183" i="4" a="1"/>
  <c r="B183" i="4" s="1"/>
  <c r="B181" i="7" a="1"/>
  <c r="B181" i="7" s="1"/>
  <c r="C180" i="7"/>
  <c r="D180" i="7"/>
  <c r="E180" i="7"/>
  <c r="F180" i="7"/>
  <c r="G180" i="7"/>
  <c r="H180" i="7"/>
  <c r="I180" i="7"/>
  <c r="J180" i="7"/>
  <c r="K180" i="7"/>
  <c r="L180" i="7"/>
  <c r="M180" i="7"/>
  <c r="N180" i="7"/>
  <c r="O180" i="7"/>
  <c r="P180" i="7"/>
  <c r="Q180" i="7"/>
  <c r="R180" i="7"/>
  <c r="S180" i="7"/>
  <c r="T180" i="7"/>
  <c r="U180" i="7"/>
  <c r="V180" i="7"/>
  <c r="W180" i="7"/>
  <c r="X180" i="7"/>
  <c r="Y180" i="7"/>
  <c r="Z180" i="7"/>
  <c r="AA180" i="7"/>
  <c r="H181" i="12"/>
  <c r="B184" i="4" l="1" a="1"/>
  <c r="B184" i="4" s="1"/>
  <c r="C183" i="4"/>
  <c r="D183" i="4"/>
  <c r="E183" i="4"/>
  <c r="F183" i="4"/>
  <c r="G183" i="4"/>
  <c r="H183" i="4"/>
  <c r="I183" i="4"/>
  <c r="J183" i="4"/>
  <c r="K183" i="4"/>
  <c r="L183" i="4"/>
  <c r="M183" i="4"/>
  <c r="N183" i="4"/>
  <c r="O183" i="4"/>
  <c r="P183" i="4"/>
  <c r="Q183" i="4"/>
  <c r="R183" i="4"/>
  <c r="S183" i="4"/>
  <c r="T183" i="4"/>
  <c r="U183" i="4"/>
  <c r="V183" i="4"/>
  <c r="W183" i="4"/>
  <c r="X183" i="4"/>
  <c r="Y183" i="4"/>
  <c r="Z183" i="4"/>
  <c r="AA183" i="4"/>
  <c r="G184" i="12"/>
  <c r="C181" i="7"/>
  <c r="D181" i="7"/>
  <c r="E181" i="7"/>
  <c r="F181" i="7"/>
  <c r="G181" i="7"/>
  <c r="H181" i="7"/>
  <c r="I181" i="7"/>
  <c r="J181" i="7"/>
  <c r="K181" i="7"/>
  <c r="L181" i="7"/>
  <c r="M181" i="7"/>
  <c r="N181" i="7"/>
  <c r="O181" i="7"/>
  <c r="P181" i="7"/>
  <c r="Q181" i="7"/>
  <c r="R181" i="7"/>
  <c r="S181" i="7"/>
  <c r="T181" i="7"/>
  <c r="U181" i="7"/>
  <c r="V181" i="7"/>
  <c r="W181" i="7"/>
  <c r="X181" i="7"/>
  <c r="Y181" i="7"/>
  <c r="Z181" i="7"/>
  <c r="AA181" i="7"/>
  <c r="H182" i="12"/>
  <c r="B182" i="7" a="1"/>
  <c r="B182" i="7" s="1"/>
  <c r="B185" i="4" l="1" a="1"/>
  <c r="B185" i="4" s="1"/>
  <c r="C184" i="4"/>
  <c r="D184" i="4"/>
  <c r="E184" i="4"/>
  <c r="F184" i="4"/>
  <c r="G184" i="4"/>
  <c r="H184" i="4"/>
  <c r="I184" i="4"/>
  <c r="J184" i="4"/>
  <c r="K184" i="4"/>
  <c r="L184" i="4"/>
  <c r="M184" i="4"/>
  <c r="N184" i="4"/>
  <c r="O184" i="4"/>
  <c r="P184" i="4"/>
  <c r="Q184" i="4"/>
  <c r="R184" i="4"/>
  <c r="S184" i="4"/>
  <c r="T184" i="4"/>
  <c r="U184" i="4"/>
  <c r="V184" i="4"/>
  <c r="W184" i="4"/>
  <c r="X184" i="4"/>
  <c r="Y184" i="4"/>
  <c r="Z184" i="4"/>
  <c r="AA184" i="4"/>
  <c r="G185" i="12"/>
  <c r="C182" i="7"/>
  <c r="D182" i="7"/>
  <c r="E182" i="7"/>
  <c r="F182" i="7"/>
  <c r="G182" i="7"/>
  <c r="H182" i="7"/>
  <c r="I182" i="7"/>
  <c r="J182" i="7"/>
  <c r="K182" i="7"/>
  <c r="L182" i="7"/>
  <c r="M182" i="7"/>
  <c r="N182" i="7"/>
  <c r="O182" i="7"/>
  <c r="P182" i="7"/>
  <c r="Q182" i="7"/>
  <c r="R182" i="7"/>
  <c r="S182" i="7"/>
  <c r="T182" i="7"/>
  <c r="U182" i="7"/>
  <c r="V182" i="7"/>
  <c r="W182" i="7"/>
  <c r="X182" i="7"/>
  <c r="Y182" i="7"/>
  <c r="Z182" i="7"/>
  <c r="AA182" i="7"/>
  <c r="H183" i="12"/>
  <c r="B183" i="7" a="1"/>
  <c r="B183" i="7" s="1"/>
  <c r="C185" i="4" l="1"/>
  <c r="D185" i="4"/>
  <c r="E185" i="4"/>
  <c r="F185" i="4"/>
  <c r="G185" i="4"/>
  <c r="H185" i="4"/>
  <c r="I185" i="4"/>
  <c r="J185" i="4"/>
  <c r="K185" i="4"/>
  <c r="L185" i="4"/>
  <c r="M185" i="4"/>
  <c r="N185" i="4"/>
  <c r="O185" i="4"/>
  <c r="P185" i="4"/>
  <c r="Q185" i="4"/>
  <c r="R185" i="4"/>
  <c r="S185" i="4"/>
  <c r="T185" i="4"/>
  <c r="U185" i="4"/>
  <c r="V185" i="4"/>
  <c r="W185" i="4"/>
  <c r="X185" i="4"/>
  <c r="Y185" i="4"/>
  <c r="Z185" i="4"/>
  <c r="AA185" i="4"/>
  <c r="G186" i="12"/>
  <c r="B186" i="4" a="1"/>
  <c r="B186" i="4" s="1"/>
  <c r="B184" i="7" a="1"/>
  <c r="B184" i="7" s="1"/>
  <c r="C183" i="7"/>
  <c r="D183" i="7"/>
  <c r="E183" i="7"/>
  <c r="F183" i="7"/>
  <c r="G183" i="7"/>
  <c r="H183" i="7"/>
  <c r="I183" i="7"/>
  <c r="J183" i="7"/>
  <c r="K183" i="7"/>
  <c r="L183" i="7"/>
  <c r="M183" i="7"/>
  <c r="N183" i="7"/>
  <c r="O183" i="7"/>
  <c r="P183" i="7"/>
  <c r="Q183" i="7"/>
  <c r="R183" i="7"/>
  <c r="S183" i="7"/>
  <c r="T183" i="7"/>
  <c r="U183" i="7"/>
  <c r="V183" i="7"/>
  <c r="W183" i="7"/>
  <c r="X183" i="7"/>
  <c r="Y183" i="7"/>
  <c r="Z183" i="7"/>
  <c r="AA183" i="7"/>
  <c r="H184" i="12"/>
  <c r="B187" i="4" l="1" a="1"/>
  <c r="B187" i="4" s="1"/>
  <c r="C186" i="4"/>
  <c r="D186" i="4"/>
  <c r="E186" i="4"/>
  <c r="F186" i="4"/>
  <c r="G186" i="4"/>
  <c r="H186" i="4"/>
  <c r="I186" i="4"/>
  <c r="J186" i="4"/>
  <c r="K186" i="4"/>
  <c r="L186" i="4"/>
  <c r="M186" i="4"/>
  <c r="N186" i="4"/>
  <c r="O186" i="4"/>
  <c r="P186" i="4"/>
  <c r="Q186" i="4"/>
  <c r="R186" i="4"/>
  <c r="S186" i="4"/>
  <c r="T186" i="4"/>
  <c r="U186" i="4"/>
  <c r="V186" i="4"/>
  <c r="W186" i="4"/>
  <c r="X186" i="4"/>
  <c r="Y186" i="4"/>
  <c r="Z186" i="4"/>
  <c r="AA186" i="4"/>
  <c r="G187" i="12"/>
  <c r="C184" i="7"/>
  <c r="D184" i="7"/>
  <c r="E184" i="7"/>
  <c r="F184" i="7"/>
  <c r="G184" i="7"/>
  <c r="H184" i="7"/>
  <c r="I184" i="7"/>
  <c r="J184" i="7"/>
  <c r="K184" i="7"/>
  <c r="L184" i="7"/>
  <c r="M184" i="7"/>
  <c r="N184" i="7"/>
  <c r="O184" i="7"/>
  <c r="P184" i="7"/>
  <c r="Q184" i="7"/>
  <c r="R184" i="7"/>
  <c r="S184" i="7"/>
  <c r="T184" i="7"/>
  <c r="U184" i="7"/>
  <c r="V184" i="7"/>
  <c r="W184" i="7"/>
  <c r="X184" i="7"/>
  <c r="Y184" i="7"/>
  <c r="Z184" i="7"/>
  <c r="AA184" i="7"/>
  <c r="H185" i="12"/>
  <c r="B185" i="7" a="1"/>
  <c r="B185" i="7" s="1"/>
  <c r="C187" i="4" l="1"/>
  <c r="D187" i="4"/>
  <c r="E187" i="4"/>
  <c r="F187" i="4"/>
  <c r="G187" i="4"/>
  <c r="H187" i="4"/>
  <c r="I187" i="4"/>
  <c r="J187" i="4"/>
  <c r="K187" i="4"/>
  <c r="L187" i="4"/>
  <c r="M187" i="4"/>
  <c r="N187" i="4"/>
  <c r="O187" i="4"/>
  <c r="P187" i="4"/>
  <c r="Q187" i="4"/>
  <c r="R187" i="4"/>
  <c r="S187" i="4"/>
  <c r="T187" i="4"/>
  <c r="U187" i="4"/>
  <c r="V187" i="4"/>
  <c r="W187" i="4"/>
  <c r="X187" i="4"/>
  <c r="Y187" i="4"/>
  <c r="Z187" i="4"/>
  <c r="AA187" i="4"/>
  <c r="G188" i="12"/>
  <c r="B188" i="4" a="1"/>
  <c r="B188" i="4" s="1"/>
  <c r="C185" i="7"/>
  <c r="D185" i="7"/>
  <c r="E185" i="7"/>
  <c r="F185" i="7"/>
  <c r="G185" i="7"/>
  <c r="H185" i="7"/>
  <c r="I185" i="7"/>
  <c r="J185" i="7"/>
  <c r="K185" i="7"/>
  <c r="L185" i="7"/>
  <c r="M185" i="7"/>
  <c r="N185" i="7"/>
  <c r="O185" i="7"/>
  <c r="P185" i="7"/>
  <c r="Q185" i="7"/>
  <c r="R185" i="7"/>
  <c r="S185" i="7"/>
  <c r="T185" i="7"/>
  <c r="U185" i="7"/>
  <c r="V185" i="7"/>
  <c r="W185" i="7"/>
  <c r="X185" i="7"/>
  <c r="Y185" i="7"/>
  <c r="Z185" i="7"/>
  <c r="AA185" i="7"/>
  <c r="H186" i="12"/>
  <c r="B186" i="7" a="1"/>
  <c r="B186" i="7" s="1"/>
  <c r="B189" i="4" l="1" a="1"/>
  <c r="B189" i="4" s="1"/>
  <c r="C188" i="4"/>
  <c r="D188" i="4"/>
  <c r="E188" i="4"/>
  <c r="F188" i="4"/>
  <c r="G188" i="4"/>
  <c r="H188" i="4"/>
  <c r="I188" i="4"/>
  <c r="J188" i="4"/>
  <c r="K188" i="4"/>
  <c r="L188" i="4"/>
  <c r="M188" i="4"/>
  <c r="N188" i="4"/>
  <c r="O188" i="4"/>
  <c r="P188" i="4"/>
  <c r="Q188" i="4"/>
  <c r="R188" i="4"/>
  <c r="S188" i="4"/>
  <c r="T188" i="4"/>
  <c r="U188" i="4"/>
  <c r="V188" i="4"/>
  <c r="W188" i="4"/>
  <c r="X188" i="4"/>
  <c r="Y188" i="4"/>
  <c r="Z188" i="4"/>
  <c r="AA188" i="4"/>
  <c r="G189" i="12"/>
  <c r="B187" i="7" a="1"/>
  <c r="B187" i="7" s="1"/>
  <c r="C186" i="7"/>
  <c r="D186" i="7"/>
  <c r="E186" i="7"/>
  <c r="F186" i="7"/>
  <c r="G186" i="7"/>
  <c r="H186" i="7"/>
  <c r="I186" i="7"/>
  <c r="J186" i="7"/>
  <c r="K186" i="7"/>
  <c r="L186" i="7"/>
  <c r="M186" i="7"/>
  <c r="N186" i="7"/>
  <c r="O186" i="7"/>
  <c r="P186" i="7"/>
  <c r="Q186" i="7"/>
  <c r="R186" i="7"/>
  <c r="S186" i="7"/>
  <c r="T186" i="7"/>
  <c r="U186" i="7"/>
  <c r="V186" i="7"/>
  <c r="W186" i="7"/>
  <c r="X186" i="7"/>
  <c r="Y186" i="7"/>
  <c r="Z186" i="7"/>
  <c r="AA186" i="7"/>
  <c r="H187" i="12"/>
  <c r="B190" i="4" l="1" a="1"/>
  <c r="B190" i="4" s="1"/>
  <c r="C189" i="4"/>
  <c r="D189" i="4"/>
  <c r="E189" i="4"/>
  <c r="F189" i="4"/>
  <c r="G189" i="4"/>
  <c r="H189" i="4"/>
  <c r="I189" i="4"/>
  <c r="J189" i="4"/>
  <c r="K189" i="4"/>
  <c r="L189" i="4"/>
  <c r="M189" i="4"/>
  <c r="N189" i="4"/>
  <c r="O189" i="4"/>
  <c r="P189" i="4"/>
  <c r="Q189" i="4"/>
  <c r="R189" i="4"/>
  <c r="S189" i="4"/>
  <c r="T189" i="4"/>
  <c r="U189" i="4"/>
  <c r="V189" i="4"/>
  <c r="W189" i="4"/>
  <c r="X189" i="4"/>
  <c r="Y189" i="4"/>
  <c r="Z189" i="4"/>
  <c r="AA189" i="4"/>
  <c r="G190" i="12"/>
  <c r="B188" i="7" a="1"/>
  <c r="B188" i="7" s="1"/>
  <c r="C187" i="7"/>
  <c r="D187" i="7"/>
  <c r="E187" i="7"/>
  <c r="F187" i="7"/>
  <c r="G187" i="7"/>
  <c r="H187" i="7"/>
  <c r="I187" i="7"/>
  <c r="J187" i="7"/>
  <c r="K187" i="7"/>
  <c r="L187" i="7"/>
  <c r="M187" i="7"/>
  <c r="N187" i="7"/>
  <c r="O187" i="7"/>
  <c r="P187" i="7"/>
  <c r="Q187" i="7"/>
  <c r="R187" i="7"/>
  <c r="S187" i="7"/>
  <c r="T187" i="7"/>
  <c r="U187" i="7"/>
  <c r="V187" i="7"/>
  <c r="W187" i="7"/>
  <c r="X187" i="7"/>
  <c r="Y187" i="7"/>
  <c r="Z187" i="7"/>
  <c r="AA187" i="7"/>
  <c r="H188" i="12"/>
  <c r="B191" i="4" l="1" a="1"/>
  <c r="B191" i="4" s="1"/>
  <c r="C190" i="4"/>
  <c r="D190" i="4"/>
  <c r="E190" i="4"/>
  <c r="F190" i="4"/>
  <c r="G190" i="4"/>
  <c r="H190" i="4"/>
  <c r="I190" i="4"/>
  <c r="J190" i="4"/>
  <c r="K190" i="4"/>
  <c r="L190" i="4"/>
  <c r="M190" i="4"/>
  <c r="N190" i="4"/>
  <c r="O190" i="4"/>
  <c r="P190" i="4"/>
  <c r="Q190" i="4"/>
  <c r="R190" i="4"/>
  <c r="S190" i="4"/>
  <c r="T190" i="4"/>
  <c r="U190" i="4"/>
  <c r="V190" i="4"/>
  <c r="W190" i="4"/>
  <c r="X190" i="4"/>
  <c r="Y190" i="4"/>
  <c r="Z190" i="4"/>
  <c r="AA190" i="4"/>
  <c r="G191" i="12"/>
  <c r="C188" i="7"/>
  <c r="D188" i="7"/>
  <c r="E188" i="7"/>
  <c r="F188" i="7"/>
  <c r="G188" i="7"/>
  <c r="H188" i="7"/>
  <c r="I188" i="7"/>
  <c r="J188" i="7"/>
  <c r="K188" i="7"/>
  <c r="L188" i="7"/>
  <c r="M188" i="7"/>
  <c r="N188" i="7"/>
  <c r="O188" i="7"/>
  <c r="P188" i="7"/>
  <c r="Q188" i="7"/>
  <c r="R188" i="7"/>
  <c r="S188" i="7"/>
  <c r="T188" i="7"/>
  <c r="U188" i="7"/>
  <c r="V188" i="7"/>
  <c r="W188" i="7"/>
  <c r="X188" i="7"/>
  <c r="Y188" i="7"/>
  <c r="Z188" i="7"/>
  <c r="AA188" i="7"/>
  <c r="H189" i="12"/>
  <c r="B189" i="7" a="1"/>
  <c r="B189" i="7" s="1"/>
  <c r="C191" i="4" l="1"/>
  <c r="D191" i="4"/>
  <c r="E191" i="4"/>
  <c r="F191" i="4"/>
  <c r="G191" i="4"/>
  <c r="H191" i="4"/>
  <c r="I191" i="4"/>
  <c r="J191" i="4"/>
  <c r="K191" i="4"/>
  <c r="L191" i="4"/>
  <c r="M191" i="4"/>
  <c r="N191" i="4"/>
  <c r="O191" i="4"/>
  <c r="P191" i="4"/>
  <c r="Q191" i="4"/>
  <c r="R191" i="4"/>
  <c r="S191" i="4"/>
  <c r="T191" i="4"/>
  <c r="U191" i="4"/>
  <c r="V191" i="4"/>
  <c r="W191" i="4"/>
  <c r="X191" i="4"/>
  <c r="Y191" i="4"/>
  <c r="Z191" i="4"/>
  <c r="AA191" i="4"/>
  <c r="G192" i="12"/>
  <c r="B192" i="4" a="1"/>
  <c r="B192" i="4" s="1"/>
  <c r="C189" i="7"/>
  <c r="D189" i="7"/>
  <c r="E189" i="7"/>
  <c r="F189" i="7"/>
  <c r="G189" i="7"/>
  <c r="H189" i="7"/>
  <c r="I189" i="7"/>
  <c r="J189" i="7"/>
  <c r="K189" i="7"/>
  <c r="L189" i="7"/>
  <c r="M189" i="7"/>
  <c r="N189" i="7"/>
  <c r="O189" i="7"/>
  <c r="P189" i="7"/>
  <c r="Q189" i="7"/>
  <c r="R189" i="7"/>
  <c r="S189" i="7"/>
  <c r="T189" i="7"/>
  <c r="U189" i="7"/>
  <c r="V189" i="7"/>
  <c r="W189" i="7"/>
  <c r="X189" i="7"/>
  <c r="Y189" i="7"/>
  <c r="Z189" i="7"/>
  <c r="AA189" i="7"/>
  <c r="H190" i="12"/>
  <c r="B190" i="7" a="1"/>
  <c r="B190" i="7" s="1"/>
  <c r="C192" i="4" l="1"/>
  <c r="D192" i="4"/>
  <c r="E192" i="4"/>
  <c r="F192" i="4"/>
  <c r="G192" i="4"/>
  <c r="H192" i="4"/>
  <c r="I192" i="4"/>
  <c r="J192" i="4"/>
  <c r="K192" i="4"/>
  <c r="L192" i="4"/>
  <c r="M192" i="4"/>
  <c r="N192" i="4"/>
  <c r="O192" i="4"/>
  <c r="P192" i="4"/>
  <c r="Q192" i="4"/>
  <c r="R192" i="4"/>
  <c r="S192" i="4"/>
  <c r="T192" i="4"/>
  <c r="U192" i="4"/>
  <c r="V192" i="4"/>
  <c r="W192" i="4"/>
  <c r="X192" i="4"/>
  <c r="Y192" i="4"/>
  <c r="Z192" i="4"/>
  <c r="AA192" i="4"/>
  <c r="G193" i="12"/>
  <c r="B193" i="4" a="1"/>
  <c r="B193" i="4" s="1"/>
  <c r="C190" i="7"/>
  <c r="D190" i="7"/>
  <c r="E190" i="7"/>
  <c r="F190" i="7"/>
  <c r="G190" i="7"/>
  <c r="H190" i="7"/>
  <c r="I190" i="7"/>
  <c r="J190" i="7"/>
  <c r="K190" i="7"/>
  <c r="L190" i="7"/>
  <c r="M190" i="7"/>
  <c r="N190" i="7"/>
  <c r="O190" i="7"/>
  <c r="P190" i="7"/>
  <c r="Q190" i="7"/>
  <c r="R190" i="7"/>
  <c r="S190" i="7"/>
  <c r="T190" i="7"/>
  <c r="U190" i="7"/>
  <c r="V190" i="7"/>
  <c r="W190" i="7"/>
  <c r="X190" i="7"/>
  <c r="Y190" i="7"/>
  <c r="Z190" i="7"/>
  <c r="AA190" i="7"/>
  <c r="H191" i="12"/>
  <c r="B191" i="7" a="1"/>
  <c r="B191" i="7" s="1"/>
  <c r="B194" i="4" l="1" a="1"/>
  <c r="B194" i="4" s="1"/>
  <c r="C193" i="4"/>
  <c r="D193" i="4"/>
  <c r="E193" i="4"/>
  <c r="F193" i="4"/>
  <c r="G193" i="4"/>
  <c r="H193" i="4"/>
  <c r="I193" i="4"/>
  <c r="J193" i="4"/>
  <c r="K193" i="4"/>
  <c r="L193" i="4"/>
  <c r="M193" i="4"/>
  <c r="N193" i="4"/>
  <c r="O193" i="4"/>
  <c r="P193" i="4"/>
  <c r="Q193" i="4"/>
  <c r="R193" i="4"/>
  <c r="S193" i="4"/>
  <c r="T193" i="4"/>
  <c r="U193" i="4"/>
  <c r="V193" i="4"/>
  <c r="W193" i="4"/>
  <c r="X193" i="4"/>
  <c r="Y193" i="4"/>
  <c r="Z193" i="4"/>
  <c r="AA193" i="4"/>
  <c r="G194" i="12"/>
  <c r="C191" i="7"/>
  <c r="D191" i="7"/>
  <c r="E191" i="7"/>
  <c r="F191" i="7"/>
  <c r="G191" i="7"/>
  <c r="H191" i="7"/>
  <c r="I191" i="7"/>
  <c r="J191" i="7"/>
  <c r="K191" i="7"/>
  <c r="L191" i="7"/>
  <c r="M191" i="7"/>
  <c r="N191" i="7"/>
  <c r="O191" i="7"/>
  <c r="P191" i="7"/>
  <c r="Q191" i="7"/>
  <c r="R191" i="7"/>
  <c r="S191" i="7"/>
  <c r="T191" i="7"/>
  <c r="U191" i="7"/>
  <c r="V191" i="7"/>
  <c r="W191" i="7"/>
  <c r="X191" i="7"/>
  <c r="Y191" i="7"/>
  <c r="Z191" i="7"/>
  <c r="AA191" i="7"/>
  <c r="H192" i="12"/>
  <c r="B192" i="7" a="1"/>
  <c r="B192" i="7" s="1"/>
  <c r="C194" i="4" l="1"/>
  <c r="D194" i="4"/>
  <c r="E194" i="4"/>
  <c r="F194" i="4"/>
  <c r="G194" i="4"/>
  <c r="H194" i="4"/>
  <c r="I194" i="4"/>
  <c r="J194" i="4"/>
  <c r="K194" i="4"/>
  <c r="L194" i="4"/>
  <c r="M194" i="4"/>
  <c r="N194" i="4"/>
  <c r="O194" i="4"/>
  <c r="P194" i="4"/>
  <c r="Q194" i="4"/>
  <c r="R194" i="4"/>
  <c r="S194" i="4"/>
  <c r="T194" i="4"/>
  <c r="U194" i="4"/>
  <c r="V194" i="4"/>
  <c r="W194" i="4"/>
  <c r="X194" i="4"/>
  <c r="Y194" i="4"/>
  <c r="Z194" i="4"/>
  <c r="AA194" i="4"/>
  <c r="G195" i="12"/>
  <c r="B195" i="4" a="1"/>
  <c r="B195" i="4" s="1"/>
  <c r="C192" i="7"/>
  <c r="D192" i="7"/>
  <c r="E192" i="7"/>
  <c r="F192" i="7"/>
  <c r="G192" i="7"/>
  <c r="H192" i="7"/>
  <c r="I192" i="7"/>
  <c r="J192" i="7"/>
  <c r="K192" i="7"/>
  <c r="L192" i="7"/>
  <c r="M192" i="7"/>
  <c r="N192" i="7"/>
  <c r="O192" i="7"/>
  <c r="P192" i="7"/>
  <c r="Q192" i="7"/>
  <c r="R192" i="7"/>
  <c r="S192" i="7"/>
  <c r="T192" i="7"/>
  <c r="U192" i="7"/>
  <c r="V192" i="7"/>
  <c r="W192" i="7"/>
  <c r="X192" i="7"/>
  <c r="Y192" i="7"/>
  <c r="Z192" i="7"/>
  <c r="AA192" i="7"/>
  <c r="H193" i="12"/>
  <c r="B193" i="7" a="1"/>
  <c r="B193" i="7" s="1"/>
  <c r="C195" i="4" l="1"/>
  <c r="D195" i="4"/>
  <c r="E195" i="4"/>
  <c r="F195" i="4"/>
  <c r="G195" i="4"/>
  <c r="H195" i="4"/>
  <c r="I195" i="4"/>
  <c r="J195" i="4"/>
  <c r="K195" i="4"/>
  <c r="L195" i="4"/>
  <c r="M195" i="4"/>
  <c r="N195" i="4"/>
  <c r="O195" i="4"/>
  <c r="P195" i="4"/>
  <c r="Q195" i="4"/>
  <c r="R195" i="4"/>
  <c r="S195" i="4"/>
  <c r="T195" i="4"/>
  <c r="U195" i="4"/>
  <c r="V195" i="4"/>
  <c r="W195" i="4"/>
  <c r="X195" i="4"/>
  <c r="Y195" i="4"/>
  <c r="Z195" i="4"/>
  <c r="AA195" i="4"/>
  <c r="G196" i="12"/>
  <c r="B196" i="4" a="1"/>
  <c r="B196" i="4" s="1"/>
  <c r="C193" i="7"/>
  <c r="D193" i="7"/>
  <c r="E193" i="7"/>
  <c r="F193" i="7"/>
  <c r="G193" i="7"/>
  <c r="H193" i="7"/>
  <c r="I193" i="7"/>
  <c r="J193" i="7"/>
  <c r="K193" i="7"/>
  <c r="L193" i="7"/>
  <c r="M193" i="7"/>
  <c r="N193" i="7"/>
  <c r="O193" i="7"/>
  <c r="P193" i="7"/>
  <c r="Q193" i="7"/>
  <c r="R193" i="7"/>
  <c r="S193" i="7"/>
  <c r="T193" i="7"/>
  <c r="U193" i="7"/>
  <c r="V193" i="7"/>
  <c r="W193" i="7"/>
  <c r="X193" i="7"/>
  <c r="Y193" i="7"/>
  <c r="Z193" i="7"/>
  <c r="AA193" i="7"/>
  <c r="H194" i="12"/>
  <c r="B194" i="7" a="1"/>
  <c r="B194" i="7" s="1"/>
  <c r="C196" i="4" l="1"/>
  <c r="D196" i="4"/>
  <c r="E196" i="4"/>
  <c r="F196" i="4"/>
  <c r="G196" i="4"/>
  <c r="H196" i="4"/>
  <c r="I196" i="4"/>
  <c r="J196" i="4"/>
  <c r="K196" i="4"/>
  <c r="L196" i="4"/>
  <c r="M196" i="4"/>
  <c r="N196" i="4"/>
  <c r="O196" i="4"/>
  <c r="P196" i="4"/>
  <c r="Q196" i="4"/>
  <c r="R196" i="4"/>
  <c r="S196" i="4"/>
  <c r="T196" i="4"/>
  <c r="U196" i="4"/>
  <c r="V196" i="4"/>
  <c r="W196" i="4"/>
  <c r="X196" i="4"/>
  <c r="Y196" i="4"/>
  <c r="Z196" i="4"/>
  <c r="AA196" i="4"/>
  <c r="G197" i="12"/>
  <c r="B197" i="4" a="1"/>
  <c r="B197" i="4" s="1"/>
  <c r="B195" i="7" a="1"/>
  <c r="B195" i="7" s="1"/>
  <c r="C194" i="7"/>
  <c r="D194" i="7"/>
  <c r="E194" i="7"/>
  <c r="F194" i="7"/>
  <c r="G194" i="7"/>
  <c r="H194" i="7"/>
  <c r="I194" i="7"/>
  <c r="J194" i="7"/>
  <c r="K194" i="7"/>
  <c r="L194" i="7"/>
  <c r="M194" i="7"/>
  <c r="N194" i="7"/>
  <c r="O194" i="7"/>
  <c r="P194" i="7"/>
  <c r="Q194" i="7"/>
  <c r="R194" i="7"/>
  <c r="S194" i="7"/>
  <c r="T194" i="7"/>
  <c r="U194" i="7"/>
  <c r="V194" i="7"/>
  <c r="W194" i="7"/>
  <c r="X194" i="7"/>
  <c r="Y194" i="7"/>
  <c r="Z194" i="7"/>
  <c r="AA194" i="7"/>
  <c r="H195" i="12"/>
  <c r="C197" i="4" l="1"/>
  <c r="D197" i="4"/>
  <c r="E197" i="4"/>
  <c r="F197" i="4"/>
  <c r="G197" i="4"/>
  <c r="H197" i="4"/>
  <c r="I197" i="4"/>
  <c r="J197" i="4"/>
  <c r="K197" i="4"/>
  <c r="L197" i="4"/>
  <c r="M197" i="4"/>
  <c r="N197" i="4"/>
  <c r="O197" i="4"/>
  <c r="P197" i="4"/>
  <c r="Q197" i="4"/>
  <c r="R197" i="4"/>
  <c r="S197" i="4"/>
  <c r="T197" i="4"/>
  <c r="U197" i="4"/>
  <c r="V197" i="4"/>
  <c r="W197" i="4"/>
  <c r="X197" i="4"/>
  <c r="Y197" i="4"/>
  <c r="Z197" i="4"/>
  <c r="AA197" i="4"/>
  <c r="G198" i="12"/>
  <c r="B198" i="4" a="1"/>
  <c r="B198" i="4" s="1"/>
  <c r="C195" i="7"/>
  <c r="D195" i="7"/>
  <c r="E195" i="7"/>
  <c r="F195" i="7"/>
  <c r="G195" i="7"/>
  <c r="H195" i="7"/>
  <c r="I195" i="7"/>
  <c r="J195" i="7"/>
  <c r="K195" i="7"/>
  <c r="L195" i="7"/>
  <c r="M195" i="7"/>
  <c r="N195" i="7"/>
  <c r="O195" i="7"/>
  <c r="P195" i="7"/>
  <c r="Q195" i="7"/>
  <c r="R195" i="7"/>
  <c r="S195" i="7"/>
  <c r="T195" i="7"/>
  <c r="U195" i="7"/>
  <c r="V195" i="7"/>
  <c r="W195" i="7"/>
  <c r="X195" i="7"/>
  <c r="Y195" i="7"/>
  <c r="Z195" i="7"/>
  <c r="AA195" i="7"/>
  <c r="H196" i="12"/>
  <c r="B196" i="7" a="1"/>
  <c r="B196" i="7" s="1"/>
  <c r="C198" i="4" l="1"/>
  <c r="D198" i="4"/>
  <c r="E198" i="4"/>
  <c r="F198" i="4"/>
  <c r="G198" i="4"/>
  <c r="H198" i="4"/>
  <c r="I198" i="4"/>
  <c r="J198" i="4"/>
  <c r="K198" i="4"/>
  <c r="L198" i="4"/>
  <c r="M198" i="4"/>
  <c r="N198" i="4"/>
  <c r="O198" i="4"/>
  <c r="P198" i="4"/>
  <c r="Q198" i="4"/>
  <c r="R198" i="4"/>
  <c r="S198" i="4"/>
  <c r="T198" i="4"/>
  <c r="U198" i="4"/>
  <c r="V198" i="4"/>
  <c r="W198" i="4"/>
  <c r="X198" i="4"/>
  <c r="Y198" i="4"/>
  <c r="Z198" i="4"/>
  <c r="AA198" i="4"/>
  <c r="G199" i="12"/>
  <c r="B199" i="4" a="1"/>
  <c r="B199" i="4" s="1"/>
  <c r="C196" i="7"/>
  <c r="D196" i="7"/>
  <c r="E196" i="7"/>
  <c r="F196" i="7"/>
  <c r="G196" i="7"/>
  <c r="H196" i="7"/>
  <c r="I196" i="7"/>
  <c r="J196" i="7"/>
  <c r="K196" i="7"/>
  <c r="L196" i="7"/>
  <c r="M196" i="7"/>
  <c r="N196" i="7"/>
  <c r="O196" i="7"/>
  <c r="P196" i="7"/>
  <c r="Q196" i="7"/>
  <c r="R196" i="7"/>
  <c r="S196" i="7"/>
  <c r="T196" i="7"/>
  <c r="U196" i="7"/>
  <c r="V196" i="7"/>
  <c r="W196" i="7"/>
  <c r="X196" i="7"/>
  <c r="Y196" i="7"/>
  <c r="Z196" i="7"/>
  <c r="AA196" i="7"/>
  <c r="H197" i="12"/>
  <c r="B197" i="7" a="1"/>
  <c r="B197" i="7" s="1"/>
  <c r="B200" i="4" l="1" a="1"/>
  <c r="B200" i="4" s="1"/>
  <c r="C199" i="4"/>
  <c r="D199" i="4"/>
  <c r="E199" i="4"/>
  <c r="F199" i="4"/>
  <c r="G199" i="4"/>
  <c r="H199" i="4"/>
  <c r="I199" i="4"/>
  <c r="J199" i="4"/>
  <c r="K199" i="4"/>
  <c r="L199" i="4"/>
  <c r="M199" i="4"/>
  <c r="N199" i="4"/>
  <c r="O199" i="4"/>
  <c r="P199" i="4"/>
  <c r="Q199" i="4"/>
  <c r="R199" i="4"/>
  <c r="S199" i="4"/>
  <c r="T199" i="4"/>
  <c r="U199" i="4"/>
  <c r="V199" i="4"/>
  <c r="W199" i="4"/>
  <c r="X199" i="4"/>
  <c r="Y199" i="4"/>
  <c r="Z199" i="4"/>
  <c r="AA199" i="4"/>
  <c r="G200" i="12"/>
  <c r="B198" i="7" a="1"/>
  <c r="B198" i="7" s="1"/>
  <c r="C197" i="7"/>
  <c r="D197" i="7"/>
  <c r="E197" i="7"/>
  <c r="F197" i="7"/>
  <c r="G197" i="7"/>
  <c r="H197" i="7"/>
  <c r="I197" i="7"/>
  <c r="J197" i="7"/>
  <c r="K197" i="7"/>
  <c r="L197" i="7"/>
  <c r="M197" i="7"/>
  <c r="N197" i="7"/>
  <c r="O197" i="7"/>
  <c r="P197" i="7"/>
  <c r="Q197" i="7"/>
  <c r="R197" i="7"/>
  <c r="S197" i="7"/>
  <c r="T197" i="7"/>
  <c r="U197" i="7"/>
  <c r="V197" i="7"/>
  <c r="W197" i="7"/>
  <c r="X197" i="7"/>
  <c r="Y197" i="7"/>
  <c r="Z197" i="7"/>
  <c r="AA197" i="7"/>
  <c r="H198" i="12"/>
  <c r="C200" i="4" l="1"/>
  <c r="D200" i="4"/>
  <c r="E200" i="4"/>
  <c r="F200" i="4"/>
  <c r="G200" i="4"/>
  <c r="H200" i="4"/>
  <c r="I200" i="4"/>
  <c r="J200" i="4"/>
  <c r="K200" i="4"/>
  <c r="L200" i="4"/>
  <c r="M200" i="4"/>
  <c r="N200" i="4"/>
  <c r="O200" i="4"/>
  <c r="P200" i="4"/>
  <c r="Q200" i="4"/>
  <c r="R200" i="4"/>
  <c r="S200" i="4"/>
  <c r="T200" i="4"/>
  <c r="U200" i="4"/>
  <c r="V200" i="4"/>
  <c r="W200" i="4"/>
  <c r="X200" i="4"/>
  <c r="Y200" i="4"/>
  <c r="Z200" i="4"/>
  <c r="AA200" i="4"/>
  <c r="G201" i="12"/>
  <c r="B201" i="4" a="1"/>
  <c r="B201" i="4" s="1"/>
  <c r="C198" i="7"/>
  <c r="D198" i="7"/>
  <c r="E198" i="7"/>
  <c r="F198" i="7"/>
  <c r="G198" i="7"/>
  <c r="H198" i="7"/>
  <c r="I198" i="7"/>
  <c r="J198" i="7"/>
  <c r="K198" i="7"/>
  <c r="L198" i="7"/>
  <c r="M198" i="7"/>
  <c r="N198" i="7"/>
  <c r="O198" i="7"/>
  <c r="P198" i="7"/>
  <c r="Q198" i="7"/>
  <c r="R198" i="7"/>
  <c r="S198" i="7"/>
  <c r="T198" i="7"/>
  <c r="U198" i="7"/>
  <c r="V198" i="7"/>
  <c r="W198" i="7"/>
  <c r="X198" i="7"/>
  <c r="Y198" i="7"/>
  <c r="Z198" i="7"/>
  <c r="AA198" i="7"/>
  <c r="H199" i="12"/>
  <c r="B199" i="7" a="1"/>
  <c r="B199" i="7" s="1"/>
  <c r="B202" i="4" l="1" a="1"/>
  <c r="B202" i="4" s="1"/>
  <c r="C201" i="4"/>
  <c r="D201" i="4"/>
  <c r="E201" i="4"/>
  <c r="F201" i="4"/>
  <c r="G201" i="4"/>
  <c r="H201" i="4"/>
  <c r="I201" i="4"/>
  <c r="J201" i="4"/>
  <c r="K201" i="4"/>
  <c r="L201" i="4"/>
  <c r="M201" i="4"/>
  <c r="N201" i="4"/>
  <c r="O201" i="4"/>
  <c r="P201" i="4"/>
  <c r="Q201" i="4"/>
  <c r="R201" i="4"/>
  <c r="S201" i="4"/>
  <c r="T201" i="4"/>
  <c r="U201" i="4"/>
  <c r="V201" i="4"/>
  <c r="W201" i="4"/>
  <c r="X201" i="4"/>
  <c r="Y201" i="4"/>
  <c r="Z201" i="4"/>
  <c r="AA201" i="4"/>
  <c r="G202" i="12"/>
  <c r="B200" i="7" a="1"/>
  <c r="B200" i="7" s="1"/>
  <c r="C199" i="7"/>
  <c r="D199" i="7"/>
  <c r="E199" i="7"/>
  <c r="F199" i="7"/>
  <c r="G199" i="7"/>
  <c r="H199" i="7"/>
  <c r="I199" i="7"/>
  <c r="J199" i="7"/>
  <c r="K199" i="7"/>
  <c r="L199" i="7"/>
  <c r="M199" i="7"/>
  <c r="N199" i="7"/>
  <c r="O199" i="7"/>
  <c r="P199" i="7"/>
  <c r="Q199" i="7"/>
  <c r="R199" i="7"/>
  <c r="S199" i="7"/>
  <c r="T199" i="7"/>
  <c r="U199" i="7"/>
  <c r="V199" i="7"/>
  <c r="W199" i="7"/>
  <c r="X199" i="7"/>
  <c r="Y199" i="7"/>
  <c r="Z199" i="7"/>
  <c r="AA199" i="7"/>
  <c r="H200" i="12"/>
  <c r="B203" i="4" l="1" a="1"/>
  <c r="B203" i="4" s="1"/>
  <c r="C202" i="4"/>
  <c r="D202" i="4"/>
  <c r="E202" i="4"/>
  <c r="F202" i="4"/>
  <c r="G202" i="4"/>
  <c r="H202" i="4"/>
  <c r="I202" i="4"/>
  <c r="J202" i="4"/>
  <c r="K202" i="4"/>
  <c r="L202" i="4"/>
  <c r="M202" i="4"/>
  <c r="N202" i="4"/>
  <c r="O202" i="4"/>
  <c r="P202" i="4"/>
  <c r="Q202" i="4"/>
  <c r="R202" i="4"/>
  <c r="S202" i="4"/>
  <c r="T202" i="4"/>
  <c r="U202" i="4"/>
  <c r="V202" i="4"/>
  <c r="W202" i="4"/>
  <c r="X202" i="4"/>
  <c r="Y202" i="4"/>
  <c r="Z202" i="4"/>
  <c r="AA202" i="4"/>
  <c r="G203" i="12"/>
  <c r="C200" i="7"/>
  <c r="D200" i="7"/>
  <c r="E200" i="7"/>
  <c r="F200" i="7"/>
  <c r="G200" i="7"/>
  <c r="H200" i="7"/>
  <c r="I200" i="7"/>
  <c r="J200" i="7"/>
  <c r="K200" i="7"/>
  <c r="L200" i="7"/>
  <c r="M200" i="7"/>
  <c r="N200" i="7"/>
  <c r="O200" i="7"/>
  <c r="P200" i="7"/>
  <c r="Q200" i="7"/>
  <c r="R200" i="7"/>
  <c r="S200" i="7"/>
  <c r="T200" i="7"/>
  <c r="U200" i="7"/>
  <c r="V200" i="7"/>
  <c r="W200" i="7"/>
  <c r="X200" i="7"/>
  <c r="Y200" i="7"/>
  <c r="Z200" i="7"/>
  <c r="AA200" i="7"/>
  <c r="H201" i="12"/>
  <c r="B201" i="7" a="1"/>
  <c r="B201" i="7" s="1"/>
  <c r="C203" i="4" l="1"/>
  <c r="D203" i="4"/>
  <c r="E203" i="4"/>
  <c r="F203" i="4"/>
  <c r="G203" i="4"/>
  <c r="H203" i="4"/>
  <c r="I203" i="4"/>
  <c r="J203" i="4"/>
  <c r="K203" i="4"/>
  <c r="L203" i="4"/>
  <c r="M203" i="4"/>
  <c r="N203" i="4"/>
  <c r="O203" i="4"/>
  <c r="P203" i="4"/>
  <c r="Q203" i="4"/>
  <c r="R203" i="4"/>
  <c r="S203" i="4"/>
  <c r="T203" i="4"/>
  <c r="U203" i="4"/>
  <c r="V203" i="4"/>
  <c r="W203" i="4"/>
  <c r="X203" i="4"/>
  <c r="Y203" i="4"/>
  <c r="Z203" i="4"/>
  <c r="AA203" i="4"/>
  <c r="G204" i="12"/>
  <c r="B204" i="4" a="1"/>
  <c r="B204" i="4" s="1"/>
  <c r="C201" i="7"/>
  <c r="D201" i="7"/>
  <c r="E201" i="7"/>
  <c r="F201" i="7"/>
  <c r="G201" i="7"/>
  <c r="H201" i="7"/>
  <c r="I201" i="7"/>
  <c r="J201" i="7"/>
  <c r="K201" i="7"/>
  <c r="L201" i="7"/>
  <c r="M201" i="7"/>
  <c r="N201" i="7"/>
  <c r="O201" i="7"/>
  <c r="P201" i="7"/>
  <c r="Q201" i="7"/>
  <c r="R201" i="7"/>
  <c r="S201" i="7"/>
  <c r="T201" i="7"/>
  <c r="U201" i="7"/>
  <c r="V201" i="7"/>
  <c r="W201" i="7"/>
  <c r="X201" i="7"/>
  <c r="Y201" i="7"/>
  <c r="Z201" i="7"/>
  <c r="AA201" i="7"/>
  <c r="H202" i="12"/>
  <c r="B202" i="7" a="1"/>
  <c r="B202" i="7" s="1"/>
  <c r="C204" i="4" l="1"/>
  <c r="D204" i="4"/>
  <c r="E204" i="4"/>
  <c r="F204" i="4"/>
  <c r="G204" i="4"/>
  <c r="H204" i="4"/>
  <c r="I204" i="4"/>
  <c r="J204" i="4"/>
  <c r="K204" i="4"/>
  <c r="L204" i="4"/>
  <c r="M204" i="4"/>
  <c r="N204" i="4"/>
  <c r="O204" i="4"/>
  <c r="P204" i="4"/>
  <c r="Q204" i="4"/>
  <c r="R204" i="4"/>
  <c r="S204" i="4"/>
  <c r="T204" i="4"/>
  <c r="U204" i="4"/>
  <c r="V204" i="4"/>
  <c r="W204" i="4"/>
  <c r="X204" i="4"/>
  <c r="Y204" i="4"/>
  <c r="Z204" i="4"/>
  <c r="AA204" i="4"/>
  <c r="G205" i="12"/>
  <c r="B205" i="4" a="1"/>
  <c r="B205" i="4" s="1"/>
  <c r="C202" i="7"/>
  <c r="D202" i="7"/>
  <c r="E202" i="7"/>
  <c r="F202" i="7"/>
  <c r="G202" i="7"/>
  <c r="H202" i="7"/>
  <c r="I202" i="7"/>
  <c r="J202" i="7"/>
  <c r="K202" i="7"/>
  <c r="L202" i="7"/>
  <c r="M202" i="7"/>
  <c r="N202" i="7"/>
  <c r="O202" i="7"/>
  <c r="P202" i="7"/>
  <c r="Q202" i="7"/>
  <c r="R202" i="7"/>
  <c r="S202" i="7"/>
  <c r="T202" i="7"/>
  <c r="U202" i="7"/>
  <c r="V202" i="7"/>
  <c r="W202" i="7"/>
  <c r="X202" i="7"/>
  <c r="Y202" i="7"/>
  <c r="Z202" i="7"/>
  <c r="AA202" i="7"/>
  <c r="H203" i="12"/>
  <c r="B203" i="7" a="1"/>
  <c r="B203" i="7" s="1"/>
  <c r="C205" i="4" l="1"/>
  <c r="D205" i="4"/>
  <c r="E205" i="4"/>
  <c r="F205" i="4"/>
  <c r="G205" i="4"/>
  <c r="H205" i="4"/>
  <c r="I205" i="4"/>
  <c r="J205" i="4"/>
  <c r="K205" i="4"/>
  <c r="L205" i="4"/>
  <c r="M205" i="4"/>
  <c r="N205" i="4"/>
  <c r="O205" i="4"/>
  <c r="P205" i="4"/>
  <c r="Q205" i="4"/>
  <c r="R205" i="4"/>
  <c r="S205" i="4"/>
  <c r="T205" i="4"/>
  <c r="U205" i="4"/>
  <c r="V205" i="4"/>
  <c r="W205" i="4"/>
  <c r="X205" i="4"/>
  <c r="Y205" i="4"/>
  <c r="Z205" i="4"/>
  <c r="AA205" i="4"/>
  <c r="G206" i="12"/>
  <c r="B206" i="4" a="1"/>
  <c r="B206" i="4" s="1"/>
  <c r="B204" i="7" a="1"/>
  <c r="B204" i="7" s="1"/>
  <c r="C203" i="7"/>
  <c r="D203" i="7"/>
  <c r="E203" i="7"/>
  <c r="F203" i="7"/>
  <c r="G203" i="7"/>
  <c r="H203" i="7"/>
  <c r="I203" i="7"/>
  <c r="J203" i="7"/>
  <c r="K203" i="7"/>
  <c r="L203" i="7"/>
  <c r="M203" i="7"/>
  <c r="N203" i="7"/>
  <c r="O203" i="7"/>
  <c r="P203" i="7"/>
  <c r="Q203" i="7"/>
  <c r="R203" i="7"/>
  <c r="S203" i="7"/>
  <c r="T203" i="7"/>
  <c r="U203" i="7"/>
  <c r="V203" i="7"/>
  <c r="W203" i="7"/>
  <c r="X203" i="7"/>
  <c r="Y203" i="7"/>
  <c r="Z203" i="7"/>
  <c r="AA203" i="7"/>
  <c r="H204" i="12"/>
  <c r="C206" i="4" l="1"/>
  <c r="D206" i="4"/>
  <c r="E206" i="4"/>
  <c r="F206" i="4"/>
  <c r="G206" i="4"/>
  <c r="H206" i="4"/>
  <c r="I206" i="4"/>
  <c r="J206" i="4"/>
  <c r="K206" i="4"/>
  <c r="L206" i="4"/>
  <c r="M206" i="4"/>
  <c r="N206" i="4"/>
  <c r="O206" i="4"/>
  <c r="P206" i="4"/>
  <c r="Q206" i="4"/>
  <c r="R206" i="4"/>
  <c r="S206" i="4"/>
  <c r="T206" i="4"/>
  <c r="U206" i="4"/>
  <c r="V206" i="4"/>
  <c r="W206" i="4"/>
  <c r="X206" i="4"/>
  <c r="Y206" i="4"/>
  <c r="Z206" i="4"/>
  <c r="AA206" i="4"/>
  <c r="G207" i="12"/>
  <c r="B207" i="4" a="1"/>
  <c r="B207" i="4" s="1"/>
  <c r="C204" i="7"/>
  <c r="D204" i="7"/>
  <c r="E204" i="7"/>
  <c r="F204" i="7"/>
  <c r="G204" i="7"/>
  <c r="H204" i="7"/>
  <c r="I204" i="7"/>
  <c r="J204" i="7"/>
  <c r="K204" i="7"/>
  <c r="L204" i="7"/>
  <c r="M204" i="7"/>
  <c r="N204" i="7"/>
  <c r="O204" i="7"/>
  <c r="P204" i="7"/>
  <c r="Q204" i="7"/>
  <c r="R204" i="7"/>
  <c r="S204" i="7"/>
  <c r="T204" i="7"/>
  <c r="U204" i="7"/>
  <c r="V204" i="7"/>
  <c r="W204" i="7"/>
  <c r="X204" i="7"/>
  <c r="Y204" i="7"/>
  <c r="Z204" i="7"/>
  <c r="AA204" i="7"/>
  <c r="H205" i="12"/>
  <c r="B205" i="7" a="1"/>
  <c r="B205" i="7" s="1"/>
  <c r="B208" i="4" l="1" a="1"/>
  <c r="B208" i="4" s="1"/>
  <c r="C207" i="4"/>
  <c r="D207" i="4"/>
  <c r="E207" i="4"/>
  <c r="F207" i="4"/>
  <c r="G207" i="4"/>
  <c r="H207" i="4"/>
  <c r="I207" i="4"/>
  <c r="J207" i="4"/>
  <c r="K207" i="4"/>
  <c r="L207" i="4"/>
  <c r="M207" i="4"/>
  <c r="N207" i="4"/>
  <c r="O207" i="4"/>
  <c r="P207" i="4"/>
  <c r="Q207" i="4"/>
  <c r="R207" i="4"/>
  <c r="S207" i="4"/>
  <c r="T207" i="4"/>
  <c r="U207" i="4"/>
  <c r="V207" i="4"/>
  <c r="W207" i="4"/>
  <c r="X207" i="4"/>
  <c r="Y207" i="4"/>
  <c r="Z207" i="4"/>
  <c r="AA207" i="4"/>
  <c r="G208" i="12"/>
  <c r="B206" i="7" a="1"/>
  <c r="B206" i="7" s="1"/>
  <c r="C205" i="7"/>
  <c r="D205" i="7"/>
  <c r="E205" i="7"/>
  <c r="F205" i="7"/>
  <c r="G205" i="7"/>
  <c r="H205" i="7"/>
  <c r="I205" i="7"/>
  <c r="J205" i="7"/>
  <c r="K205" i="7"/>
  <c r="L205" i="7"/>
  <c r="M205" i="7"/>
  <c r="N205" i="7"/>
  <c r="O205" i="7"/>
  <c r="P205" i="7"/>
  <c r="Q205" i="7"/>
  <c r="R205" i="7"/>
  <c r="S205" i="7"/>
  <c r="T205" i="7"/>
  <c r="U205" i="7"/>
  <c r="V205" i="7"/>
  <c r="W205" i="7"/>
  <c r="X205" i="7"/>
  <c r="Y205" i="7"/>
  <c r="Z205" i="7"/>
  <c r="AA205" i="7"/>
  <c r="H206" i="12"/>
  <c r="B209" i="4" l="1" a="1"/>
  <c r="B209" i="4" s="1"/>
  <c r="C208" i="4"/>
  <c r="D208" i="4"/>
  <c r="E208" i="4"/>
  <c r="F208" i="4"/>
  <c r="G208" i="4"/>
  <c r="H208" i="4"/>
  <c r="I208" i="4"/>
  <c r="J208" i="4"/>
  <c r="K208" i="4"/>
  <c r="L208" i="4"/>
  <c r="M208" i="4"/>
  <c r="N208" i="4"/>
  <c r="O208" i="4"/>
  <c r="P208" i="4"/>
  <c r="Q208" i="4"/>
  <c r="R208" i="4"/>
  <c r="S208" i="4"/>
  <c r="T208" i="4"/>
  <c r="U208" i="4"/>
  <c r="V208" i="4"/>
  <c r="W208" i="4"/>
  <c r="X208" i="4"/>
  <c r="Y208" i="4"/>
  <c r="Z208" i="4"/>
  <c r="AA208" i="4"/>
  <c r="G209" i="12"/>
  <c r="C206" i="7"/>
  <c r="D206" i="7"/>
  <c r="E206" i="7"/>
  <c r="F206" i="7"/>
  <c r="G206" i="7"/>
  <c r="H206" i="7"/>
  <c r="I206" i="7"/>
  <c r="J206" i="7"/>
  <c r="K206" i="7"/>
  <c r="L206" i="7"/>
  <c r="M206" i="7"/>
  <c r="N206" i="7"/>
  <c r="O206" i="7"/>
  <c r="P206" i="7"/>
  <c r="Q206" i="7"/>
  <c r="R206" i="7"/>
  <c r="S206" i="7"/>
  <c r="T206" i="7"/>
  <c r="U206" i="7"/>
  <c r="V206" i="7"/>
  <c r="W206" i="7"/>
  <c r="X206" i="7"/>
  <c r="Y206" i="7"/>
  <c r="Z206" i="7"/>
  <c r="AA206" i="7"/>
  <c r="H207" i="12"/>
  <c r="B207" i="7" a="1"/>
  <c r="B207" i="7" s="1"/>
  <c r="B210" i="4" l="1" a="1"/>
  <c r="B210" i="4" s="1"/>
  <c r="C209" i="4"/>
  <c r="D209" i="4"/>
  <c r="E209" i="4"/>
  <c r="F209" i="4"/>
  <c r="G209" i="4"/>
  <c r="H209" i="4"/>
  <c r="I209" i="4"/>
  <c r="J209" i="4"/>
  <c r="K209" i="4"/>
  <c r="L209" i="4"/>
  <c r="M209" i="4"/>
  <c r="N209" i="4"/>
  <c r="O209" i="4"/>
  <c r="P209" i="4"/>
  <c r="Q209" i="4"/>
  <c r="R209" i="4"/>
  <c r="S209" i="4"/>
  <c r="T209" i="4"/>
  <c r="U209" i="4"/>
  <c r="V209" i="4"/>
  <c r="W209" i="4"/>
  <c r="X209" i="4"/>
  <c r="Y209" i="4"/>
  <c r="Z209" i="4"/>
  <c r="AA209" i="4"/>
  <c r="G210" i="12"/>
  <c r="B208" i="7" a="1"/>
  <c r="B208" i="7" s="1"/>
  <c r="C207" i="7"/>
  <c r="D207" i="7"/>
  <c r="E207" i="7"/>
  <c r="F207" i="7"/>
  <c r="G207" i="7"/>
  <c r="H207" i="7"/>
  <c r="I207" i="7"/>
  <c r="J207" i="7"/>
  <c r="K207" i="7"/>
  <c r="L207" i="7"/>
  <c r="M207" i="7"/>
  <c r="N207" i="7"/>
  <c r="O207" i="7"/>
  <c r="P207" i="7"/>
  <c r="Q207" i="7"/>
  <c r="R207" i="7"/>
  <c r="S207" i="7"/>
  <c r="T207" i="7"/>
  <c r="U207" i="7"/>
  <c r="V207" i="7"/>
  <c r="W207" i="7"/>
  <c r="X207" i="7"/>
  <c r="Y207" i="7"/>
  <c r="Z207" i="7"/>
  <c r="AA207" i="7"/>
  <c r="H208" i="12"/>
  <c r="C210" i="4" l="1"/>
  <c r="D210" i="4"/>
  <c r="E210" i="4"/>
  <c r="F210" i="4"/>
  <c r="G210" i="4"/>
  <c r="H210" i="4"/>
  <c r="I210" i="4"/>
  <c r="J210" i="4"/>
  <c r="K210" i="4"/>
  <c r="L210" i="4"/>
  <c r="M210" i="4"/>
  <c r="N210" i="4"/>
  <c r="O210" i="4"/>
  <c r="P210" i="4"/>
  <c r="Q210" i="4"/>
  <c r="R210" i="4"/>
  <c r="S210" i="4"/>
  <c r="T210" i="4"/>
  <c r="U210" i="4"/>
  <c r="V210" i="4"/>
  <c r="W210" i="4"/>
  <c r="X210" i="4"/>
  <c r="Y210" i="4"/>
  <c r="Z210" i="4"/>
  <c r="AA210" i="4"/>
  <c r="G211" i="12"/>
  <c r="B211" i="4" a="1"/>
  <c r="B211" i="4" s="1"/>
  <c r="C208" i="7"/>
  <c r="D208" i="7"/>
  <c r="E208" i="7"/>
  <c r="F208" i="7"/>
  <c r="G208" i="7"/>
  <c r="H208" i="7"/>
  <c r="I208" i="7"/>
  <c r="J208" i="7"/>
  <c r="K208" i="7"/>
  <c r="L208" i="7"/>
  <c r="M208" i="7"/>
  <c r="N208" i="7"/>
  <c r="O208" i="7"/>
  <c r="P208" i="7"/>
  <c r="Q208" i="7"/>
  <c r="R208" i="7"/>
  <c r="S208" i="7"/>
  <c r="T208" i="7"/>
  <c r="U208" i="7"/>
  <c r="V208" i="7"/>
  <c r="W208" i="7"/>
  <c r="X208" i="7"/>
  <c r="Y208" i="7"/>
  <c r="Z208" i="7"/>
  <c r="AA208" i="7"/>
  <c r="H209" i="12"/>
  <c r="B209" i="7" a="1"/>
  <c r="B209" i="7" s="1"/>
  <c r="B212" i="4" l="1" a="1"/>
  <c r="B212" i="4" s="1"/>
  <c r="C211" i="4"/>
  <c r="D211" i="4"/>
  <c r="E211" i="4"/>
  <c r="F211" i="4"/>
  <c r="G211" i="4"/>
  <c r="H211" i="4"/>
  <c r="I211" i="4"/>
  <c r="J211" i="4"/>
  <c r="K211" i="4"/>
  <c r="L211" i="4"/>
  <c r="M211" i="4"/>
  <c r="N211" i="4"/>
  <c r="O211" i="4"/>
  <c r="P211" i="4"/>
  <c r="Q211" i="4"/>
  <c r="R211" i="4"/>
  <c r="S211" i="4"/>
  <c r="T211" i="4"/>
  <c r="U211" i="4"/>
  <c r="V211" i="4"/>
  <c r="W211" i="4"/>
  <c r="X211" i="4"/>
  <c r="Y211" i="4"/>
  <c r="Z211" i="4"/>
  <c r="AA211" i="4"/>
  <c r="G212" i="12"/>
  <c r="C209" i="7"/>
  <c r="D209" i="7"/>
  <c r="E209" i="7"/>
  <c r="F209" i="7"/>
  <c r="G209" i="7"/>
  <c r="H209" i="7"/>
  <c r="I209" i="7"/>
  <c r="J209" i="7"/>
  <c r="K209" i="7"/>
  <c r="L209" i="7"/>
  <c r="M209" i="7"/>
  <c r="N209" i="7"/>
  <c r="O209" i="7"/>
  <c r="P209" i="7"/>
  <c r="Q209" i="7"/>
  <c r="R209" i="7"/>
  <c r="S209" i="7"/>
  <c r="T209" i="7"/>
  <c r="U209" i="7"/>
  <c r="V209" i="7"/>
  <c r="W209" i="7"/>
  <c r="X209" i="7"/>
  <c r="Y209" i="7"/>
  <c r="Z209" i="7"/>
  <c r="AA209" i="7"/>
  <c r="H210" i="12"/>
  <c r="B210" i="7" a="1"/>
  <c r="B210" i="7" s="1"/>
  <c r="C212" i="4" l="1"/>
  <c r="D212" i="4"/>
  <c r="E212" i="4"/>
  <c r="F212" i="4"/>
  <c r="G212" i="4"/>
  <c r="H212" i="4"/>
  <c r="I212" i="4"/>
  <c r="J212" i="4"/>
  <c r="K212" i="4"/>
  <c r="L212" i="4"/>
  <c r="M212" i="4"/>
  <c r="N212" i="4"/>
  <c r="O212" i="4"/>
  <c r="P212" i="4"/>
  <c r="Q212" i="4"/>
  <c r="R212" i="4"/>
  <c r="S212" i="4"/>
  <c r="T212" i="4"/>
  <c r="U212" i="4"/>
  <c r="V212" i="4"/>
  <c r="W212" i="4"/>
  <c r="X212" i="4"/>
  <c r="Y212" i="4"/>
  <c r="Z212" i="4"/>
  <c r="AA212" i="4"/>
  <c r="G213" i="12"/>
  <c r="B213" i="4" a="1"/>
  <c r="B213" i="4" s="1"/>
  <c r="C210" i="7"/>
  <c r="D210" i="7"/>
  <c r="E210" i="7"/>
  <c r="F210" i="7"/>
  <c r="G210" i="7"/>
  <c r="H210" i="7"/>
  <c r="I210" i="7"/>
  <c r="J210" i="7"/>
  <c r="K210" i="7"/>
  <c r="L210" i="7"/>
  <c r="M210" i="7"/>
  <c r="N210" i="7"/>
  <c r="O210" i="7"/>
  <c r="P210" i="7"/>
  <c r="Q210" i="7"/>
  <c r="R210" i="7"/>
  <c r="S210" i="7"/>
  <c r="T210" i="7"/>
  <c r="U210" i="7"/>
  <c r="V210" i="7"/>
  <c r="W210" i="7"/>
  <c r="X210" i="7"/>
  <c r="Y210" i="7"/>
  <c r="Z210" i="7"/>
  <c r="AA210" i="7"/>
  <c r="H211" i="12"/>
  <c r="B211" i="7" a="1"/>
  <c r="B211" i="7" s="1"/>
  <c r="B214" i="4" l="1" a="1"/>
  <c r="B214" i="4" s="1"/>
  <c r="C213" i="4"/>
  <c r="D213" i="4"/>
  <c r="E213" i="4"/>
  <c r="F213" i="4"/>
  <c r="G213" i="4"/>
  <c r="H213" i="4"/>
  <c r="I213" i="4"/>
  <c r="J213" i="4"/>
  <c r="K213" i="4"/>
  <c r="L213" i="4"/>
  <c r="M213" i="4"/>
  <c r="N213" i="4"/>
  <c r="O213" i="4"/>
  <c r="P213" i="4"/>
  <c r="Q213" i="4"/>
  <c r="R213" i="4"/>
  <c r="S213" i="4"/>
  <c r="T213" i="4"/>
  <c r="U213" i="4"/>
  <c r="V213" i="4"/>
  <c r="W213" i="4"/>
  <c r="X213" i="4"/>
  <c r="Y213" i="4"/>
  <c r="Z213" i="4"/>
  <c r="AA213" i="4"/>
  <c r="G214" i="12"/>
  <c r="C211" i="7"/>
  <c r="D211" i="7"/>
  <c r="E211" i="7"/>
  <c r="F211" i="7"/>
  <c r="G211" i="7"/>
  <c r="H211" i="7"/>
  <c r="I211" i="7"/>
  <c r="J211" i="7"/>
  <c r="K211" i="7"/>
  <c r="L211" i="7"/>
  <c r="M211" i="7"/>
  <c r="N211" i="7"/>
  <c r="O211" i="7"/>
  <c r="P211" i="7"/>
  <c r="Q211" i="7"/>
  <c r="R211" i="7"/>
  <c r="S211" i="7"/>
  <c r="T211" i="7"/>
  <c r="U211" i="7"/>
  <c r="V211" i="7"/>
  <c r="W211" i="7"/>
  <c r="X211" i="7"/>
  <c r="Y211" i="7"/>
  <c r="Z211" i="7"/>
  <c r="AA211" i="7"/>
  <c r="H212" i="12"/>
  <c r="B212" i="7" a="1"/>
  <c r="B212" i="7" s="1"/>
  <c r="C214" i="4" l="1"/>
  <c r="D214" i="4"/>
  <c r="E214" i="4"/>
  <c r="F214" i="4"/>
  <c r="G214" i="4"/>
  <c r="H214" i="4"/>
  <c r="I214" i="4"/>
  <c r="J214" i="4"/>
  <c r="K214" i="4"/>
  <c r="L214" i="4"/>
  <c r="M214" i="4"/>
  <c r="N214" i="4"/>
  <c r="O214" i="4"/>
  <c r="P214" i="4"/>
  <c r="Q214" i="4"/>
  <c r="R214" i="4"/>
  <c r="S214" i="4"/>
  <c r="T214" i="4"/>
  <c r="U214" i="4"/>
  <c r="V214" i="4"/>
  <c r="W214" i="4"/>
  <c r="X214" i="4"/>
  <c r="Y214" i="4"/>
  <c r="Z214" i="4"/>
  <c r="AA214" i="4"/>
  <c r="G215" i="12"/>
  <c r="B215" i="4" a="1"/>
  <c r="B215" i="4" s="1"/>
  <c r="C212" i="7"/>
  <c r="D212" i="7"/>
  <c r="E212" i="7"/>
  <c r="F212" i="7"/>
  <c r="G212" i="7"/>
  <c r="H212" i="7"/>
  <c r="I212" i="7"/>
  <c r="J212" i="7"/>
  <c r="K212" i="7"/>
  <c r="L212" i="7"/>
  <c r="M212" i="7"/>
  <c r="N212" i="7"/>
  <c r="O212" i="7"/>
  <c r="P212" i="7"/>
  <c r="Q212" i="7"/>
  <c r="R212" i="7"/>
  <c r="S212" i="7"/>
  <c r="T212" i="7"/>
  <c r="U212" i="7"/>
  <c r="V212" i="7"/>
  <c r="W212" i="7"/>
  <c r="X212" i="7"/>
  <c r="Y212" i="7"/>
  <c r="Z212" i="7"/>
  <c r="AA212" i="7"/>
  <c r="H213" i="12"/>
  <c r="B213" i="7" a="1"/>
  <c r="B213" i="7" s="1"/>
  <c r="B216" i="4" l="1" a="1"/>
  <c r="B216" i="4" s="1"/>
  <c r="C215" i="4"/>
  <c r="D215" i="4"/>
  <c r="E215" i="4"/>
  <c r="F215" i="4"/>
  <c r="G215" i="4"/>
  <c r="H215" i="4"/>
  <c r="I215" i="4"/>
  <c r="J215" i="4"/>
  <c r="K215" i="4"/>
  <c r="L215" i="4"/>
  <c r="M215" i="4"/>
  <c r="N215" i="4"/>
  <c r="O215" i="4"/>
  <c r="P215" i="4"/>
  <c r="Q215" i="4"/>
  <c r="R215" i="4"/>
  <c r="S215" i="4"/>
  <c r="T215" i="4"/>
  <c r="U215" i="4"/>
  <c r="V215" i="4"/>
  <c r="W215" i="4"/>
  <c r="X215" i="4"/>
  <c r="Y215" i="4"/>
  <c r="Z215" i="4"/>
  <c r="AA215" i="4"/>
  <c r="G216" i="12"/>
  <c r="B214" i="7" a="1"/>
  <c r="B214" i="7" s="1"/>
  <c r="C213" i="7"/>
  <c r="D213" i="7"/>
  <c r="E213" i="7"/>
  <c r="F213" i="7"/>
  <c r="G213" i="7"/>
  <c r="H213" i="7"/>
  <c r="I213" i="7"/>
  <c r="J213" i="7"/>
  <c r="K213" i="7"/>
  <c r="L213" i="7"/>
  <c r="M213" i="7"/>
  <c r="N213" i="7"/>
  <c r="O213" i="7"/>
  <c r="P213" i="7"/>
  <c r="Q213" i="7"/>
  <c r="R213" i="7"/>
  <c r="S213" i="7"/>
  <c r="T213" i="7"/>
  <c r="U213" i="7"/>
  <c r="V213" i="7"/>
  <c r="W213" i="7"/>
  <c r="X213" i="7"/>
  <c r="Y213" i="7"/>
  <c r="Z213" i="7"/>
  <c r="AA213" i="7"/>
  <c r="H214" i="12"/>
  <c r="B217" i="4" l="1" a="1"/>
  <c r="B217" i="4" s="1"/>
  <c r="C216" i="4"/>
  <c r="D216" i="4"/>
  <c r="E216" i="4"/>
  <c r="F216" i="4"/>
  <c r="G216" i="4"/>
  <c r="H216" i="4"/>
  <c r="I216" i="4"/>
  <c r="J216" i="4"/>
  <c r="K216" i="4"/>
  <c r="L216" i="4"/>
  <c r="M216" i="4"/>
  <c r="N216" i="4"/>
  <c r="O216" i="4"/>
  <c r="P216" i="4"/>
  <c r="Q216" i="4"/>
  <c r="R216" i="4"/>
  <c r="S216" i="4"/>
  <c r="T216" i="4"/>
  <c r="U216" i="4"/>
  <c r="V216" i="4"/>
  <c r="W216" i="4"/>
  <c r="X216" i="4"/>
  <c r="Y216" i="4"/>
  <c r="Z216" i="4"/>
  <c r="AA216" i="4"/>
  <c r="G217" i="12"/>
  <c r="C214" i="7"/>
  <c r="D214" i="7"/>
  <c r="E214" i="7"/>
  <c r="F214" i="7"/>
  <c r="G214" i="7"/>
  <c r="H214" i="7"/>
  <c r="I214" i="7"/>
  <c r="J214" i="7"/>
  <c r="K214" i="7"/>
  <c r="L214" i="7"/>
  <c r="M214" i="7"/>
  <c r="N214" i="7"/>
  <c r="O214" i="7"/>
  <c r="P214" i="7"/>
  <c r="Q214" i="7"/>
  <c r="R214" i="7"/>
  <c r="S214" i="7"/>
  <c r="T214" i="7"/>
  <c r="U214" i="7"/>
  <c r="V214" i="7"/>
  <c r="W214" i="7"/>
  <c r="X214" i="7"/>
  <c r="Y214" i="7"/>
  <c r="Z214" i="7"/>
  <c r="AA214" i="7"/>
  <c r="H215" i="12"/>
  <c r="B215" i="7" a="1"/>
  <c r="B215" i="7" s="1"/>
  <c r="B218" i="4" l="1" a="1"/>
  <c r="B218" i="4" s="1"/>
  <c r="C217" i="4"/>
  <c r="D217" i="4"/>
  <c r="E217" i="4"/>
  <c r="F217" i="4"/>
  <c r="G217" i="4"/>
  <c r="H217" i="4"/>
  <c r="I217" i="4"/>
  <c r="J217" i="4"/>
  <c r="K217" i="4"/>
  <c r="L217" i="4"/>
  <c r="M217" i="4"/>
  <c r="N217" i="4"/>
  <c r="O217" i="4"/>
  <c r="P217" i="4"/>
  <c r="Q217" i="4"/>
  <c r="R217" i="4"/>
  <c r="S217" i="4"/>
  <c r="T217" i="4"/>
  <c r="U217" i="4"/>
  <c r="V217" i="4"/>
  <c r="W217" i="4"/>
  <c r="X217" i="4"/>
  <c r="Y217" i="4"/>
  <c r="Z217" i="4"/>
  <c r="AA217" i="4"/>
  <c r="G218" i="12"/>
  <c r="B216" i="7" a="1"/>
  <c r="B216" i="7" s="1"/>
  <c r="C215" i="7"/>
  <c r="D215" i="7"/>
  <c r="E215" i="7"/>
  <c r="F215" i="7"/>
  <c r="G215" i="7"/>
  <c r="H215" i="7"/>
  <c r="I215" i="7"/>
  <c r="J215" i="7"/>
  <c r="K215" i="7"/>
  <c r="L215" i="7"/>
  <c r="M215" i="7"/>
  <c r="N215" i="7"/>
  <c r="O215" i="7"/>
  <c r="P215" i="7"/>
  <c r="Q215" i="7"/>
  <c r="R215" i="7"/>
  <c r="S215" i="7"/>
  <c r="T215" i="7"/>
  <c r="U215" i="7"/>
  <c r="V215" i="7"/>
  <c r="W215" i="7"/>
  <c r="X215" i="7"/>
  <c r="Y215" i="7"/>
  <c r="Z215" i="7"/>
  <c r="AA215" i="7"/>
  <c r="H216" i="12"/>
  <c r="C218" i="4" l="1"/>
  <c r="D218" i="4"/>
  <c r="E218" i="4"/>
  <c r="F218" i="4"/>
  <c r="G218" i="4"/>
  <c r="H218" i="4"/>
  <c r="I218" i="4"/>
  <c r="J218" i="4"/>
  <c r="K218" i="4"/>
  <c r="L218" i="4"/>
  <c r="M218" i="4"/>
  <c r="N218" i="4"/>
  <c r="O218" i="4"/>
  <c r="P218" i="4"/>
  <c r="Q218" i="4"/>
  <c r="R218" i="4"/>
  <c r="S218" i="4"/>
  <c r="T218" i="4"/>
  <c r="U218" i="4"/>
  <c r="V218" i="4"/>
  <c r="W218" i="4"/>
  <c r="X218" i="4"/>
  <c r="Y218" i="4"/>
  <c r="Z218" i="4"/>
  <c r="AA218" i="4"/>
  <c r="G219" i="12"/>
  <c r="B219" i="4" a="1"/>
  <c r="B219" i="4" s="1"/>
  <c r="B217" i="7" a="1"/>
  <c r="B217" i="7" s="1"/>
  <c r="C216" i="7"/>
  <c r="D216" i="7"/>
  <c r="E216" i="7"/>
  <c r="F216" i="7"/>
  <c r="G216" i="7"/>
  <c r="H216" i="7"/>
  <c r="I216" i="7"/>
  <c r="J216" i="7"/>
  <c r="K216" i="7"/>
  <c r="L216" i="7"/>
  <c r="M216" i="7"/>
  <c r="N216" i="7"/>
  <c r="O216" i="7"/>
  <c r="P216" i="7"/>
  <c r="Q216" i="7"/>
  <c r="R216" i="7"/>
  <c r="S216" i="7"/>
  <c r="T216" i="7"/>
  <c r="U216" i="7"/>
  <c r="V216" i="7"/>
  <c r="W216" i="7"/>
  <c r="X216" i="7"/>
  <c r="Y216" i="7"/>
  <c r="Z216" i="7"/>
  <c r="AA216" i="7"/>
  <c r="H217" i="12"/>
  <c r="C219" i="4" l="1"/>
  <c r="D219" i="4"/>
  <c r="E219" i="4"/>
  <c r="F219" i="4"/>
  <c r="G219" i="4"/>
  <c r="H219" i="4"/>
  <c r="I219" i="4"/>
  <c r="J219" i="4"/>
  <c r="K219" i="4"/>
  <c r="L219" i="4"/>
  <c r="M219" i="4"/>
  <c r="N219" i="4"/>
  <c r="O219" i="4"/>
  <c r="P219" i="4"/>
  <c r="Q219" i="4"/>
  <c r="R219" i="4"/>
  <c r="S219" i="4"/>
  <c r="T219" i="4"/>
  <c r="U219" i="4"/>
  <c r="V219" i="4"/>
  <c r="W219" i="4"/>
  <c r="X219" i="4"/>
  <c r="Y219" i="4"/>
  <c r="Z219" i="4"/>
  <c r="AA219" i="4"/>
  <c r="G220" i="12"/>
  <c r="B220" i="4" a="1"/>
  <c r="B220" i="4" s="1"/>
  <c r="C217" i="7"/>
  <c r="D217" i="7"/>
  <c r="E217" i="7"/>
  <c r="F217" i="7"/>
  <c r="G217" i="7"/>
  <c r="H217" i="7"/>
  <c r="I217" i="7"/>
  <c r="J217" i="7"/>
  <c r="K217" i="7"/>
  <c r="L217" i="7"/>
  <c r="M217" i="7"/>
  <c r="N217" i="7"/>
  <c r="O217" i="7"/>
  <c r="P217" i="7"/>
  <c r="Q217" i="7"/>
  <c r="R217" i="7"/>
  <c r="S217" i="7"/>
  <c r="T217" i="7"/>
  <c r="U217" i="7"/>
  <c r="V217" i="7"/>
  <c r="W217" i="7"/>
  <c r="X217" i="7"/>
  <c r="Y217" i="7"/>
  <c r="Z217" i="7"/>
  <c r="AA217" i="7"/>
  <c r="H218" i="12"/>
  <c r="B218" i="7" a="1"/>
  <c r="B218" i="7" s="1"/>
  <c r="C220" i="4" l="1"/>
  <c r="D220" i="4"/>
  <c r="E220" i="4"/>
  <c r="F220" i="4"/>
  <c r="G220" i="4"/>
  <c r="H220" i="4"/>
  <c r="I220" i="4"/>
  <c r="J220" i="4"/>
  <c r="K220" i="4"/>
  <c r="L220" i="4"/>
  <c r="M220" i="4"/>
  <c r="N220" i="4"/>
  <c r="O220" i="4"/>
  <c r="P220" i="4"/>
  <c r="Q220" i="4"/>
  <c r="R220" i="4"/>
  <c r="S220" i="4"/>
  <c r="T220" i="4"/>
  <c r="U220" i="4"/>
  <c r="V220" i="4"/>
  <c r="W220" i="4"/>
  <c r="X220" i="4"/>
  <c r="Y220" i="4"/>
  <c r="Z220" i="4"/>
  <c r="AA220" i="4"/>
  <c r="G221" i="12"/>
  <c r="B221" i="4" a="1"/>
  <c r="B221" i="4" s="1"/>
  <c r="B219" i="7" a="1"/>
  <c r="B219" i="7" s="1"/>
  <c r="C218" i="7"/>
  <c r="D218" i="7"/>
  <c r="E218" i="7"/>
  <c r="F218" i="7"/>
  <c r="G218" i="7"/>
  <c r="H218" i="7"/>
  <c r="I218" i="7"/>
  <c r="J218" i="7"/>
  <c r="K218" i="7"/>
  <c r="L218" i="7"/>
  <c r="M218" i="7"/>
  <c r="N218" i="7"/>
  <c r="O218" i="7"/>
  <c r="P218" i="7"/>
  <c r="Q218" i="7"/>
  <c r="R218" i="7"/>
  <c r="S218" i="7"/>
  <c r="T218" i="7"/>
  <c r="U218" i="7"/>
  <c r="V218" i="7"/>
  <c r="W218" i="7"/>
  <c r="X218" i="7"/>
  <c r="Y218" i="7"/>
  <c r="Z218" i="7"/>
  <c r="AA218" i="7"/>
  <c r="H219" i="12"/>
  <c r="B222" i="4" l="1" a="1"/>
  <c r="B222" i="4" s="1"/>
  <c r="C221" i="4"/>
  <c r="D221" i="4"/>
  <c r="E221" i="4"/>
  <c r="F221" i="4"/>
  <c r="G221" i="4"/>
  <c r="H221" i="4"/>
  <c r="I221" i="4"/>
  <c r="J221" i="4"/>
  <c r="K221" i="4"/>
  <c r="L221" i="4"/>
  <c r="M221" i="4"/>
  <c r="N221" i="4"/>
  <c r="O221" i="4"/>
  <c r="P221" i="4"/>
  <c r="Q221" i="4"/>
  <c r="R221" i="4"/>
  <c r="S221" i="4"/>
  <c r="T221" i="4"/>
  <c r="U221" i="4"/>
  <c r="V221" i="4"/>
  <c r="W221" i="4"/>
  <c r="X221" i="4"/>
  <c r="Y221" i="4"/>
  <c r="Z221" i="4"/>
  <c r="AA221" i="4"/>
  <c r="G222" i="12"/>
  <c r="C219" i="7"/>
  <c r="D219" i="7"/>
  <c r="E219" i="7"/>
  <c r="F219" i="7"/>
  <c r="G219" i="7"/>
  <c r="H219" i="7"/>
  <c r="I219" i="7"/>
  <c r="J219" i="7"/>
  <c r="K219" i="7"/>
  <c r="L219" i="7"/>
  <c r="M219" i="7"/>
  <c r="N219" i="7"/>
  <c r="O219" i="7"/>
  <c r="P219" i="7"/>
  <c r="Q219" i="7"/>
  <c r="R219" i="7"/>
  <c r="S219" i="7"/>
  <c r="T219" i="7"/>
  <c r="U219" i="7"/>
  <c r="V219" i="7"/>
  <c r="W219" i="7"/>
  <c r="X219" i="7"/>
  <c r="Y219" i="7"/>
  <c r="Z219" i="7"/>
  <c r="AA219" i="7"/>
  <c r="H220" i="12"/>
  <c r="B220" i="7" a="1"/>
  <c r="B220" i="7" s="1"/>
  <c r="C222" i="4" l="1"/>
  <c r="D222" i="4"/>
  <c r="E222" i="4"/>
  <c r="F222" i="4"/>
  <c r="G222" i="4"/>
  <c r="H222" i="4"/>
  <c r="I222" i="4"/>
  <c r="J222" i="4"/>
  <c r="K222" i="4"/>
  <c r="L222" i="4"/>
  <c r="M222" i="4"/>
  <c r="N222" i="4"/>
  <c r="O222" i="4"/>
  <c r="P222" i="4"/>
  <c r="Q222" i="4"/>
  <c r="R222" i="4"/>
  <c r="S222" i="4"/>
  <c r="T222" i="4"/>
  <c r="U222" i="4"/>
  <c r="V222" i="4"/>
  <c r="W222" i="4"/>
  <c r="X222" i="4"/>
  <c r="Y222" i="4"/>
  <c r="Z222" i="4"/>
  <c r="AA222" i="4"/>
  <c r="G223" i="12"/>
  <c r="B223" i="4" a="1"/>
  <c r="B223" i="4" s="1"/>
  <c r="C220" i="7"/>
  <c r="D220" i="7"/>
  <c r="E220" i="7"/>
  <c r="F220" i="7"/>
  <c r="G220" i="7"/>
  <c r="H220" i="7"/>
  <c r="I220" i="7"/>
  <c r="J220" i="7"/>
  <c r="K220" i="7"/>
  <c r="L220" i="7"/>
  <c r="M220" i="7"/>
  <c r="N220" i="7"/>
  <c r="O220" i="7"/>
  <c r="P220" i="7"/>
  <c r="Q220" i="7"/>
  <c r="R220" i="7"/>
  <c r="S220" i="7"/>
  <c r="T220" i="7"/>
  <c r="U220" i="7"/>
  <c r="V220" i="7"/>
  <c r="W220" i="7"/>
  <c r="X220" i="7"/>
  <c r="Y220" i="7"/>
  <c r="Z220" i="7"/>
  <c r="AA220" i="7"/>
  <c r="H221" i="12"/>
  <c r="B221" i="7" a="1"/>
  <c r="B221" i="7" s="1"/>
  <c r="C223" i="4" l="1"/>
  <c r="D223" i="4"/>
  <c r="E223" i="4"/>
  <c r="F223" i="4"/>
  <c r="J223" i="4"/>
  <c r="T223" i="4"/>
  <c r="X223" i="4"/>
  <c r="AA223" i="4"/>
  <c r="L223" i="4"/>
  <c r="S223" i="4"/>
  <c r="Y223" i="4"/>
  <c r="I223" i="4"/>
  <c r="K223" i="4"/>
  <c r="N223" i="4"/>
  <c r="O223" i="4"/>
  <c r="G223" i="4"/>
  <c r="H223" i="4"/>
  <c r="M223" i="4"/>
  <c r="P223" i="4"/>
  <c r="Q223" i="4"/>
  <c r="R223" i="4"/>
  <c r="U223" i="4"/>
  <c r="V223" i="4"/>
  <c r="W223" i="4"/>
  <c r="Z223" i="4"/>
  <c r="G224" i="12"/>
  <c r="B224" i="4" a="1"/>
  <c r="B224" i="4" s="1"/>
  <c r="C221" i="7"/>
  <c r="D221" i="7"/>
  <c r="E221" i="7"/>
  <c r="F221" i="7"/>
  <c r="G221" i="7"/>
  <c r="H221" i="7"/>
  <c r="I221" i="7"/>
  <c r="J221" i="7"/>
  <c r="K221" i="7"/>
  <c r="L221" i="7"/>
  <c r="M221" i="7"/>
  <c r="N221" i="7"/>
  <c r="O221" i="7"/>
  <c r="P221" i="7"/>
  <c r="Q221" i="7"/>
  <c r="R221" i="7"/>
  <c r="S221" i="7"/>
  <c r="T221" i="7"/>
  <c r="U221" i="7"/>
  <c r="V221" i="7"/>
  <c r="W221" i="7"/>
  <c r="X221" i="7"/>
  <c r="Y221" i="7"/>
  <c r="Z221" i="7"/>
  <c r="AA221" i="7"/>
  <c r="H222" i="12"/>
  <c r="B222" i="7" a="1"/>
  <c r="B222" i="7" s="1"/>
  <c r="B225" i="4" l="1" a="1"/>
  <c r="B225" i="4" s="1"/>
  <c r="D224" i="4"/>
  <c r="Q224" i="4"/>
  <c r="S224" i="4"/>
  <c r="V224" i="4"/>
  <c r="C224" i="4"/>
  <c r="E224" i="4"/>
  <c r="G224" i="4"/>
  <c r="I224" i="4"/>
  <c r="L224" i="4"/>
  <c r="Z224" i="4"/>
  <c r="AA224" i="4"/>
  <c r="F224" i="4"/>
  <c r="J224" i="4"/>
  <c r="N224" i="4"/>
  <c r="O224" i="4"/>
  <c r="T224" i="4"/>
  <c r="W224" i="4"/>
  <c r="X224" i="4"/>
  <c r="G225" i="12"/>
  <c r="H224" i="4"/>
  <c r="K224" i="4"/>
  <c r="M224" i="4"/>
  <c r="P224" i="4"/>
  <c r="R224" i="4"/>
  <c r="U224" i="4"/>
  <c r="Y224" i="4"/>
  <c r="C222" i="7"/>
  <c r="D222" i="7"/>
  <c r="E222" i="7"/>
  <c r="F222" i="7"/>
  <c r="G222" i="7"/>
  <c r="H222" i="7"/>
  <c r="I222" i="7"/>
  <c r="J222" i="7"/>
  <c r="K222" i="7"/>
  <c r="L222" i="7"/>
  <c r="M222" i="7"/>
  <c r="N222" i="7"/>
  <c r="O222" i="7"/>
  <c r="P222" i="7"/>
  <c r="Q222" i="7"/>
  <c r="R222" i="7"/>
  <c r="S222" i="7"/>
  <c r="T222" i="7"/>
  <c r="U222" i="7"/>
  <c r="V222" i="7"/>
  <c r="W222" i="7"/>
  <c r="X222" i="7"/>
  <c r="Y222" i="7"/>
  <c r="Z222" i="7"/>
  <c r="AA222" i="7"/>
  <c r="H223" i="12"/>
  <c r="B223" i="7" a="1"/>
  <c r="B223" i="7" s="1"/>
  <c r="B226" i="4" l="1" a="1"/>
  <c r="B226" i="4" s="1"/>
  <c r="C225" i="4"/>
  <c r="G225" i="4"/>
  <c r="D225" i="4"/>
  <c r="I225" i="4"/>
  <c r="J225" i="4"/>
  <c r="L225" i="4"/>
  <c r="M225" i="4"/>
  <c r="P225" i="4"/>
  <c r="F225" i="4"/>
  <c r="N225" i="4"/>
  <c r="Q225" i="4"/>
  <c r="S225" i="4"/>
  <c r="T225" i="4"/>
  <c r="U225" i="4"/>
  <c r="V225" i="4"/>
  <c r="W225" i="4"/>
  <c r="X225" i="4"/>
  <c r="Y225" i="4"/>
  <c r="AA225" i="4"/>
  <c r="G226" i="12"/>
  <c r="E225" i="4"/>
  <c r="H225" i="4"/>
  <c r="K225" i="4"/>
  <c r="O225" i="4"/>
  <c r="R225" i="4"/>
  <c r="Z225" i="4"/>
  <c r="C223" i="7"/>
  <c r="D223" i="7"/>
  <c r="E223" i="7"/>
  <c r="F223" i="7"/>
  <c r="G223" i="7"/>
  <c r="H223" i="7"/>
  <c r="I223" i="7"/>
  <c r="J223" i="7"/>
  <c r="K223" i="7"/>
  <c r="L223" i="7"/>
  <c r="M223" i="7"/>
  <c r="N223" i="7"/>
  <c r="O223" i="7"/>
  <c r="P223" i="7"/>
  <c r="Q223" i="7"/>
  <c r="R223" i="7"/>
  <c r="S223" i="7"/>
  <c r="T223" i="7"/>
  <c r="U223" i="7"/>
  <c r="V223" i="7"/>
  <c r="W223" i="7"/>
  <c r="X223" i="7"/>
  <c r="Y223" i="7"/>
  <c r="Z223" i="7"/>
  <c r="AA223" i="7"/>
  <c r="H224" i="12"/>
  <c r="B224" i="7" a="1"/>
  <c r="B224" i="7" s="1"/>
  <c r="B227" i="4" l="1" a="1"/>
  <c r="B227" i="4" s="1"/>
  <c r="D226" i="4"/>
  <c r="I226" i="4"/>
  <c r="J226" i="4"/>
  <c r="O226" i="4"/>
  <c r="P226" i="4"/>
  <c r="Q226" i="4"/>
  <c r="T226" i="4"/>
  <c r="X226" i="4"/>
  <c r="Y226" i="4"/>
  <c r="AA226" i="4"/>
  <c r="G227" i="12"/>
  <c r="C226" i="4"/>
  <c r="H226" i="4"/>
  <c r="K226" i="4"/>
  <c r="G226" i="4"/>
  <c r="M226" i="4"/>
  <c r="E226" i="4"/>
  <c r="F226" i="4"/>
  <c r="L226" i="4"/>
  <c r="N226" i="4"/>
  <c r="R226" i="4"/>
  <c r="S226" i="4"/>
  <c r="U226" i="4"/>
  <c r="V226" i="4"/>
  <c r="W226" i="4"/>
  <c r="Z226" i="4"/>
  <c r="C224" i="7"/>
  <c r="D224" i="7"/>
  <c r="E224" i="7"/>
  <c r="F224" i="7"/>
  <c r="G224" i="7"/>
  <c r="H224" i="7"/>
  <c r="I224" i="7"/>
  <c r="J224" i="7"/>
  <c r="K224" i="7"/>
  <c r="L224" i="7"/>
  <c r="M224" i="7"/>
  <c r="N224" i="7"/>
  <c r="O224" i="7"/>
  <c r="P224" i="7"/>
  <c r="Q224" i="7"/>
  <c r="R224" i="7"/>
  <c r="S224" i="7"/>
  <c r="T224" i="7"/>
  <c r="U224" i="7"/>
  <c r="V224" i="7"/>
  <c r="W224" i="7"/>
  <c r="X224" i="7"/>
  <c r="Y224" i="7"/>
  <c r="Z224" i="7"/>
  <c r="AA224" i="7"/>
  <c r="H225" i="12"/>
  <c r="B225" i="7" a="1"/>
  <c r="B225" i="7" s="1"/>
  <c r="C227" i="4" l="1"/>
  <c r="F227" i="4"/>
  <c r="H227" i="4"/>
  <c r="I227" i="4"/>
  <c r="K227" i="4"/>
  <c r="L227" i="4"/>
  <c r="Q227" i="4"/>
  <c r="R227" i="4"/>
  <c r="Z227" i="4"/>
  <c r="G228" i="12"/>
  <c r="G227" i="4"/>
  <c r="J227" i="4"/>
  <c r="M227" i="4"/>
  <c r="N227" i="4"/>
  <c r="T227" i="4"/>
  <c r="X227" i="4"/>
  <c r="O227" i="4"/>
  <c r="S227" i="4"/>
  <c r="W227" i="4"/>
  <c r="D227" i="4"/>
  <c r="E227" i="4"/>
  <c r="P227" i="4"/>
  <c r="U227" i="4"/>
  <c r="V227" i="4"/>
  <c r="Y227" i="4"/>
  <c r="AA227" i="4"/>
  <c r="B228" i="4" a="1"/>
  <c r="B228" i="4" s="1"/>
  <c r="B226" i="7" a="1"/>
  <c r="B226" i="7" s="1"/>
  <c r="C225" i="7"/>
  <c r="D225" i="7"/>
  <c r="E225" i="7"/>
  <c r="F225" i="7"/>
  <c r="G225" i="7"/>
  <c r="H225" i="7"/>
  <c r="I225" i="7"/>
  <c r="J225" i="7"/>
  <c r="K225" i="7"/>
  <c r="L225" i="7"/>
  <c r="M225" i="7"/>
  <c r="N225" i="7"/>
  <c r="O225" i="7"/>
  <c r="P225" i="7"/>
  <c r="Q225" i="7"/>
  <c r="R225" i="7"/>
  <c r="S225" i="7"/>
  <c r="T225" i="7"/>
  <c r="U225" i="7"/>
  <c r="V225" i="7"/>
  <c r="W225" i="7"/>
  <c r="X225" i="7"/>
  <c r="Y225" i="7"/>
  <c r="Z225" i="7"/>
  <c r="AA225" i="7"/>
  <c r="H226" i="12"/>
  <c r="J228" i="4" l="1"/>
  <c r="AA228" i="4"/>
  <c r="C228" i="4"/>
  <c r="L228" i="4"/>
  <c r="M228" i="4"/>
  <c r="U228" i="4"/>
  <c r="V228" i="4"/>
  <c r="Y228" i="4"/>
  <c r="Z228" i="4"/>
  <c r="D228" i="4"/>
  <c r="G228" i="4"/>
  <c r="H228" i="4"/>
  <c r="N228" i="4"/>
  <c r="O228" i="4"/>
  <c r="P228" i="4"/>
  <c r="Q228" i="4"/>
  <c r="R228" i="4"/>
  <c r="T228" i="4"/>
  <c r="W228" i="4"/>
  <c r="X228" i="4"/>
  <c r="G229" i="12"/>
  <c r="E228" i="4"/>
  <c r="I228" i="4"/>
  <c r="F228" i="4"/>
  <c r="K228" i="4"/>
  <c r="S228" i="4"/>
  <c r="B229" i="4" a="1"/>
  <c r="B229" i="4" s="1"/>
  <c r="B227" i="7" a="1"/>
  <c r="B227" i="7" s="1"/>
  <c r="C226" i="7"/>
  <c r="D226" i="7"/>
  <c r="E226" i="7"/>
  <c r="F226" i="7"/>
  <c r="G226" i="7"/>
  <c r="H226" i="7"/>
  <c r="I226" i="7"/>
  <c r="J226" i="7"/>
  <c r="K226" i="7"/>
  <c r="L226" i="7"/>
  <c r="M226" i="7"/>
  <c r="N226" i="7"/>
  <c r="O226" i="7"/>
  <c r="P226" i="7"/>
  <c r="Q226" i="7"/>
  <c r="R226" i="7"/>
  <c r="S226" i="7"/>
  <c r="T226" i="7"/>
  <c r="U226" i="7"/>
  <c r="V226" i="7"/>
  <c r="W226" i="7"/>
  <c r="X226" i="7"/>
  <c r="Y226" i="7"/>
  <c r="Z226" i="7"/>
  <c r="AA226" i="7"/>
  <c r="H227" i="12"/>
  <c r="F229" i="4" l="1"/>
  <c r="J229" i="4"/>
  <c r="L229" i="4"/>
  <c r="W229" i="4"/>
  <c r="E229" i="4"/>
  <c r="M229" i="4"/>
  <c r="S229" i="4"/>
  <c r="T229" i="4"/>
  <c r="X229" i="4"/>
  <c r="C229" i="4"/>
  <c r="D229" i="4"/>
  <c r="H229" i="4"/>
  <c r="N229" i="4"/>
  <c r="P229" i="4"/>
  <c r="Q229" i="4"/>
  <c r="R229" i="4"/>
  <c r="U229" i="4"/>
  <c r="Y229" i="4"/>
  <c r="Z229" i="4"/>
  <c r="AA229" i="4"/>
  <c r="G230" i="12"/>
  <c r="G229" i="4"/>
  <c r="I229" i="4"/>
  <c r="K229" i="4"/>
  <c r="O229" i="4"/>
  <c r="V229" i="4"/>
  <c r="B230" i="4" a="1"/>
  <c r="B230" i="4" s="1"/>
  <c r="B228" i="7" a="1"/>
  <c r="B228" i="7" s="1"/>
  <c r="C227" i="7"/>
  <c r="D227" i="7"/>
  <c r="E227" i="7"/>
  <c r="F227" i="7"/>
  <c r="G227" i="7"/>
  <c r="H227" i="7"/>
  <c r="I227" i="7"/>
  <c r="J227" i="7"/>
  <c r="K227" i="7"/>
  <c r="L227" i="7"/>
  <c r="M227" i="7"/>
  <c r="N227" i="7"/>
  <c r="O227" i="7"/>
  <c r="P227" i="7"/>
  <c r="Q227" i="7"/>
  <c r="R227" i="7"/>
  <c r="S227" i="7"/>
  <c r="T227" i="7"/>
  <c r="U227" i="7"/>
  <c r="V227" i="7"/>
  <c r="W227" i="7"/>
  <c r="X227" i="7"/>
  <c r="Y227" i="7"/>
  <c r="Z227" i="7"/>
  <c r="AA227" i="7"/>
  <c r="H228" i="12"/>
  <c r="B231" i="4" l="1" a="1"/>
  <c r="B231" i="4" s="1"/>
  <c r="C230" i="4"/>
  <c r="K230" i="4"/>
  <c r="N230" i="4"/>
  <c r="P230" i="4"/>
  <c r="S230" i="4"/>
  <c r="U230" i="4"/>
  <c r="AA230" i="4"/>
  <c r="E230" i="4"/>
  <c r="G230" i="4"/>
  <c r="L230" i="4"/>
  <c r="W230" i="4"/>
  <c r="F230" i="4"/>
  <c r="H230" i="4"/>
  <c r="I230" i="4"/>
  <c r="J230" i="4"/>
  <c r="Y230" i="4"/>
  <c r="G231" i="12"/>
  <c r="D230" i="4"/>
  <c r="M230" i="4"/>
  <c r="O230" i="4"/>
  <c r="Q230" i="4"/>
  <c r="R230" i="4"/>
  <c r="T230" i="4"/>
  <c r="V230" i="4"/>
  <c r="Z230" i="4"/>
  <c r="X230" i="4"/>
  <c r="C228" i="7"/>
  <c r="D228" i="7"/>
  <c r="E228" i="7"/>
  <c r="F228" i="7"/>
  <c r="G228" i="7"/>
  <c r="H228" i="7"/>
  <c r="I228" i="7"/>
  <c r="J228" i="7"/>
  <c r="K228" i="7"/>
  <c r="L228" i="7"/>
  <c r="M228" i="7"/>
  <c r="N228" i="7"/>
  <c r="O228" i="7"/>
  <c r="P228" i="7"/>
  <c r="Q228" i="7"/>
  <c r="R228" i="7"/>
  <c r="S228" i="7"/>
  <c r="T228" i="7"/>
  <c r="U228" i="7"/>
  <c r="V228" i="7"/>
  <c r="W228" i="7"/>
  <c r="X228" i="7"/>
  <c r="Y228" i="7"/>
  <c r="Z228" i="7"/>
  <c r="AA228" i="7"/>
  <c r="H229" i="12"/>
  <c r="B229" i="7" a="1"/>
  <c r="B229" i="7" s="1"/>
  <c r="F231" i="4" l="1"/>
  <c r="H231" i="4"/>
  <c r="J231" i="4"/>
  <c r="L231" i="4"/>
  <c r="N231" i="4"/>
  <c r="P231" i="4"/>
  <c r="Y231" i="4"/>
  <c r="C231" i="4"/>
  <c r="G231" i="4"/>
  <c r="U231" i="4"/>
  <c r="D231" i="4"/>
  <c r="I231" i="4"/>
  <c r="Q231" i="4"/>
  <c r="T231" i="4"/>
  <c r="V231" i="4"/>
  <c r="W231" i="4"/>
  <c r="G232" i="12"/>
  <c r="E231" i="4"/>
  <c r="K231" i="4"/>
  <c r="M231" i="4"/>
  <c r="O231" i="4"/>
  <c r="S231" i="4"/>
  <c r="AA231" i="4"/>
  <c r="R231" i="4"/>
  <c r="X231" i="4"/>
  <c r="Z231" i="4"/>
  <c r="B232" i="4" a="1"/>
  <c r="B232" i="4" s="1"/>
  <c r="B230" i="7" a="1"/>
  <c r="B230" i="7" s="1"/>
  <c r="C229" i="7"/>
  <c r="D229" i="7"/>
  <c r="E229" i="7"/>
  <c r="F229" i="7"/>
  <c r="G229" i="7"/>
  <c r="H229" i="7"/>
  <c r="I229" i="7"/>
  <c r="J229" i="7"/>
  <c r="K229" i="7"/>
  <c r="L229" i="7"/>
  <c r="M229" i="7"/>
  <c r="N229" i="7"/>
  <c r="O229" i="7"/>
  <c r="P229" i="7"/>
  <c r="Q229" i="7"/>
  <c r="R229" i="7"/>
  <c r="S229" i="7"/>
  <c r="T229" i="7"/>
  <c r="U229" i="7"/>
  <c r="V229" i="7"/>
  <c r="W229" i="7"/>
  <c r="X229" i="7"/>
  <c r="Y229" i="7"/>
  <c r="Z229" i="7"/>
  <c r="AA229" i="7"/>
  <c r="H230" i="12"/>
  <c r="I232" i="4" l="1"/>
  <c r="P232" i="4"/>
  <c r="R232" i="4"/>
  <c r="X232" i="4"/>
  <c r="C232" i="4"/>
  <c r="K232" i="4"/>
  <c r="U232" i="4"/>
  <c r="Z232" i="4"/>
  <c r="F232" i="4"/>
  <c r="J232" i="4"/>
  <c r="N232" i="4"/>
  <c r="S232" i="4"/>
  <c r="T232" i="4"/>
  <c r="W232" i="4"/>
  <c r="AA232" i="4"/>
  <c r="E232" i="4"/>
  <c r="M232" i="4"/>
  <c r="O232" i="4"/>
  <c r="V232" i="4"/>
  <c r="Y232" i="4"/>
  <c r="D232" i="4"/>
  <c r="G232" i="4"/>
  <c r="H232" i="4"/>
  <c r="L232" i="4"/>
  <c r="Q232" i="4"/>
  <c r="G233" i="12"/>
  <c r="B233" i="4" a="1"/>
  <c r="B233" i="4" s="1"/>
  <c r="C230" i="7"/>
  <c r="D230" i="7"/>
  <c r="E230" i="7"/>
  <c r="F230" i="7"/>
  <c r="G230" i="7"/>
  <c r="H230" i="7"/>
  <c r="I230" i="7"/>
  <c r="J230" i="7"/>
  <c r="K230" i="7"/>
  <c r="L230" i="7"/>
  <c r="M230" i="7"/>
  <c r="N230" i="7"/>
  <c r="O230" i="7"/>
  <c r="P230" i="7"/>
  <c r="Q230" i="7"/>
  <c r="R230" i="7"/>
  <c r="S230" i="7"/>
  <c r="T230" i="7"/>
  <c r="U230" i="7"/>
  <c r="V230" i="7"/>
  <c r="W230" i="7"/>
  <c r="X230" i="7"/>
  <c r="Y230" i="7"/>
  <c r="Z230" i="7"/>
  <c r="AA230" i="7"/>
  <c r="H231" i="12"/>
  <c r="B231" i="7" a="1"/>
  <c r="B231" i="7" s="1"/>
  <c r="B234" i="4" l="1" a="1"/>
  <c r="B234" i="4" s="1"/>
  <c r="C233" i="4"/>
  <c r="D233" i="4"/>
  <c r="L233" i="4"/>
  <c r="N233" i="4"/>
  <c r="V233" i="4"/>
  <c r="F233" i="4"/>
  <c r="T233" i="4"/>
  <c r="W233" i="4"/>
  <c r="AA233" i="4"/>
  <c r="G234" i="12"/>
  <c r="G233" i="4"/>
  <c r="J233" i="4"/>
  <c r="O233" i="4"/>
  <c r="Q233" i="4"/>
  <c r="S233" i="4"/>
  <c r="U233" i="4"/>
  <c r="Y233" i="4"/>
  <c r="I233" i="4"/>
  <c r="K233" i="4"/>
  <c r="R233" i="4"/>
  <c r="X233" i="4"/>
  <c r="E233" i="4"/>
  <c r="H233" i="4"/>
  <c r="M233" i="4"/>
  <c r="P233" i="4"/>
  <c r="Z233" i="4"/>
  <c r="C231" i="7"/>
  <c r="D231" i="7"/>
  <c r="E231" i="7"/>
  <c r="F231" i="7"/>
  <c r="G231" i="7"/>
  <c r="H231" i="7"/>
  <c r="I231" i="7"/>
  <c r="J231" i="7"/>
  <c r="K231" i="7"/>
  <c r="L231" i="7"/>
  <c r="M231" i="7"/>
  <c r="N231" i="7"/>
  <c r="O231" i="7"/>
  <c r="P231" i="7"/>
  <c r="Q231" i="7"/>
  <c r="R231" i="7"/>
  <c r="S231" i="7"/>
  <c r="T231" i="7"/>
  <c r="U231" i="7"/>
  <c r="V231" i="7"/>
  <c r="W231" i="7"/>
  <c r="X231" i="7"/>
  <c r="Y231" i="7"/>
  <c r="Z231" i="7"/>
  <c r="AA231" i="7"/>
  <c r="H232" i="12"/>
  <c r="B232" i="7" a="1"/>
  <c r="B232" i="7" s="1"/>
  <c r="R234" i="4" l="1"/>
  <c r="V234" i="4"/>
  <c r="G235" i="12"/>
  <c r="D234" i="4"/>
  <c r="H234" i="4"/>
  <c r="J234" i="4"/>
  <c r="M234" i="4"/>
  <c r="N234" i="4"/>
  <c r="P234" i="4"/>
  <c r="T234" i="4"/>
  <c r="Z234" i="4"/>
  <c r="O234" i="4"/>
  <c r="S234" i="4"/>
  <c r="Y234" i="4"/>
  <c r="C234" i="4"/>
  <c r="E234" i="4"/>
  <c r="K234" i="4"/>
  <c r="U234" i="4"/>
  <c r="W234" i="4"/>
  <c r="AA234" i="4"/>
  <c r="F234" i="4"/>
  <c r="G234" i="4"/>
  <c r="I234" i="4"/>
  <c r="L234" i="4"/>
  <c r="Q234" i="4"/>
  <c r="X234" i="4"/>
  <c r="B235" i="4" a="1"/>
  <c r="B235" i="4" s="1"/>
  <c r="B233" i="7" a="1"/>
  <c r="B233" i="7" s="1"/>
  <c r="C232" i="7"/>
  <c r="D232" i="7"/>
  <c r="E232" i="7"/>
  <c r="F232" i="7"/>
  <c r="G232" i="7"/>
  <c r="H232" i="7"/>
  <c r="I232" i="7"/>
  <c r="J232" i="7"/>
  <c r="K232" i="7"/>
  <c r="L232" i="7"/>
  <c r="M232" i="7"/>
  <c r="N232" i="7"/>
  <c r="O232" i="7"/>
  <c r="P232" i="7"/>
  <c r="Q232" i="7"/>
  <c r="R232" i="7"/>
  <c r="S232" i="7"/>
  <c r="T232" i="7"/>
  <c r="U232" i="7"/>
  <c r="V232" i="7"/>
  <c r="W232" i="7"/>
  <c r="X232" i="7"/>
  <c r="Y232" i="7"/>
  <c r="Z232" i="7"/>
  <c r="AA232" i="7"/>
  <c r="H233" i="12"/>
  <c r="D235" i="4" l="1"/>
  <c r="F235" i="4"/>
  <c r="I235" i="4"/>
  <c r="N235" i="4"/>
  <c r="T235" i="4"/>
  <c r="X235" i="4"/>
  <c r="AA235" i="4"/>
  <c r="G235" i="4"/>
  <c r="Q235" i="4"/>
  <c r="R235" i="4"/>
  <c r="S235" i="4"/>
  <c r="K235" i="4"/>
  <c r="L235" i="4"/>
  <c r="V235" i="4"/>
  <c r="G236" i="12"/>
  <c r="H235" i="4"/>
  <c r="M235" i="4"/>
  <c r="P235" i="4"/>
  <c r="W235" i="4"/>
  <c r="Z235" i="4"/>
  <c r="C235" i="4"/>
  <c r="E235" i="4"/>
  <c r="J235" i="4"/>
  <c r="O235" i="4"/>
  <c r="U235" i="4"/>
  <c r="Y235" i="4"/>
  <c r="B236" i="4" a="1"/>
  <c r="B236" i="4" s="1"/>
  <c r="C233" i="7"/>
  <c r="D233" i="7"/>
  <c r="E233" i="7"/>
  <c r="F233" i="7"/>
  <c r="G233" i="7"/>
  <c r="H233" i="7"/>
  <c r="I233" i="7"/>
  <c r="J233" i="7"/>
  <c r="K233" i="7"/>
  <c r="L233" i="7"/>
  <c r="M233" i="7"/>
  <c r="N233" i="7"/>
  <c r="O233" i="7"/>
  <c r="P233" i="7"/>
  <c r="Q233" i="7"/>
  <c r="R233" i="7"/>
  <c r="S233" i="7"/>
  <c r="T233" i="7"/>
  <c r="U233" i="7"/>
  <c r="V233" i="7"/>
  <c r="W233" i="7"/>
  <c r="X233" i="7"/>
  <c r="Y233" i="7"/>
  <c r="Z233" i="7"/>
  <c r="AA233" i="7"/>
  <c r="H234" i="12"/>
  <c r="B234" i="7" a="1"/>
  <c r="B234" i="7" s="1"/>
  <c r="C236" i="4" l="1"/>
  <c r="E236" i="4"/>
  <c r="G236" i="4"/>
  <c r="J236" i="4"/>
  <c r="P236" i="4"/>
  <c r="T236" i="4"/>
  <c r="I236" i="4"/>
  <c r="R236" i="4"/>
  <c r="V236" i="4"/>
  <c r="N236" i="4"/>
  <c r="X236" i="4"/>
  <c r="Y236" i="4"/>
  <c r="Z236" i="4"/>
  <c r="G237" i="12"/>
  <c r="D236" i="4"/>
  <c r="F236" i="4"/>
  <c r="H236" i="4"/>
  <c r="K236" i="4"/>
  <c r="O236" i="4"/>
  <c r="Q236" i="4"/>
  <c r="S236" i="4"/>
  <c r="U236" i="4"/>
  <c r="AA236" i="4"/>
  <c r="L236" i="4"/>
  <c r="M236" i="4"/>
  <c r="W236" i="4"/>
  <c r="B237" i="4" a="1"/>
  <c r="B237" i="4" s="1"/>
  <c r="C234" i="7"/>
  <c r="D234" i="7"/>
  <c r="E234" i="7"/>
  <c r="F234" i="7"/>
  <c r="G234" i="7"/>
  <c r="H234" i="7"/>
  <c r="I234" i="7"/>
  <c r="J234" i="7"/>
  <c r="K234" i="7"/>
  <c r="L234" i="7"/>
  <c r="M234" i="7"/>
  <c r="N234" i="7"/>
  <c r="O234" i="7"/>
  <c r="P234" i="7"/>
  <c r="Q234" i="7"/>
  <c r="R234" i="7"/>
  <c r="S234" i="7"/>
  <c r="T234" i="7"/>
  <c r="U234" i="7"/>
  <c r="V234" i="7"/>
  <c r="W234" i="7"/>
  <c r="X234" i="7"/>
  <c r="Y234" i="7"/>
  <c r="Z234" i="7"/>
  <c r="AA234" i="7"/>
  <c r="H235" i="12"/>
  <c r="B235" i="7" a="1"/>
  <c r="B235" i="7" s="1"/>
  <c r="C237" i="4" l="1"/>
  <c r="G237" i="4"/>
  <c r="K237" i="4"/>
  <c r="N237" i="4"/>
  <c r="R237" i="4"/>
  <c r="U237" i="4"/>
  <c r="Z237" i="4"/>
  <c r="H237" i="4"/>
  <c r="S237" i="4"/>
  <c r="I237" i="4"/>
  <c r="L237" i="4"/>
  <c r="O237" i="4"/>
  <c r="T237" i="4"/>
  <c r="V237" i="4"/>
  <c r="F237" i="4"/>
  <c r="J237" i="4"/>
  <c r="M237" i="4"/>
  <c r="P237" i="4"/>
  <c r="Q237" i="4"/>
  <c r="W237" i="4"/>
  <c r="AA237" i="4"/>
  <c r="D237" i="4"/>
  <c r="E237" i="4"/>
  <c r="X237" i="4"/>
  <c r="Y237" i="4"/>
  <c r="G238" i="12"/>
  <c r="B238" i="4" a="1"/>
  <c r="B238" i="4" s="1"/>
  <c r="C235" i="7"/>
  <c r="D235" i="7"/>
  <c r="E235" i="7"/>
  <c r="F235" i="7"/>
  <c r="G235" i="7"/>
  <c r="H235" i="7"/>
  <c r="I235" i="7"/>
  <c r="J235" i="7"/>
  <c r="K235" i="7"/>
  <c r="L235" i="7"/>
  <c r="M235" i="7"/>
  <c r="N235" i="7"/>
  <c r="O235" i="7"/>
  <c r="P235" i="7"/>
  <c r="Q235" i="7"/>
  <c r="R235" i="7"/>
  <c r="S235" i="7"/>
  <c r="T235" i="7"/>
  <c r="U235" i="7"/>
  <c r="V235" i="7"/>
  <c r="W235" i="7"/>
  <c r="X235" i="7"/>
  <c r="Y235" i="7"/>
  <c r="Z235" i="7"/>
  <c r="AA235" i="7"/>
  <c r="H236" i="12"/>
  <c r="B236" i="7" a="1"/>
  <c r="B236" i="7" s="1"/>
  <c r="B239" i="4" l="1" a="1"/>
  <c r="B239" i="4" s="1"/>
  <c r="D238" i="4"/>
  <c r="Y238" i="4"/>
  <c r="AA238" i="4"/>
  <c r="J238" i="4"/>
  <c r="M238" i="4"/>
  <c r="S238" i="4"/>
  <c r="U238" i="4"/>
  <c r="X238" i="4"/>
  <c r="G239" i="12"/>
  <c r="C238" i="4"/>
  <c r="E238" i="4"/>
  <c r="H238" i="4"/>
  <c r="K238" i="4"/>
  <c r="N238" i="4"/>
  <c r="P238" i="4"/>
  <c r="W238" i="4"/>
  <c r="G238" i="4"/>
  <c r="I238" i="4"/>
  <c r="Q238" i="4"/>
  <c r="R238" i="4"/>
  <c r="F238" i="4"/>
  <c r="L238" i="4"/>
  <c r="O238" i="4"/>
  <c r="T238" i="4"/>
  <c r="V238" i="4"/>
  <c r="Z238" i="4"/>
  <c r="C236" i="7"/>
  <c r="D236" i="7"/>
  <c r="E236" i="7"/>
  <c r="F236" i="7"/>
  <c r="G236" i="7"/>
  <c r="H236" i="7"/>
  <c r="I236" i="7"/>
  <c r="J236" i="7"/>
  <c r="K236" i="7"/>
  <c r="L236" i="7"/>
  <c r="M236" i="7"/>
  <c r="N236" i="7"/>
  <c r="O236" i="7"/>
  <c r="P236" i="7"/>
  <c r="Q236" i="7"/>
  <c r="R236" i="7"/>
  <c r="S236" i="7"/>
  <c r="T236" i="7"/>
  <c r="U236" i="7"/>
  <c r="V236" i="7"/>
  <c r="W236" i="7"/>
  <c r="X236" i="7"/>
  <c r="Y236" i="7"/>
  <c r="Z236" i="7"/>
  <c r="AA236" i="7"/>
  <c r="H237" i="12"/>
  <c r="B237" i="7" a="1"/>
  <c r="B237" i="7" s="1"/>
  <c r="B240" i="4" l="1" a="1"/>
  <c r="B240" i="4" s="1"/>
  <c r="E239" i="4"/>
  <c r="I239" i="4"/>
  <c r="L239" i="4"/>
  <c r="N239" i="4"/>
  <c r="U239" i="4"/>
  <c r="AA239" i="4"/>
  <c r="K239" i="4"/>
  <c r="P239" i="4"/>
  <c r="Z239" i="4"/>
  <c r="D239" i="4"/>
  <c r="G239" i="4"/>
  <c r="R239" i="4"/>
  <c r="S239" i="4"/>
  <c r="V239" i="4"/>
  <c r="X239" i="4"/>
  <c r="G240" i="12"/>
  <c r="C239" i="4"/>
  <c r="F239" i="4"/>
  <c r="H239" i="4"/>
  <c r="J239" i="4"/>
  <c r="M239" i="4"/>
  <c r="O239" i="4"/>
  <c r="Q239" i="4"/>
  <c r="T239" i="4"/>
  <c r="W239" i="4"/>
  <c r="Y239" i="4"/>
  <c r="B238" i="7" a="1"/>
  <c r="B238" i="7" s="1"/>
  <c r="C237" i="7"/>
  <c r="D237" i="7"/>
  <c r="E237" i="7"/>
  <c r="F237" i="7"/>
  <c r="G237" i="7"/>
  <c r="H237" i="7"/>
  <c r="I237" i="7"/>
  <c r="J237" i="7"/>
  <c r="K237" i="7"/>
  <c r="L237" i="7"/>
  <c r="M237" i="7"/>
  <c r="N237" i="7"/>
  <c r="O237" i="7"/>
  <c r="P237" i="7"/>
  <c r="Q237" i="7"/>
  <c r="R237" i="7"/>
  <c r="S237" i="7"/>
  <c r="T237" i="7"/>
  <c r="U237" i="7"/>
  <c r="V237" i="7"/>
  <c r="W237" i="7"/>
  <c r="X237" i="7"/>
  <c r="Y237" i="7"/>
  <c r="Z237" i="7"/>
  <c r="AA237" i="7"/>
  <c r="H238" i="12"/>
  <c r="B241" i="4" l="1" a="1"/>
  <c r="B241" i="4" s="1"/>
  <c r="C240" i="4"/>
  <c r="F240" i="4"/>
  <c r="H240" i="4"/>
  <c r="K240" i="4"/>
  <c r="M240" i="4"/>
  <c r="Q240" i="4"/>
  <c r="V240" i="4"/>
  <c r="Y240" i="4"/>
  <c r="D240" i="4"/>
  <c r="R240" i="4"/>
  <c r="U240" i="4"/>
  <c r="X240" i="4"/>
  <c r="Z240" i="4"/>
  <c r="G241" i="12"/>
  <c r="E240" i="4"/>
  <c r="G240" i="4"/>
  <c r="I240" i="4"/>
  <c r="J240" i="4"/>
  <c r="L240" i="4"/>
  <c r="N240" i="4"/>
  <c r="W240" i="4"/>
  <c r="AA240" i="4"/>
  <c r="O240" i="4"/>
  <c r="P240" i="4"/>
  <c r="S240" i="4"/>
  <c r="T240" i="4"/>
  <c r="B239" i="7" a="1"/>
  <c r="B239" i="7" s="1"/>
  <c r="C238" i="7"/>
  <c r="D238" i="7"/>
  <c r="E238" i="7"/>
  <c r="F238" i="7"/>
  <c r="G238" i="7"/>
  <c r="H238" i="7"/>
  <c r="I238" i="7"/>
  <c r="J238" i="7"/>
  <c r="K238" i="7"/>
  <c r="L238" i="7"/>
  <c r="M238" i="7"/>
  <c r="N238" i="7"/>
  <c r="O238" i="7"/>
  <c r="P238" i="7"/>
  <c r="Q238" i="7"/>
  <c r="R238" i="7"/>
  <c r="S238" i="7"/>
  <c r="T238" i="7"/>
  <c r="U238" i="7"/>
  <c r="V238" i="7"/>
  <c r="W238" i="7"/>
  <c r="X238" i="7"/>
  <c r="Y238" i="7"/>
  <c r="Z238" i="7"/>
  <c r="AA238" i="7"/>
  <c r="H239" i="12"/>
  <c r="B242" i="4" l="1" a="1"/>
  <c r="B242" i="4" s="1"/>
  <c r="C241" i="4"/>
  <c r="F241" i="4"/>
  <c r="I241" i="4"/>
  <c r="M241" i="4"/>
  <c r="P241" i="4"/>
  <c r="Q241" i="4"/>
  <c r="D241" i="4"/>
  <c r="N241" i="4"/>
  <c r="V241" i="4"/>
  <c r="W241" i="4"/>
  <c r="Z241" i="4"/>
  <c r="E241" i="4"/>
  <c r="G241" i="4"/>
  <c r="O241" i="4"/>
  <c r="R241" i="4"/>
  <c r="S241" i="4"/>
  <c r="U241" i="4"/>
  <c r="Y241" i="4"/>
  <c r="H241" i="4"/>
  <c r="L241" i="4"/>
  <c r="T241" i="4"/>
  <c r="J241" i="4"/>
  <c r="K241" i="4"/>
  <c r="X241" i="4"/>
  <c r="AA241" i="4"/>
  <c r="G242" i="12"/>
  <c r="B240" i="7" a="1"/>
  <c r="B240" i="7" s="1"/>
  <c r="C239" i="7"/>
  <c r="D239" i="7"/>
  <c r="E239" i="7"/>
  <c r="F239" i="7"/>
  <c r="G239" i="7"/>
  <c r="H239" i="7"/>
  <c r="I239" i="7"/>
  <c r="J239" i="7"/>
  <c r="K239" i="7"/>
  <c r="L239" i="7"/>
  <c r="M239" i="7"/>
  <c r="N239" i="7"/>
  <c r="O239" i="7"/>
  <c r="P239" i="7"/>
  <c r="Q239" i="7"/>
  <c r="R239" i="7"/>
  <c r="S239" i="7"/>
  <c r="T239" i="7"/>
  <c r="U239" i="7"/>
  <c r="V239" i="7"/>
  <c r="W239" i="7"/>
  <c r="X239" i="7"/>
  <c r="Y239" i="7"/>
  <c r="Z239" i="7"/>
  <c r="AA239" i="7"/>
  <c r="H240" i="12"/>
  <c r="B243" i="4" l="1" a="1"/>
  <c r="B243" i="4" s="1"/>
  <c r="O242" i="4"/>
  <c r="AA242" i="4"/>
  <c r="G243" i="12"/>
  <c r="C242" i="4"/>
  <c r="E242" i="4"/>
  <c r="H242" i="4"/>
  <c r="K242" i="4"/>
  <c r="N242" i="4"/>
  <c r="Q242" i="4"/>
  <c r="S242" i="4"/>
  <c r="U242" i="4"/>
  <c r="V242" i="4"/>
  <c r="Y242" i="4"/>
  <c r="G242" i="4"/>
  <c r="I242" i="4"/>
  <c r="M242" i="4"/>
  <c r="X242" i="4"/>
  <c r="Z242" i="4"/>
  <c r="D242" i="4"/>
  <c r="F242" i="4"/>
  <c r="J242" i="4"/>
  <c r="L242" i="4"/>
  <c r="P242" i="4"/>
  <c r="R242" i="4"/>
  <c r="T242" i="4"/>
  <c r="W242" i="4"/>
  <c r="C240" i="7"/>
  <c r="D240" i="7"/>
  <c r="E240" i="7"/>
  <c r="F240" i="7"/>
  <c r="G240" i="7"/>
  <c r="H240" i="7"/>
  <c r="I240" i="7"/>
  <c r="J240" i="7"/>
  <c r="K240" i="7"/>
  <c r="L240" i="7"/>
  <c r="M240" i="7"/>
  <c r="N240" i="7"/>
  <c r="O240" i="7"/>
  <c r="P240" i="7"/>
  <c r="Q240" i="7"/>
  <c r="R240" i="7"/>
  <c r="S240" i="7"/>
  <c r="T240" i="7"/>
  <c r="U240" i="7"/>
  <c r="V240" i="7"/>
  <c r="W240" i="7"/>
  <c r="X240" i="7"/>
  <c r="Y240" i="7"/>
  <c r="Z240" i="7"/>
  <c r="AA240" i="7"/>
  <c r="H241" i="12"/>
  <c r="B241" i="7" a="1"/>
  <c r="B241" i="7" s="1"/>
  <c r="J243" i="4" l="1"/>
  <c r="K243" i="4"/>
  <c r="P243" i="4"/>
  <c r="Q243" i="4"/>
  <c r="U243" i="4"/>
  <c r="W243" i="4"/>
  <c r="Z243" i="4"/>
  <c r="D243" i="4"/>
  <c r="I243" i="4"/>
  <c r="M243" i="4"/>
  <c r="E243" i="4"/>
  <c r="L243" i="4"/>
  <c r="T243" i="4"/>
  <c r="G244" i="12"/>
  <c r="C243" i="4"/>
  <c r="G243" i="4"/>
  <c r="X243" i="4"/>
  <c r="F243" i="4"/>
  <c r="H243" i="4"/>
  <c r="N243" i="4"/>
  <c r="O243" i="4"/>
  <c r="R243" i="4"/>
  <c r="S243" i="4"/>
  <c r="V243" i="4"/>
  <c r="Y243" i="4"/>
  <c r="AA243" i="4"/>
  <c r="B244" i="4" a="1"/>
  <c r="B244" i="4" s="1"/>
  <c r="C241" i="7"/>
  <c r="D241" i="7"/>
  <c r="E241" i="7"/>
  <c r="F241" i="7"/>
  <c r="G241" i="7"/>
  <c r="H241" i="7"/>
  <c r="I241" i="7"/>
  <c r="J241" i="7"/>
  <c r="K241" i="7"/>
  <c r="L241" i="7"/>
  <c r="M241" i="7"/>
  <c r="N241" i="7"/>
  <c r="O241" i="7"/>
  <c r="P241" i="7"/>
  <c r="Q241" i="7"/>
  <c r="R241" i="7"/>
  <c r="S241" i="7"/>
  <c r="T241" i="7"/>
  <c r="U241" i="7"/>
  <c r="V241" i="7"/>
  <c r="W241" i="7"/>
  <c r="X241" i="7"/>
  <c r="Y241" i="7"/>
  <c r="Z241" i="7"/>
  <c r="AA241" i="7"/>
  <c r="H242" i="12"/>
  <c r="B242" i="7" a="1"/>
  <c r="B242" i="7" s="1"/>
  <c r="B245" i="4" l="1" a="1"/>
  <c r="B245" i="4" s="1"/>
  <c r="N244" i="4"/>
  <c r="W244" i="4"/>
  <c r="J244" i="4"/>
  <c r="K244" i="4"/>
  <c r="M244" i="4"/>
  <c r="X244" i="4"/>
  <c r="G245" i="12"/>
  <c r="C244" i="4"/>
  <c r="E244" i="4"/>
  <c r="H244" i="4"/>
  <c r="L244" i="4"/>
  <c r="P244" i="4"/>
  <c r="S244" i="4"/>
  <c r="U244" i="4"/>
  <c r="Z244" i="4"/>
  <c r="G244" i="4"/>
  <c r="R244" i="4"/>
  <c r="D244" i="4"/>
  <c r="F244" i="4"/>
  <c r="I244" i="4"/>
  <c r="O244" i="4"/>
  <c r="Q244" i="4"/>
  <c r="T244" i="4"/>
  <c r="V244" i="4"/>
  <c r="Y244" i="4"/>
  <c r="AA244" i="4"/>
  <c r="C242" i="7"/>
  <c r="D242" i="7"/>
  <c r="E242" i="7"/>
  <c r="F242" i="7"/>
  <c r="G242" i="7"/>
  <c r="H242" i="7"/>
  <c r="I242" i="7"/>
  <c r="J242" i="7"/>
  <c r="K242" i="7"/>
  <c r="L242" i="7"/>
  <c r="M242" i="7"/>
  <c r="N242" i="7"/>
  <c r="O242" i="7"/>
  <c r="P242" i="7"/>
  <c r="Q242" i="7"/>
  <c r="R242" i="7"/>
  <c r="S242" i="7"/>
  <c r="T242" i="7"/>
  <c r="U242" i="7"/>
  <c r="V242" i="7"/>
  <c r="W242" i="7"/>
  <c r="X242" i="7"/>
  <c r="Y242" i="7"/>
  <c r="Z242" i="7"/>
  <c r="AA242" i="7"/>
  <c r="H243" i="12"/>
  <c r="B243" i="7" a="1"/>
  <c r="B243" i="7" s="1"/>
  <c r="C245" i="4" l="1"/>
  <c r="G245" i="4"/>
  <c r="K245" i="4"/>
  <c r="V245" i="4"/>
  <c r="W245" i="4"/>
  <c r="AA245" i="4"/>
  <c r="H245" i="4"/>
  <c r="I245" i="4"/>
  <c r="F245" i="4"/>
  <c r="O245" i="4"/>
  <c r="P245" i="4"/>
  <c r="U245" i="4"/>
  <c r="X245" i="4"/>
  <c r="Y245" i="4"/>
  <c r="G246" i="12"/>
  <c r="D245" i="4"/>
  <c r="E245" i="4"/>
  <c r="J245" i="4"/>
  <c r="L245" i="4"/>
  <c r="N245" i="4"/>
  <c r="Q245" i="4"/>
  <c r="R245" i="4"/>
  <c r="T245" i="4"/>
  <c r="M245" i="4"/>
  <c r="S245" i="4"/>
  <c r="Z245" i="4"/>
  <c r="B246" i="4" a="1"/>
  <c r="B246" i="4" s="1"/>
  <c r="B244" i="7" a="1"/>
  <c r="B244" i="7" s="1"/>
  <c r="C243" i="7"/>
  <c r="D243" i="7"/>
  <c r="E243" i="7"/>
  <c r="F243" i="7"/>
  <c r="G243" i="7"/>
  <c r="H243" i="7"/>
  <c r="I243" i="7"/>
  <c r="J243" i="7"/>
  <c r="K243" i="7"/>
  <c r="L243" i="7"/>
  <c r="M243" i="7"/>
  <c r="N243" i="7"/>
  <c r="O243" i="7"/>
  <c r="P243" i="7"/>
  <c r="Q243" i="7"/>
  <c r="R243" i="7"/>
  <c r="S243" i="7"/>
  <c r="T243" i="7"/>
  <c r="U243" i="7"/>
  <c r="V243" i="7"/>
  <c r="W243" i="7"/>
  <c r="X243" i="7"/>
  <c r="Y243" i="7"/>
  <c r="Z243" i="7"/>
  <c r="AA243" i="7"/>
  <c r="H244" i="12"/>
  <c r="C246" i="4" l="1"/>
  <c r="F246" i="4"/>
  <c r="G246" i="4"/>
  <c r="N246" i="4"/>
  <c r="P246" i="4"/>
  <c r="T246" i="4"/>
  <c r="V246" i="4"/>
  <c r="I246" i="4"/>
  <c r="J246" i="4"/>
  <c r="Y246" i="4"/>
  <c r="AA246" i="4"/>
  <c r="K246" i="4"/>
  <c r="G247" i="12"/>
  <c r="H246" i="4"/>
  <c r="M246" i="4"/>
  <c r="O246" i="4"/>
  <c r="Q246" i="4"/>
  <c r="S246" i="4"/>
  <c r="W246" i="4"/>
  <c r="Z246" i="4"/>
  <c r="D246" i="4"/>
  <c r="E246" i="4"/>
  <c r="L246" i="4"/>
  <c r="R246" i="4"/>
  <c r="U246" i="4"/>
  <c r="X246" i="4"/>
  <c r="B247" i="4" a="1"/>
  <c r="B247" i="4" s="1"/>
  <c r="C244" i="7"/>
  <c r="D244" i="7"/>
  <c r="E244" i="7"/>
  <c r="F244" i="7"/>
  <c r="G244" i="7"/>
  <c r="H244" i="7"/>
  <c r="I244" i="7"/>
  <c r="J244" i="7"/>
  <c r="K244" i="7"/>
  <c r="L244" i="7"/>
  <c r="M244" i="7"/>
  <c r="N244" i="7"/>
  <c r="O244" i="7"/>
  <c r="P244" i="7"/>
  <c r="Q244" i="7"/>
  <c r="R244" i="7"/>
  <c r="S244" i="7"/>
  <c r="T244" i="7"/>
  <c r="U244" i="7"/>
  <c r="V244" i="7"/>
  <c r="W244" i="7"/>
  <c r="X244" i="7"/>
  <c r="Y244" i="7"/>
  <c r="Z244" i="7"/>
  <c r="AA244" i="7"/>
  <c r="H245" i="12"/>
  <c r="B245" i="7" a="1"/>
  <c r="B245" i="7" s="1"/>
  <c r="H247" i="4" l="1"/>
  <c r="M247" i="4"/>
  <c r="AA247" i="4"/>
  <c r="O247" i="4"/>
  <c r="R247" i="4"/>
  <c r="X247" i="4"/>
  <c r="G248" i="12"/>
  <c r="C247" i="4"/>
  <c r="E247" i="4"/>
  <c r="G247" i="4"/>
  <c r="J247" i="4"/>
  <c r="L247" i="4"/>
  <c r="P247" i="4"/>
  <c r="T247" i="4"/>
  <c r="W247" i="4"/>
  <c r="N247" i="4"/>
  <c r="U247" i="4"/>
  <c r="Y247" i="4"/>
  <c r="D247" i="4"/>
  <c r="F247" i="4"/>
  <c r="I247" i="4"/>
  <c r="K247" i="4"/>
  <c r="Q247" i="4"/>
  <c r="S247" i="4"/>
  <c r="V247" i="4"/>
  <c r="Z247" i="4"/>
  <c r="B248" i="4" a="1"/>
  <c r="B248" i="4" s="1"/>
  <c r="B246" i="7" a="1"/>
  <c r="B246" i="7" s="1"/>
  <c r="C245" i="7"/>
  <c r="D245" i="7"/>
  <c r="E245" i="7"/>
  <c r="F245" i="7"/>
  <c r="G245" i="7"/>
  <c r="H245" i="7"/>
  <c r="I245" i="7"/>
  <c r="J245" i="7"/>
  <c r="K245" i="7"/>
  <c r="L245" i="7"/>
  <c r="M245" i="7"/>
  <c r="N245" i="7"/>
  <c r="O245" i="7"/>
  <c r="P245" i="7"/>
  <c r="Q245" i="7"/>
  <c r="R245" i="7"/>
  <c r="S245" i="7"/>
  <c r="T245" i="7"/>
  <c r="U245" i="7"/>
  <c r="V245" i="7"/>
  <c r="W245" i="7"/>
  <c r="X245" i="7"/>
  <c r="Y245" i="7"/>
  <c r="Z245" i="7"/>
  <c r="AA245" i="7"/>
  <c r="H246" i="12"/>
  <c r="B249" i="4" l="1" a="1"/>
  <c r="B249" i="4" s="1"/>
  <c r="U248" i="4"/>
  <c r="N248" i="4"/>
  <c r="Y248" i="4"/>
  <c r="AA248" i="4"/>
  <c r="G249" i="12"/>
  <c r="E248" i="4"/>
  <c r="G248" i="4"/>
  <c r="J248" i="4"/>
  <c r="M248" i="4"/>
  <c r="O248" i="4"/>
  <c r="R248" i="4"/>
  <c r="X248" i="4"/>
  <c r="H248" i="4"/>
  <c r="K248" i="4"/>
  <c r="L248" i="4"/>
  <c r="W248" i="4"/>
  <c r="C248" i="4"/>
  <c r="D248" i="4"/>
  <c r="F248" i="4"/>
  <c r="I248" i="4"/>
  <c r="P248" i="4"/>
  <c r="Q248" i="4"/>
  <c r="S248" i="4"/>
  <c r="T248" i="4"/>
  <c r="V248" i="4"/>
  <c r="Z248" i="4"/>
  <c r="B247" i="7" a="1"/>
  <c r="B247" i="7" s="1"/>
  <c r="H247" i="12"/>
  <c r="C246" i="7"/>
  <c r="D246" i="7"/>
  <c r="E246" i="7"/>
  <c r="F246" i="7"/>
  <c r="G246" i="7"/>
  <c r="H246" i="7"/>
  <c r="I246" i="7"/>
  <c r="J246" i="7"/>
  <c r="K246" i="7"/>
  <c r="L246" i="7"/>
  <c r="M246" i="7"/>
  <c r="N246" i="7"/>
  <c r="O246" i="7"/>
  <c r="P246" i="7"/>
  <c r="Q246" i="7"/>
  <c r="R246" i="7"/>
  <c r="S246" i="7"/>
  <c r="T246" i="7"/>
  <c r="U246" i="7"/>
  <c r="V246" i="7"/>
  <c r="W246" i="7"/>
  <c r="X246" i="7"/>
  <c r="Y246" i="7"/>
  <c r="Z246" i="7"/>
  <c r="AA246" i="7"/>
  <c r="B250" i="4" l="1" a="1"/>
  <c r="B250" i="4" s="1"/>
  <c r="C249" i="4"/>
  <c r="E249" i="4"/>
  <c r="G249" i="4"/>
  <c r="N249" i="4"/>
  <c r="U249" i="4"/>
  <c r="W249" i="4"/>
  <c r="Z249" i="4"/>
  <c r="P249" i="4"/>
  <c r="Q249" i="4"/>
  <c r="F249" i="4"/>
  <c r="H249" i="4"/>
  <c r="I249" i="4"/>
  <c r="S249" i="4"/>
  <c r="Y249" i="4"/>
  <c r="G250" i="12"/>
  <c r="D249" i="4"/>
  <c r="K249" i="4"/>
  <c r="M249" i="4"/>
  <c r="O249" i="4"/>
  <c r="R249" i="4"/>
  <c r="X249" i="4"/>
  <c r="AA249" i="4"/>
  <c r="J249" i="4"/>
  <c r="L249" i="4"/>
  <c r="T249" i="4"/>
  <c r="V249" i="4"/>
  <c r="H248" i="12"/>
  <c r="C247" i="7"/>
  <c r="D247" i="7"/>
  <c r="E247" i="7"/>
  <c r="F247" i="7"/>
  <c r="G247" i="7"/>
  <c r="H247" i="7"/>
  <c r="I247" i="7"/>
  <c r="J247" i="7"/>
  <c r="K247" i="7"/>
  <c r="L247" i="7"/>
  <c r="M247" i="7"/>
  <c r="N247" i="7"/>
  <c r="O247" i="7"/>
  <c r="P247" i="7"/>
  <c r="Q247" i="7"/>
  <c r="R247" i="7"/>
  <c r="S247" i="7"/>
  <c r="T247" i="7"/>
  <c r="U247" i="7"/>
  <c r="V247" i="7"/>
  <c r="W247" i="7"/>
  <c r="X247" i="7"/>
  <c r="Y247" i="7"/>
  <c r="Z247" i="7"/>
  <c r="AA247" i="7"/>
  <c r="B248" i="7" a="1"/>
  <c r="B248" i="7" s="1"/>
  <c r="B251" i="4" l="1" a="1"/>
  <c r="B251" i="4" s="1"/>
  <c r="C250" i="4"/>
  <c r="D250" i="4"/>
  <c r="G250" i="4"/>
  <c r="L250" i="4"/>
  <c r="Q250" i="4"/>
  <c r="S250" i="4"/>
  <c r="W250" i="4"/>
  <c r="AA250" i="4"/>
  <c r="M250" i="4"/>
  <c r="N250" i="4"/>
  <c r="U250" i="4"/>
  <c r="Z250" i="4"/>
  <c r="E250" i="4"/>
  <c r="H250" i="4"/>
  <c r="J250" i="4"/>
  <c r="K250" i="4"/>
  <c r="P250" i="4"/>
  <c r="R250" i="4"/>
  <c r="T250" i="4"/>
  <c r="Y250" i="4"/>
  <c r="F250" i="4"/>
  <c r="O250" i="4"/>
  <c r="V250" i="4"/>
  <c r="I250" i="4"/>
  <c r="X250" i="4"/>
  <c r="G251" i="12"/>
  <c r="H249" i="12"/>
  <c r="C248" i="7"/>
  <c r="D248" i="7"/>
  <c r="E248" i="7"/>
  <c r="F248" i="7"/>
  <c r="G248" i="7"/>
  <c r="H248" i="7"/>
  <c r="I248" i="7"/>
  <c r="J248" i="7"/>
  <c r="K248" i="7"/>
  <c r="L248" i="7"/>
  <c r="M248" i="7"/>
  <c r="N248" i="7"/>
  <c r="O248" i="7"/>
  <c r="P248" i="7"/>
  <c r="Q248" i="7"/>
  <c r="R248" i="7"/>
  <c r="S248" i="7"/>
  <c r="T248" i="7"/>
  <c r="U248" i="7"/>
  <c r="V248" i="7"/>
  <c r="W248" i="7"/>
  <c r="X248" i="7"/>
  <c r="Y248" i="7"/>
  <c r="Z248" i="7"/>
  <c r="AA248" i="7"/>
  <c r="B249" i="7" a="1"/>
  <c r="B249" i="7" s="1"/>
  <c r="G251" i="4" l="1"/>
  <c r="J251" i="4"/>
  <c r="M251" i="4"/>
  <c r="O251" i="4"/>
  <c r="R251" i="4"/>
  <c r="U251" i="4"/>
  <c r="W251" i="4"/>
  <c r="AA251" i="4"/>
  <c r="C251" i="4"/>
  <c r="Y251" i="4"/>
  <c r="E251" i="4"/>
  <c r="K251" i="4"/>
  <c r="N251" i="4"/>
  <c r="P251" i="4"/>
  <c r="Q251" i="4"/>
  <c r="T251" i="4"/>
  <c r="V251" i="4"/>
  <c r="Z251" i="4"/>
  <c r="I251" i="4"/>
  <c r="D251" i="4"/>
  <c r="F251" i="4"/>
  <c r="H251" i="4"/>
  <c r="L251" i="4"/>
  <c r="S251" i="4"/>
  <c r="X251" i="4"/>
  <c r="G252" i="12"/>
  <c r="B252" i="4" a="1"/>
  <c r="B252" i="4" s="1"/>
  <c r="C249" i="7"/>
  <c r="E249" i="7"/>
  <c r="G249" i="7"/>
  <c r="I249" i="7"/>
  <c r="K249" i="7"/>
  <c r="M249" i="7"/>
  <c r="O249" i="7"/>
  <c r="Q249" i="7"/>
  <c r="S249" i="7"/>
  <c r="U249" i="7"/>
  <c r="W249" i="7"/>
  <c r="Y249" i="7"/>
  <c r="AA249" i="7"/>
  <c r="D249" i="7"/>
  <c r="F249" i="7"/>
  <c r="H249" i="7"/>
  <c r="J249" i="7"/>
  <c r="L249" i="7"/>
  <c r="N249" i="7"/>
  <c r="P249" i="7"/>
  <c r="R249" i="7"/>
  <c r="T249" i="7"/>
  <c r="V249" i="7"/>
  <c r="X249" i="7"/>
  <c r="Z249" i="7"/>
  <c r="H250" i="12"/>
  <c r="B250" i="7" a="1"/>
  <c r="B250" i="7" s="1"/>
  <c r="E252" i="4" l="1"/>
  <c r="H252" i="4"/>
  <c r="J252" i="4"/>
  <c r="M252" i="4"/>
  <c r="R252" i="4"/>
  <c r="W252" i="4"/>
  <c r="Z252" i="4"/>
  <c r="S252" i="4"/>
  <c r="V252" i="4"/>
  <c r="Y252" i="4"/>
  <c r="G253" i="12"/>
  <c r="C252" i="4"/>
  <c r="G252" i="4"/>
  <c r="O252" i="4"/>
  <c r="Q252" i="4"/>
  <c r="U252" i="4"/>
  <c r="X252" i="4"/>
  <c r="AA252" i="4"/>
  <c r="D252" i="4"/>
  <c r="F252" i="4"/>
  <c r="I252" i="4"/>
  <c r="K252" i="4"/>
  <c r="L252" i="4"/>
  <c r="N252" i="4"/>
  <c r="P252" i="4"/>
  <c r="T252" i="4"/>
  <c r="B253" i="4" a="1"/>
  <c r="B253" i="4" s="1"/>
  <c r="D250" i="7"/>
  <c r="H250" i="7"/>
  <c r="K250" i="7"/>
  <c r="N250" i="7"/>
  <c r="R250" i="7"/>
  <c r="U250" i="7"/>
  <c r="Q250" i="7"/>
  <c r="V250" i="7"/>
  <c r="Y250" i="7"/>
  <c r="H251" i="12"/>
  <c r="E250" i="7"/>
  <c r="G250" i="7"/>
  <c r="J250" i="7"/>
  <c r="M250" i="7"/>
  <c r="P250" i="7"/>
  <c r="T250" i="7"/>
  <c r="X250" i="7"/>
  <c r="AA250" i="7"/>
  <c r="C250" i="7"/>
  <c r="F250" i="7"/>
  <c r="I250" i="7"/>
  <c r="L250" i="7"/>
  <c r="O250" i="7"/>
  <c r="S250" i="7"/>
  <c r="W250" i="7"/>
  <c r="Z250" i="7"/>
  <c r="B251" i="7" a="1"/>
  <c r="B251" i="7" s="1"/>
  <c r="B254" i="4" l="1" a="1"/>
  <c r="B254" i="4" s="1"/>
  <c r="D253" i="4"/>
  <c r="E253" i="4"/>
  <c r="G253" i="4"/>
  <c r="I253" i="4"/>
  <c r="Q253" i="4"/>
  <c r="S253" i="4"/>
  <c r="AA253" i="4"/>
  <c r="C253" i="4"/>
  <c r="L253" i="4"/>
  <c r="M253" i="4"/>
  <c r="X253" i="4"/>
  <c r="F253" i="4"/>
  <c r="P253" i="4"/>
  <c r="R253" i="4"/>
  <c r="T253" i="4"/>
  <c r="H253" i="4"/>
  <c r="N253" i="4"/>
  <c r="V253" i="4"/>
  <c r="Y253" i="4"/>
  <c r="J253" i="4"/>
  <c r="K253" i="4"/>
  <c r="O253" i="4"/>
  <c r="U253" i="4"/>
  <c r="W253" i="4"/>
  <c r="Z253" i="4"/>
  <c r="G254" i="12"/>
  <c r="I251" i="7"/>
  <c r="L251" i="7"/>
  <c r="V251" i="7"/>
  <c r="F251" i="7"/>
  <c r="R251" i="7"/>
  <c r="Z251" i="7"/>
  <c r="H252" i="12"/>
  <c r="C251" i="7"/>
  <c r="E251" i="7"/>
  <c r="K251" i="7"/>
  <c r="O251" i="7"/>
  <c r="U251" i="7"/>
  <c r="AA251" i="7"/>
  <c r="D251" i="7"/>
  <c r="J251" i="7"/>
  <c r="Q251" i="7"/>
  <c r="T251" i="7"/>
  <c r="Y251" i="7"/>
  <c r="G251" i="7"/>
  <c r="N251" i="7"/>
  <c r="S251" i="7"/>
  <c r="W251" i="7"/>
  <c r="H251" i="7"/>
  <c r="M251" i="7"/>
  <c r="P251" i="7"/>
  <c r="X251" i="7"/>
  <c r="B252" i="7" a="1"/>
  <c r="B252" i="7" s="1"/>
  <c r="L254" i="4" l="1"/>
  <c r="D254" i="4"/>
  <c r="E254" i="4"/>
  <c r="G254" i="4"/>
  <c r="H254" i="4"/>
  <c r="J254" i="4"/>
  <c r="M254" i="4"/>
  <c r="N254" i="4"/>
  <c r="O254" i="4"/>
  <c r="P254" i="4"/>
  <c r="Q254" i="4"/>
  <c r="R254" i="4"/>
  <c r="S254" i="4"/>
  <c r="T254" i="4"/>
  <c r="U254" i="4"/>
  <c r="V254" i="4"/>
  <c r="W254" i="4"/>
  <c r="X254" i="4"/>
  <c r="Y254" i="4"/>
  <c r="Z254" i="4"/>
  <c r="AA254" i="4"/>
  <c r="K254" i="4"/>
  <c r="F254" i="4"/>
  <c r="C254" i="4"/>
  <c r="I254" i="4"/>
  <c r="G255" i="12"/>
  <c r="B255" i="4" a="1"/>
  <c r="B255" i="4" s="1"/>
  <c r="B253" i="7" a="1"/>
  <c r="B253" i="7" s="1"/>
  <c r="E252" i="7"/>
  <c r="L252" i="7"/>
  <c r="V252" i="7"/>
  <c r="M252" i="7"/>
  <c r="C252" i="7"/>
  <c r="D252" i="7"/>
  <c r="F252" i="7"/>
  <c r="G252" i="7"/>
  <c r="H252" i="7"/>
  <c r="I252" i="7"/>
  <c r="J252" i="7"/>
  <c r="K252" i="7"/>
  <c r="N252" i="7"/>
  <c r="O252" i="7"/>
  <c r="P252" i="7"/>
  <c r="Q252" i="7"/>
  <c r="R252" i="7"/>
  <c r="S252" i="7"/>
  <c r="T252" i="7"/>
  <c r="U252" i="7"/>
  <c r="W252" i="7"/>
  <c r="Y252" i="7"/>
  <c r="Z252" i="7"/>
  <c r="AA252" i="7"/>
  <c r="H253" i="12"/>
  <c r="X252" i="7"/>
  <c r="C255" i="4" l="1"/>
  <c r="D255" i="4"/>
  <c r="E255" i="4"/>
  <c r="F255" i="4"/>
  <c r="G255" i="4"/>
  <c r="H255" i="4"/>
  <c r="I255" i="4"/>
  <c r="J255" i="4"/>
  <c r="K255" i="4"/>
  <c r="L255" i="4"/>
  <c r="M255" i="4"/>
  <c r="N255" i="4"/>
  <c r="O255" i="4"/>
  <c r="P255" i="4"/>
  <c r="Q255" i="4"/>
  <c r="R255" i="4"/>
  <c r="S255" i="4"/>
  <c r="T255" i="4"/>
  <c r="U255" i="4"/>
  <c r="V255" i="4"/>
  <c r="W255" i="4"/>
  <c r="X255" i="4"/>
  <c r="Y255" i="4"/>
  <c r="Z255" i="4"/>
  <c r="AA255" i="4"/>
  <c r="G256" i="12"/>
  <c r="C253" i="7"/>
  <c r="D253" i="7"/>
  <c r="F253" i="7"/>
  <c r="G253" i="7"/>
  <c r="H253" i="7"/>
  <c r="I253" i="7"/>
  <c r="J253" i="7"/>
  <c r="K253" i="7"/>
  <c r="O253" i="7"/>
  <c r="R253" i="7"/>
  <c r="S253" i="7"/>
  <c r="T253" i="7"/>
  <c r="U253" i="7"/>
  <c r="W253" i="7"/>
  <c r="X253" i="7"/>
  <c r="H254" i="12"/>
  <c r="L253" i="7"/>
  <c r="M253" i="7"/>
  <c r="N253" i="7"/>
  <c r="P253" i="7"/>
  <c r="Q253" i="7"/>
  <c r="V253" i="7"/>
  <c r="Y253" i="7"/>
  <c r="AA253" i="7"/>
  <c r="E253" i="7"/>
  <c r="Z253" i="7"/>
  <c r="B254" i="7" a="1"/>
  <c r="B254" i="7" s="1"/>
  <c r="AA23" i="4" l="1"/>
  <c r="AA21" i="4"/>
  <c r="AA22" i="4"/>
  <c r="AA20" i="4"/>
  <c r="AA18" i="4"/>
  <c r="AA16" i="4"/>
  <c r="AA14" i="4"/>
  <c r="AA6" i="4"/>
  <c r="AA7" i="4"/>
  <c r="AA19" i="4"/>
  <c r="AA17" i="4"/>
  <c r="AA15" i="4"/>
  <c r="AA13" i="4"/>
  <c r="AA12" i="4"/>
  <c r="AA11" i="4"/>
  <c r="AA10" i="4"/>
  <c r="AA9" i="4"/>
  <c r="AA8" i="4"/>
  <c r="K254" i="7"/>
  <c r="L254" i="7"/>
  <c r="N254" i="7"/>
  <c r="Q254" i="7"/>
  <c r="T254" i="7"/>
  <c r="U254" i="7"/>
  <c r="Z254" i="7"/>
  <c r="D254" i="7"/>
  <c r="E254" i="7"/>
  <c r="G254" i="7"/>
  <c r="H254" i="7"/>
  <c r="O254" i="7"/>
  <c r="P254" i="7"/>
  <c r="S254" i="7"/>
  <c r="H255" i="12"/>
  <c r="M254" i="7"/>
  <c r="C254" i="7"/>
  <c r="F254" i="7"/>
  <c r="I254" i="7"/>
  <c r="V254" i="7"/>
  <c r="W254" i="7"/>
  <c r="Y254" i="7"/>
  <c r="AA254" i="7"/>
  <c r="X254" i="7"/>
  <c r="R254" i="7"/>
  <c r="J254" i="7"/>
  <c r="B255" i="7" a="1"/>
  <c r="B255" i="7" s="1"/>
  <c r="C35" i="2" l="1"/>
  <c r="C33" i="2"/>
  <c r="C32" i="2"/>
  <c r="C31" i="2"/>
  <c r="C34" i="2"/>
  <c r="D255" i="7"/>
  <c r="H255" i="7"/>
  <c r="N255" i="7"/>
  <c r="P255" i="7"/>
  <c r="R255" i="7"/>
  <c r="V255" i="7"/>
  <c r="W255" i="7"/>
  <c r="Y255" i="7"/>
  <c r="Z255" i="7"/>
  <c r="S255" i="7"/>
  <c r="G255" i="7"/>
  <c r="AA255" i="7"/>
  <c r="I255" i="7"/>
  <c r="F255" i="7"/>
  <c r="K255" i="7"/>
  <c r="C255" i="7"/>
  <c r="J255" i="7"/>
  <c r="L255" i="7"/>
  <c r="U255" i="7"/>
  <c r="X255" i="7"/>
  <c r="AA11" i="7" s="1"/>
  <c r="E255" i="7"/>
  <c r="M255" i="7"/>
  <c r="O255" i="7"/>
  <c r="Q255" i="7"/>
  <c r="H256" i="12"/>
  <c r="T255" i="7"/>
  <c r="D35" i="2" l="1"/>
  <c r="E35" i="2"/>
  <c r="F35" i="2"/>
  <c r="E33" i="2"/>
  <c r="F33" i="2"/>
  <c r="D33" i="2"/>
  <c r="D32" i="2"/>
  <c r="E32" i="2"/>
  <c r="F32" i="2"/>
  <c r="D31" i="2"/>
  <c r="E31" i="2"/>
  <c r="F31" i="2"/>
  <c r="E34" i="2"/>
  <c r="F34" i="2"/>
  <c r="D34" i="2"/>
  <c r="AA17" i="7"/>
  <c r="AA16" i="7"/>
  <c r="AA15" i="7"/>
  <c r="AA14" i="7"/>
  <c r="AA13" i="7"/>
  <c r="AA12" i="7"/>
  <c r="AA8" i="7"/>
  <c r="AA9" i="7"/>
  <c r="AA7" i="7"/>
  <c r="AA6" i="7"/>
  <c r="I34" i="2" l="1"/>
  <c r="I33" i="2"/>
  <c r="I35" i="2"/>
  <c r="I32" i="2"/>
  <c r="I31" i="2"/>
  <c r="J34" i="2" l="1"/>
  <c r="K34" i="2"/>
  <c r="L34" i="2"/>
  <c r="J33" i="2"/>
  <c r="K33" i="2"/>
  <c r="L33" i="2"/>
  <c r="L35" i="2"/>
  <c r="J35" i="2"/>
  <c r="K35" i="2"/>
  <c r="L32" i="2"/>
  <c r="J32" i="2"/>
  <c r="K32" i="2"/>
  <c r="L31" i="2"/>
  <c r="J31" i="2"/>
  <c r="K31" i="2"/>
</calcChain>
</file>

<file path=xl/sharedStrings.xml><?xml version="1.0" encoding="utf-8"?>
<sst xmlns="http://schemas.openxmlformats.org/spreadsheetml/2006/main" count="2962" uniqueCount="480">
  <si>
    <t>GAME INFORMATION</t>
  </si>
  <si>
    <t>INNING &amp; SCORES</t>
  </si>
  <si>
    <t>BATTING TEAM</t>
  </si>
  <si>
    <t>PITCHING TEAM</t>
  </si>
  <si>
    <t>PITCH by PITCH</t>
  </si>
  <si>
    <t>BALLS &amp; STRIKES</t>
  </si>
  <si>
    <t>PLAY</t>
  </si>
  <si>
    <t>BIGDATABALL
DATASET</t>
  </si>
  <si>
    <t>GAME ID</t>
  </si>
  <si>
    <t>DATE</t>
  </si>
  <si>
    <t>INNING</t>
  </si>
  <si>
    <t>ROAD
SCORE</t>
  </si>
  <si>
    <t>HOME
SCORE</t>
  </si>
  <si>
    <t>BATTING
TEAM</t>
  </si>
  <si>
    <t>BATTER</t>
  </si>
  <si>
    <t>BATTER
MLB-ID</t>
  </si>
  <si>
    <t>BATTER
HAND</t>
  </si>
  <si>
    <t>RUNNERS ON BASE
1B</t>
  </si>
  <si>
    <t>RUNNERS ON BASE
2B</t>
  </si>
  <si>
    <t>RUNNERS ON BASE
3B</t>
  </si>
  <si>
    <t>PITCHING
TEAM</t>
  </si>
  <si>
    <t>PITCHER</t>
  </si>
  <si>
    <t>PITCHER
MLB-ID</t>
  </si>
  <si>
    <t>PITCHER
HAND</t>
  </si>
  <si>
    <t>C</t>
  </si>
  <si>
    <t>1B</t>
  </si>
  <si>
    <t>2B</t>
  </si>
  <si>
    <t>3B</t>
  </si>
  <si>
    <t>SS</t>
  </si>
  <si>
    <t>LF</t>
  </si>
  <si>
    <t>CF</t>
  </si>
  <si>
    <t>RF</t>
  </si>
  <si>
    <t>PITCHING SEQUENCE LENGTH</t>
  </si>
  <si>
    <t>PITCH by PITCH
S: Strike; Strike called; Strike swinging | B: Ball, called ball
IN: In play | F: Foul; Foul ball on pitchout | FT: Foul tip; Foul tip on bunt | FB: Foul bunt
IB: Intentional ball | HB: Hit batter | MB: Missed bunt attempt | NP: No pitch
PO: Pitchout | POS: Swinging on pitchout | N-A: Unknown, Missed pitch | POF Pickoff thrown to 1B/2B/3B</t>
  </si>
  <si>
    <t>BALLS</t>
  </si>
  <si>
    <t>STRIKES</t>
  </si>
  <si>
    <t>HIT TYPE</t>
  </si>
  <si>
    <t>PLAY TYPE</t>
  </si>
  <si>
    <t>RUNS</t>
  </si>
  <si>
    <t>OUTS</t>
  </si>
  <si>
    <t>STOLEN BASES</t>
  </si>
  <si>
    <t>CAUGHT STEALING</t>
  </si>
  <si>
    <t>DEFENSIVE INDIFFERENCE</t>
  </si>
  <si>
    <t>PASSED BALL</t>
  </si>
  <si>
    <t>WILD PITCH</t>
  </si>
  <si>
    <t>DESCRIPTION</t>
  </si>
  <si>
    <t>MLB 2025 Postseason</t>
  </si>
  <si>
    <t>45962-LAD@TOR-1</t>
  </si>
  <si>
    <t>1T</t>
  </si>
  <si>
    <t>0</t>
  </si>
  <si>
    <t>Los Angeles Dodgers</t>
  </si>
  <si>
    <t>Shohei Ohtani</t>
  </si>
  <si>
    <t>L</t>
  </si>
  <si>
    <t>Toronto Blue Jays</t>
  </si>
  <si>
    <t>Max Scherzer</t>
  </si>
  <si>
    <t>R</t>
  </si>
  <si>
    <t>Alejandro Kirk</t>
  </si>
  <si>
    <t>Vladimir Guerrero Jr.</t>
  </si>
  <si>
    <t>Bo Bichette</t>
  </si>
  <si>
    <t>Ernie Clement</t>
  </si>
  <si>
    <t>Andres Gimenez</t>
  </si>
  <si>
    <t>Nathan Lukes</t>
  </si>
  <si>
    <t>Daulton Varsho</t>
  </si>
  <si>
    <t>Addison Barger</t>
  </si>
  <si>
    <t xml:space="preserve">B/B/F/IN                </t>
  </si>
  <si>
    <t>•</t>
  </si>
  <si>
    <t>LINE
DRIVE</t>
  </si>
  <si>
    <t>SINGLE</t>
  </si>
  <si>
    <t>Single to CF</t>
  </si>
  <si>
    <t>Will Smith</t>
  </si>
  <si>
    <t xml:space="preserve">S/F/IN                 </t>
  </si>
  <si>
    <t>GROUNDOUT</t>
  </si>
  <si>
    <t>Will Smith grounded out, 1B-P. S. Ohtani to 2B</t>
  </si>
  <si>
    <t>Freddie Freeman</t>
  </si>
  <si>
    <t xml:space="preserve">IN                   </t>
  </si>
  <si>
    <t>FLY
BALL</t>
  </si>
  <si>
    <t>FLYOUT</t>
  </si>
  <si>
    <t>Freddie Freeman flied out to  CF. S. Ohtani to 3B</t>
  </si>
  <si>
    <t>Mookie Betts</t>
  </si>
  <si>
    <t xml:space="preserve">B/IN                  </t>
  </si>
  <si>
    <t>Mookie Betts grounded out, SS-1B</t>
  </si>
  <si>
    <t>George Springer</t>
  </si>
  <si>
    <t>Miguel Rojas</t>
  </si>
  <si>
    <t>Max Muncy</t>
  </si>
  <si>
    <t>Enrique Hernandez</t>
  </si>
  <si>
    <t>Tommy Edman</t>
  </si>
  <si>
    <t>Teoscar Hernandez</t>
  </si>
  <si>
    <t xml:space="preserve">B/B/B/S/IN               </t>
  </si>
  <si>
    <t>Single to LF</t>
  </si>
  <si>
    <t xml:space="preserve">B/S/S/F/B/F/S             </t>
  </si>
  <si>
    <t>STRIKEOUT</t>
  </si>
  <si>
    <t>Nathan Lukes struck out [swinging].</t>
  </si>
  <si>
    <t xml:space="preserve">B/B/S/B/F/S              </t>
  </si>
  <si>
    <t>DOUBLE PLAY</t>
  </si>
  <si>
    <t>Double Play: Vladimir Guerrero Jr. struck out [looking]., G. Springer was caught stealing. 2B</t>
  </si>
  <si>
    <t>2T</t>
  </si>
  <si>
    <t xml:space="preserve">S/B/B/F/S               </t>
  </si>
  <si>
    <t>Max Muncy struck out [swinging].</t>
  </si>
  <si>
    <t xml:space="preserve">S/IN                  </t>
  </si>
  <si>
    <t>Teoscar Hernandez flied out to  RF</t>
  </si>
  <si>
    <t>S</t>
  </si>
  <si>
    <t xml:space="preserve">B/B/IN                 </t>
  </si>
  <si>
    <t>Tommy Edman flied out to  RF</t>
  </si>
  <si>
    <t xml:space="preserve">B/B/S/B/B               </t>
  </si>
  <si>
    <t>WALK</t>
  </si>
  <si>
    <t>Bo Bichette walked.</t>
  </si>
  <si>
    <t xml:space="preserve">S/B/B/S/B/IN              </t>
  </si>
  <si>
    <t>Single to RF. B. Bichette to 2B</t>
  </si>
  <si>
    <t>POP-UP</t>
  </si>
  <si>
    <t>POP OUT</t>
  </si>
  <si>
    <t>Alejandro Kirk out to 1B</t>
  </si>
  <si>
    <t xml:space="preserve">S/B/S/B/IN               </t>
  </si>
  <si>
    <t>Daulton Varsho flied out to  RF</t>
  </si>
  <si>
    <t xml:space="preserve">F/IN                  </t>
  </si>
  <si>
    <t>Single to RF. B. Bichette to 3B. A. Barger to 2B</t>
  </si>
  <si>
    <t xml:space="preserve">B/S/S/F/S               </t>
  </si>
  <si>
    <t>Andres Gimenez struck out [swinging].</t>
  </si>
  <si>
    <t>3T</t>
  </si>
  <si>
    <t xml:space="preserve">S/B/IN                 </t>
  </si>
  <si>
    <t>Enrique Hernandez flied out to  CF</t>
  </si>
  <si>
    <t xml:space="preserve">S/F/B/S                </t>
  </si>
  <si>
    <t>Miguel Rojas struck out [swinging].</t>
  </si>
  <si>
    <t>LINEOUT</t>
  </si>
  <si>
    <t>Shohei Ohtani lined out to LF</t>
  </si>
  <si>
    <t xml:space="preserve">F/S/F/B/IN               </t>
  </si>
  <si>
    <t>SAC BUNT</t>
  </si>
  <si>
    <t>Bunt Nathan Lukes grounded out, P-1B/Sacrifice. G. Springer to 2B</t>
  </si>
  <si>
    <t xml:space="preserve">B                   </t>
  </si>
  <si>
    <t>Wild Pitch. G. Springer to 3B</t>
  </si>
  <si>
    <t xml:space="preserve">B/B/B/B                </t>
  </si>
  <si>
    <t>INTENT WALK</t>
  </si>
  <si>
    <t>Vladimir Guerrero Jr. was intentionally walked.</t>
  </si>
  <si>
    <t>HOME RUN</t>
  </si>
  <si>
    <t>Home Run. G. Springer scored.. V. Guerrero scored.</t>
  </si>
  <si>
    <t>Justin Wrobleski</t>
  </si>
  <si>
    <t>Alejandro Kirk lined out to CF</t>
  </si>
  <si>
    <t xml:space="preserve">B/F/S/S                </t>
  </si>
  <si>
    <t>Daulton Varsho struck out [swinging].</t>
  </si>
  <si>
    <t>4T</t>
  </si>
  <si>
    <t>3</t>
  </si>
  <si>
    <t>DOUBLE</t>
  </si>
  <si>
    <t>Double to CF</t>
  </si>
  <si>
    <t>Single to RF. W. Smith to 3B</t>
  </si>
  <si>
    <t xml:space="preserve">B/S/IN                 </t>
  </si>
  <si>
    <t>Mookie Betts flied out to  RF</t>
  </si>
  <si>
    <t xml:space="preserve">F/B/B/B/F/F/B             </t>
  </si>
  <si>
    <t>Max Muncy walked.. F. Freeman to 2B</t>
  </si>
  <si>
    <t>SAC FLY</t>
  </si>
  <si>
    <t>Teoscar Hernandez lined out to CF on a sacrifice fly.. W. Smith scored.</t>
  </si>
  <si>
    <t>Tommy Edman out to 1B</t>
  </si>
  <si>
    <t>4B</t>
  </si>
  <si>
    <t>1</t>
  </si>
  <si>
    <t>Ernie Clement grounded out, SS-1B</t>
  </si>
  <si>
    <t xml:space="preserve">B/S/F/B/HB               </t>
  </si>
  <si>
    <t>HIT BY PITCH</t>
  </si>
  <si>
    <t>Andres Gimenez was hit by a pitch.</t>
  </si>
  <si>
    <t>Single to P. A. Giménez to 2B</t>
  </si>
  <si>
    <t xml:space="preserve">F/S/B/S                </t>
  </si>
  <si>
    <t>Tyler Glasnow</t>
  </si>
  <si>
    <t xml:space="preserve">B/S/B/B/IN               </t>
  </si>
  <si>
    <t>Vladimir Guerrero Jr. lined out to CF</t>
  </si>
  <si>
    <t>5T</t>
  </si>
  <si>
    <t xml:space="preserve">S/S/B/B/S               </t>
  </si>
  <si>
    <t>Enrique Hernandez struck out [swinging].</t>
  </si>
  <si>
    <t>Louis Varland</t>
  </si>
  <si>
    <t xml:space="preserve">F/S/IN                 </t>
  </si>
  <si>
    <t>GROUND
BALL</t>
  </si>
  <si>
    <t>Single to RF. M. Rojas to 2B</t>
  </si>
  <si>
    <t>Will Smith flied out to  CF</t>
  </si>
  <si>
    <t xml:space="preserve">F/B/IN                 </t>
  </si>
  <si>
    <t>Freddie Freeman flied out to  CF</t>
  </si>
  <si>
    <t>5B</t>
  </si>
  <si>
    <t>Bo Bichette lined out to 3B</t>
  </si>
  <si>
    <t xml:space="preserve">B/S/B/F/F/S              </t>
  </si>
  <si>
    <t>Addison Barger struck out [swinging].</t>
  </si>
  <si>
    <t>Daulton Varsho grounded out, 2B-1B</t>
  </si>
  <si>
    <t>6T</t>
  </si>
  <si>
    <t>Chris Bassitt</t>
  </si>
  <si>
    <t xml:space="preserve">B/S/S/B/B/B              </t>
  </si>
  <si>
    <t>Mookie Betts walked.</t>
  </si>
  <si>
    <t>Single to RF. M. Betts to 2B</t>
  </si>
  <si>
    <t xml:space="preserve">S/B/B/F/IN               </t>
  </si>
  <si>
    <t>FORCEOUT</t>
  </si>
  <si>
    <t>Teoscar Hernandez grounded into a force out, P-2B/Forceout at 2B. M. Betts to 3B. T. Hernández to 1B</t>
  </si>
  <si>
    <t xml:space="preserve">B/F/IN                 </t>
  </si>
  <si>
    <t>Tommy Edman flied out to  CF on a sacrifice fly.. M. Betts scored.</t>
  </si>
  <si>
    <t xml:space="preserve">S/S/IN                 </t>
  </si>
  <si>
    <t>Single to RF. T. Hernández to 2B</t>
  </si>
  <si>
    <t xml:space="preserve">S/B/S/B/F/B/IN             </t>
  </si>
  <si>
    <t>Miguel Rojas grounded out, P unassisted</t>
  </si>
  <si>
    <t>6B</t>
  </si>
  <si>
    <t>2</t>
  </si>
  <si>
    <t xml:space="preserve">B/B/B/S/S               </t>
  </si>
  <si>
    <t>E. Clement stole 2B</t>
  </si>
  <si>
    <t xml:space="preserve">B/B/B/S/S/IN              </t>
  </si>
  <si>
    <t>Double to RF. E. Clement scored.</t>
  </si>
  <si>
    <t xml:space="preserve">S/B/S/S                </t>
  </si>
  <si>
    <t>George Springer struck out [swinging].</t>
  </si>
  <si>
    <t>Nathan Lukes lined out to CF. A. Giménez to 3B</t>
  </si>
  <si>
    <t>Vladimir Guerrero Jr. grounded out, 3B-1B</t>
  </si>
  <si>
    <t>7T</t>
  </si>
  <si>
    <t>4</t>
  </si>
  <si>
    <t>Trey Yesavage</t>
  </si>
  <si>
    <t xml:space="preserve">B/B/B/S/B               </t>
  </si>
  <si>
    <t>Shohei Ohtani walked.</t>
  </si>
  <si>
    <t xml:space="preserve">B/S/B/IN                </t>
  </si>
  <si>
    <t>GROUNDED INTO DP</t>
  </si>
  <si>
    <t>Freddie Freeman grounded into a double play, 1B-SS-1B</t>
  </si>
  <si>
    <t>7B</t>
  </si>
  <si>
    <t>Emmet Sheehan</t>
  </si>
  <si>
    <t xml:space="preserve">S/S/F/B/S               </t>
  </si>
  <si>
    <t>Bo Bichette struck out [swinging].</t>
  </si>
  <si>
    <t>Addison Barger grounded out, 1B unassisted</t>
  </si>
  <si>
    <t>Single to RF</t>
  </si>
  <si>
    <t xml:space="preserve">S/B/F/F/S               </t>
  </si>
  <si>
    <t>8T</t>
  </si>
  <si>
    <t xml:space="preserve">S/S/F/IN                </t>
  </si>
  <si>
    <t>Home Run</t>
  </si>
  <si>
    <t>Teoscar Hernandez grounded out, 2B-1B</t>
  </si>
  <si>
    <t>Jeff Hoffman</t>
  </si>
  <si>
    <t xml:space="preserve">B/B/S/IN                </t>
  </si>
  <si>
    <t>Tommy Edman grounded out, 2B-1B</t>
  </si>
  <si>
    <t>8B</t>
  </si>
  <si>
    <t xml:space="preserve">S/B/F/B/IN               </t>
  </si>
  <si>
    <t>Double to LF</t>
  </si>
  <si>
    <t>Blake Snell</t>
  </si>
  <si>
    <t xml:space="preserve">B/FB/IN                 </t>
  </si>
  <si>
    <t>Andres Gimenez lined out to 3B</t>
  </si>
  <si>
    <t xml:space="preserve">F/F/S                 </t>
  </si>
  <si>
    <t>Davis Schneider</t>
  </si>
  <si>
    <t xml:space="preserve">S/B/B/S/S               </t>
  </si>
  <si>
    <t>Davis Schneider struck out [swinging].</t>
  </si>
  <si>
    <t>9T</t>
  </si>
  <si>
    <t>Myles Straw</t>
  </si>
  <si>
    <t xml:space="preserve">B/S/F/S                </t>
  </si>
  <si>
    <t xml:space="preserve">S/B/B/F/F/B/IN             </t>
  </si>
  <si>
    <t>Shohei Ohtani flied out to  LF</t>
  </si>
  <si>
    <t xml:space="preserve">S/S/B/B/B/S              </t>
  </si>
  <si>
    <t>Will Smith struck out [looking].</t>
  </si>
  <si>
    <t>9B</t>
  </si>
  <si>
    <t xml:space="preserve">B/B/B/IN                </t>
  </si>
  <si>
    <t>Vladimir Guerrero Jr. flied out to  CF</t>
  </si>
  <si>
    <t xml:space="preserve">S/B/B/IN                </t>
  </si>
  <si>
    <t>Isiah Kiner-Falefa</t>
  </si>
  <si>
    <t xml:space="preserve">B/B/S/S/F/F/F/B/B           </t>
  </si>
  <si>
    <t>Addison Barger walked.. I. Kiner-Falefa to 2B</t>
  </si>
  <si>
    <t>Yoshinobu Yamamoto</t>
  </si>
  <si>
    <t xml:space="preserve">S/HB                  </t>
  </si>
  <si>
    <t>Alejandro Kirk was hit by a pitch.. I. Kiner-Falefa to 3B. A. Barger to 2B</t>
  </si>
  <si>
    <t>Andy Pages</t>
  </si>
  <si>
    <t xml:space="preserve">B/F/S/IN                </t>
  </si>
  <si>
    <t>Daulton Varsho grounded into a force out, 2B-C/Forceout at Hm. A. Barger to 3B. A. Kirk to 2B. D. Varsho to 1B</t>
  </si>
  <si>
    <t>Ernie Clement flied out to  CF</t>
  </si>
  <si>
    <t>10T</t>
  </si>
  <si>
    <t>Seranthony Dominguez</t>
  </si>
  <si>
    <t>Freddie Freeman flied out to  LF</t>
  </si>
  <si>
    <t xml:space="preserve">B/F/B/B/B               </t>
  </si>
  <si>
    <t>Single to CF. M. Betts to 2B</t>
  </si>
  <si>
    <t xml:space="preserve">B/S/S/B/F/B/B             </t>
  </si>
  <si>
    <t>Teoscar Hernandez walked.. M. Betts to 3B. M. Muncy to 2B</t>
  </si>
  <si>
    <t>Andy Pages grounded into a force out, SS-C/Forceout at Hm. M. Muncy to 3B. T. Hernández to 2B. A. Pages to 1B</t>
  </si>
  <si>
    <t>Enrique Hernandez grounded out, 1B-P</t>
  </si>
  <si>
    <t>10B</t>
  </si>
  <si>
    <t>Andres Gimenez grounded out, 2B-1B</t>
  </si>
  <si>
    <t xml:space="preserve">B/B/B/S/S/F/S             </t>
  </si>
  <si>
    <t>Myles Straw flied out to  RF</t>
  </si>
  <si>
    <t>11T</t>
  </si>
  <si>
    <t>Shane Bieber</t>
  </si>
  <si>
    <t>Miguel Rojas grounded out, 3B-1B</t>
  </si>
  <si>
    <t>Shohei Ohtani grounded out, 2B-1B</t>
  </si>
  <si>
    <t xml:space="preserve">B/B/S/B/S/F/IN             </t>
  </si>
  <si>
    <t>Freddie Freeman grounded out, SS-1B</t>
  </si>
  <si>
    <t>11B</t>
  </si>
  <si>
    <t>5</t>
  </si>
  <si>
    <t>Hyeseong Kim</t>
  </si>
  <si>
    <t>Justin Dean</t>
  </si>
  <si>
    <t xml:space="preserve">B/B/S/S/B/IN              </t>
  </si>
  <si>
    <t>Bunt Isiah Kiner-Falefa grounded out, P-2B/Sacrifice. V. Guerrero to 3B</t>
  </si>
  <si>
    <t>Addison Barger walked.</t>
  </si>
  <si>
    <t>Alejandro Kirk grounded into a double play, SS-1B</t>
  </si>
  <si>
    <t>Offensive &amp; Defensive Analytics Dashboard</t>
  </si>
  <si>
    <t>Built on the 'MLB-SAMPLE-PbP' tab. All figures are live formulas; add rows to the data tab and everything updates.</t>
  </si>
  <si>
    <t>Data coverage</t>
  </si>
  <si>
    <t>Event rows</t>
  </si>
  <si>
    <t>Plate appearances</t>
  </si>
  <si>
    <t>Games</t>
  </si>
  <si>
    <t>Unmapped play types (should be 0)</t>
  </si>
  <si>
    <t>Team head-to-head (first two teams in data)</t>
  </si>
  <si>
    <t>Metric</t>
  </si>
  <si>
    <t>Team 1</t>
  </si>
  <si>
    <t>Team 2</t>
  </si>
  <si>
    <t>Edge</t>
  </si>
  <si>
    <t>Team</t>
  </si>
  <si>
    <t>Runs</t>
  </si>
  <si>
    <t>OPS</t>
  </si>
  <si>
    <t>AVG</t>
  </si>
  <si>
    <t>ISO (power)</t>
  </si>
  <si>
    <t>BB/K</t>
  </si>
  <si>
    <t>Pitches per PA (patience)</t>
  </si>
  <si>
    <t>Strike % (pitching)</t>
  </si>
  <si>
    <t>First-pitch strike %</t>
  </si>
  <si>
    <t>K-BB% (pitching)</t>
  </si>
  <si>
    <t>FIP</t>
  </si>
  <si>
    <t>WHIP</t>
  </si>
  <si>
    <t>Defensive efficiency (DER)</t>
  </si>
  <si>
    <t>Double plays turned</t>
  </si>
  <si>
    <t>Top batters by OPS (min PA on Lists tab)</t>
  </si>
  <si>
    <t>Top pitchers by FIP (min BF on Lists tab)</t>
  </si>
  <si>
    <t>Rank</t>
  </si>
  <si>
    <t>Batter</t>
  </si>
  <si>
    <t>PA</t>
  </si>
  <si>
    <t>Pitcher</t>
  </si>
  <si>
    <t>BF</t>
  </si>
  <si>
    <t>Ties are broken by order of appearance. Change qualification thresholds on the Lists tab (C11:C12).</t>
  </si>
  <si>
    <t>Team Offense</t>
  </si>
  <si>
    <t>Batting production by team. Team list builds automatically from the data (up to 30 teams).</t>
  </si>
  <si>
    <t>G</t>
  </si>
  <si>
    <t>AB</t>
  </si>
  <si>
    <t>H</t>
  </si>
  <si>
    <t>HR</t>
  </si>
  <si>
    <t>TB</t>
  </si>
  <si>
    <t>BB</t>
  </si>
  <si>
    <t>IBB</t>
  </si>
  <si>
    <t>HBP</t>
  </si>
  <si>
    <t>K</t>
  </si>
  <si>
    <t>SF</t>
  </si>
  <si>
    <t>SH</t>
  </si>
  <si>
    <t>DP</t>
  </si>
  <si>
    <t>SB</t>
  </si>
  <si>
    <t>CS</t>
  </si>
  <si>
    <t>OBP</t>
  </si>
  <si>
    <t>SLG</t>
  </si>
  <si>
    <t>ISO</t>
  </si>
  <si>
    <t>BABIP</t>
  </si>
  <si>
    <t>K%</t>
  </si>
  <si>
    <t>BB%</t>
  </si>
  <si>
    <t>Pitches / PA</t>
  </si>
  <si>
    <t>SB%</t>
  </si>
  <si>
    <t>Batter Leaderboard</t>
  </si>
  <si>
    <t>One row per batter, listed automatically in order of first appearance; every stat is a live formula. OPS rank uses the minimum PA on the Lists tab.</t>
  </si>
  <si>
    <t>Bats</t>
  </si>
  <si>
    <t>Runs on PA</t>
  </si>
  <si>
    <t>XBH</t>
  </si>
  <si>
    <t>AVG w/ RISP</t>
  </si>
  <si>
    <t>OPS Rank</t>
  </si>
  <si>
    <t>Offensive Situational Splits</t>
  </si>
  <si>
    <t>Slash lines by base state, count, PA length, inning and pitcher hand. Filter by batting team and/or batter.</t>
  </si>
  <si>
    <t>Batting team</t>
  </si>
  <si>
    <t>All Teams</t>
  </si>
  <si>
    <t>criteria →</t>
  </si>
  <si>
    <t>All Players</t>
  </si>
  <si>
    <t>Split</t>
  </si>
  <si>
    <t>Share of PA</t>
  </si>
  <si>
    <t>All plate appearances</t>
  </si>
  <si>
    <t>vs LHP</t>
  </si>
  <si>
    <t>vs RHP</t>
  </si>
  <si>
    <t>Bases empty</t>
  </si>
  <si>
    <t>Runners on base</t>
  </si>
  <si>
    <t>Runners in scoring position</t>
  </si>
  <si>
    <t>Bases loaded</t>
  </si>
  <si>
    <t>First pitch put in play</t>
  </si>
  <si>
    <t>Reached two strikes</t>
  </si>
  <si>
    <t>Full count (3-2) reached</t>
  </si>
  <si>
    <t>PA length: 1 pitch</t>
  </si>
  <si>
    <t>PA length: 2-3 pitches</t>
  </si>
  <si>
    <t>PA length: 4-5 pitches</t>
  </si>
  <si>
    <t>PA length: 6+ pitches</t>
  </si>
  <si>
    <t>Innings 1-3</t>
  </si>
  <si>
    <t>Innings 4-6</t>
  </si>
  <si>
    <t>Innings 7-9</t>
  </si>
  <si>
    <t>Extra innings</t>
  </si>
  <si>
    <t>Pick 'All Teams' / 'All Players' or any name from the drop-downs (you can also type a name). RISP = runner on 2B and/or 3B. Two-strike and full-count splits use the BALLS/STRIKES tracker columns.</t>
  </si>
  <si>
    <t>Team Pitching &amp; Defense</t>
  </si>
  <si>
    <t>Run prevention by the fielding team: pitching outcomes, command, defensive efficiency and the running game.</t>
  </si>
  <si>
    <t>Outs</t>
  </si>
  <si>
    <t>IP</t>
  </si>
  <si>
    <t>Pitches</t>
  </si>
  <si>
    <t>Pitches / BF</t>
  </si>
  <si>
    <t>Strike %</t>
  </si>
  <si>
    <t>First-Pitch Strike %</t>
  </si>
  <si>
    <t>K-BB%</t>
  </si>
  <si>
    <t>Opp AVG</t>
  </si>
  <si>
    <t>Opp BABIP</t>
  </si>
  <si>
    <t>DER</t>
  </si>
  <si>
    <t>BIP</t>
  </si>
  <si>
    <t>ROE</t>
  </si>
  <si>
    <t>DP Turned</t>
  </si>
  <si>
    <t>SB Allowed</t>
  </si>
  <si>
    <t>Caught Stealing</t>
  </si>
  <si>
    <t>CS%</t>
  </si>
  <si>
    <t>WP</t>
  </si>
  <si>
    <t>PB</t>
  </si>
  <si>
    <t>Pitcher Leaderboard</t>
  </si>
  <si>
    <t>One row per pitcher, listed automatically. IP shown in baseball notation (5.2 = 5 and 2/3). FIP rank uses the minimum BF on the Lists tab.</t>
  </si>
  <si>
    <t>Throws</t>
  </si>
  <si>
    <t>FIP Rank</t>
  </si>
  <si>
    <t>Pitching &amp; Defense Situational Splits</t>
  </si>
  <si>
    <t>Opponent slash lines allowed in each situation. Filter by pitching team and/or pitcher.</t>
  </si>
  <si>
    <t>Pitching team</t>
  </si>
  <si>
    <t>vs LHB</t>
  </si>
  <si>
    <t>vs RHB</t>
  </si>
  <si>
    <t>Batted-Ball Quality &amp; Spray Charts</t>
  </si>
  <si>
    <t>Outcome by contact type, where hits land, and which fielders record outs. Filter by team (offense view uses batting team, defense view uses fielding team).</t>
  </si>
  <si>
    <t>Batting team (offense view)</t>
  </si>
  <si>
    <t>Fielding team (defense view)</t>
  </si>
  <si>
    <t>Contact type outcomes — offense view</t>
  </si>
  <si>
    <t>Contact Type</t>
  </si>
  <si>
    <t>Balls in Play</t>
  </si>
  <si>
    <t>Share</t>
  </si>
  <si>
    <t>Hits</t>
  </si>
  <si>
    <t>Extra-Base Hits</t>
  </si>
  <si>
    <t>Home Runs</t>
  </si>
  <si>
    <t>AVG on Contact</t>
  </si>
  <si>
    <t>SLG on Contact</t>
  </si>
  <si>
    <t>Line drive</t>
  </si>
  <si>
    <t>Fly ball</t>
  </si>
  <si>
    <t>Ground ball</t>
  </si>
  <si>
    <t>Pop-up</t>
  </si>
  <si>
    <t>Total</t>
  </si>
  <si>
    <t>Contact type comes from the HIT TYPE column. This feed tags every hit but not every out (many line/ground outs are untagged), so AVG on contact runs high; use it for mix, not true batted-ball AVG.</t>
  </si>
  <si>
    <t>Hit spray chart — where the batting team's hits landed (offense view)</t>
  </si>
  <si>
    <t>Hit Type</t>
  </si>
  <si>
    <t>P</t>
  </si>
  <si>
    <t>Single</t>
  </si>
  <si>
    <t>Double</t>
  </si>
  <si>
    <t>Triple</t>
  </si>
  <si>
    <t>All hits</t>
  </si>
  <si>
    <t>Share of hits</t>
  </si>
  <si>
    <t>Outs by initial fielder — defense view (who handled the ball first)</t>
  </si>
  <si>
    <t>Out Type</t>
  </si>
  <si>
    <t>Fly outs</t>
  </si>
  <si>
    <t>Line outs</t>
  </si>
  <si>
    <t>Pop outs</t>
  </si>
  <si>
    <t>Ground outs / force outs</t>
  </si>
  <si>
    <t>All outs in play</t>
  </si>
  <si>
    <t>Share of outs</t>
  </si>
  <si>
    <t>Parsed from the DESCRIPTION text (e.g. 'grounded out, SS-1B' credits SS). Home runs carry no direction in this feed. Double plays credit the fielder who started them.</t>
  </si>
  <si>
    <t>Run Scoring by Inning</t>
  </si>
  <si>
    <t>Runs scored by each batting team in each inning (aggregated across all games in the data).</t>
  </si>
  <si>
    <t>6</t>
  </si>
  <si>
    <t>7</t>
  </si>
  <si>
    <t>8</t>
  </si>
  <si>
    <t>9</t>
  </si>
  <si>
    <t>Extras</t>
  </si>
  <si>
    <t>Total R</t>
  </si>
  <si>
    <t>Runs / Game*</t>
  </si>
  <si>
    <t>*Runs per game = total runs / distinct games batted. Inning read from the INNING column (7T / 7B). Chart plots the first two teams listed.</t>
  </si>
  <si>
    <t>Play-Type Event Map</t>
  </si>
  <si>
    <t>Every counting stat is driven by this map. Add any new PLAY TYPE found in the full dataset (see Lists!C9) and tick its flags (1 = yes).</t>
  </si>
  <si>
    <t>Play Type (exact text in column AJ)</t>
  </si>
  <si>
    <t>TRIPLE</t>
  </si>
  <si>
    <t>STRIKEOUT DOUBLE PLAY</t>
  </si>
  <si>
    <t>STRIKEOUT - DP</t>
  </si>
  <si>
    <t>BUNT GROUNDOUT</t>
  </si>
  <si>
    <t>BUNT POP OUT</t>
  </si>
  <si>
    <t>BUNT LINEOUT</t>
  </si>
  <si>
    <t>FIELDERS CHOICE</t>
  </si>
  <si>
    <t>FIELDERS CHOICE OUT</t>
  </si>
  <si>
    <t>TRIPLE PLAY</t>
  </si>
  <si>
    <t>SAC FLY DOUBLE PLAY</t>
  </si>
  <si>
    <t>SAC BUNT DOUBLE PLAY</t>
  </si>
  <si>
    <t>FIELD ERROR</t>
  </si>
  <si>
    <t>CATCHER INTERFERENCE</t>
  </si>
  <si>
    <t>PICKOFF</t>
  </si>
  <si>
    <t>STOLEN BASE</t>
  </si>
  <si>
    <t>Notes: 'DOUBLE PLAY' in this feed can be a strikeout plus caught-stealing; re-flag it if your full data shows otherwise. Rows with a blank play type (steals, wild pitches) are events, not plate appearances.</t>
  </si>
  <si>
    <t>Lists, Settings &amp; Data Checks</t>
  </si>
  <si>
    <t>Helper lists that drive drop-downs and the dynamic data range. Blue = editable input.</t>
  </si>
  <si>
    <t>Data range</t>
  </si>
  <si>
    <t>Batting teams</t>
  </si>
  <si>
    <t>Pitching teams</t>
  </si>
  <si>
    <t>Batters</t>
  </si>
  <si>
    <t>Pitchers</t>
  </si>
  <si>
    <t>Last populated data row (auto)</t>
  </si>
  <si>
    <t>Plate-appearance rows in data (auto)</t>
  </si>
  <si>
    <t>Total event rows in data (auto)</t>
  </si>
  <si>
    <t>Unmapped play types (add them to Event Map)</t>
  </si>
  <si>
    <t>FIP constant (league-dependent)</t>
  </si>
  <si>
    <t>Minimum PA to rank batters</t>
  </si>
  <si>
    <t>Minimum batters faced to rank pitchers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</si>
</sst>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d/yyyy"/>
    <numFmt numFmtId="165" formatCode=".000;\-.000;&quot;.000&quot;"/>
    <numFmt numFmtId="166" formatCode="0.0%"/>
    <numFmt numFmtId="167" formatCode="0.0"/>
    <numFmt numFmtId="168" formatCode="#,##0;\-#,##0;\–"/>
    <numFmt numFmtId="169" formatCode="0;\-0;&quot;&quot;"/>
  </numFmts>
  <fonts count="19" x14ac:knownFonts="1">
    <font>
      <sz val="11"/>
      <color theme="1"/>
      <name val="Calibri"/>
      <family val="2"/>
      <charset val="1"/>
    </font>
    <font>
      <sz val="8"/>
      <color theme="1"/>
      <name val="Calibri"/>
      <family val="2"/>
      <charset val="1"/>
    </font>
    <font>
      <sz val="8"/>
      <name val="Calibri"/>
      <family val="2"/>
      <charset val="1"/>
    </font>
    <font>
      <b/>
      <sz val="14"/>
      <name val="Calibri"/>
      <family val="2"/>
      <charset val="1"/>
    </font>
    <font>
      <b/>
      <sz val="8"/>
      <color theme="0"/>
      <name val="Calibri"/>
      <family val="2"/>
      <charset val="1"/>
    </font>
    <font>
      <b/>
      <u/>
      <sz val="8"/>
      <color theme="0"/>
      <name val="Calibri"/>
      <family val="2"/>
      <charset val="1"/>
    </font>
    <font>
      <u/>
      <sz val="11"/>
      <color theme="10"/>
      <name val="Calibri"/>
      <family val="2"/>
      <charset val="1"/>
    </font>
    <font>
      <b/>
      <sz val="14"/>
      <color rgb="FF00B050"/>
      <name val="Calibri"/>
      <family val="2"/>
      <charset val="1"/>
    </font>
    <font>
      <b/>
      <sz val="14"/>
      <color rgb="FFFF0000"/>
      <name val="Calibri"/>
      <family val="2"/>
      <charset val="1"/>
    </font>
    <font>
      <b/>
      <sz val="8"/>
      <color theme="1"/>
      <name val="Calibri"/>
      <family val="2"/>
      <charset val="1"/>
    </font>
    <font>
      <b/>
      <sz val="16"/>
      <color rgb="FF1F3864"/>
      <name val="Calibri"/>
      <family val="2"/>
    </font>
    <font>
      <sz val="10"/>
      <color rgb="FF595959"/>
      <name val="Calibri"/>
      <family val="2"/>
    </font>
    <font>
      <b/>
      <sz val="12"/>
      <color rgb="FF1F3864"/>
      <name val="Calibri"/>
      <family val="2"/>
    </font>
    <font>
      <sz val="11"/>
      <color rgb="FF000000"/>
      <name val="Calibri"/>
      <family val="2"/>
    </font>
    <font>
      <sz val="11"/>
      <color rgb="FF008000"/>
      <name val="Calibri"/>
      <family val="2"/>
    </font>
    <font>
      <b/>
      <sz val="11"/>
      <color rgb="FFFFFFFF"/>
      <name val="Calibri"/>
      <family val="2"/>
    </font>
    <font>
      <b/>
      <sz val="11"/>
      <name val="Calibri"/>
      <family val="2"/>
    </font>
    <font>
      <b/>
      <sz val="11"/>
      <color rgb="FF008000"/>
      <name val="Calibri"/>
      <family val="2"/>
    </font>
    <font>
      <sz val="11"/>
      <color rgb="FF0000FF"/>
      <name val="Calibri"/>
      <family val="2"/>
    </font>
  </fonts>
  <fills count="9">
    <fill>
      <patternFill patternType="none"/>
    </fill>
    <fill>
      <patternFill patternType="gray125"/>
    </fill>
    <fill>
      <patternFill patternType="solid">
        <fgColor theme="0" tint="-4.9989318521683403E-2"/>
        <bgColor rgb="FFFFFFFF"/>
      </patternFill>
    </fill>
    <fill>
      <patternFill patternType="solid">
        <fgColor theme="0" tint="-0.249977111117893"/>
        <bgColor rgb="FFA9D08E"/>
      </patternFill>
    </fill>
    <fill>
      <patternFill patternType="solid">
        <fgColor theme="1"/>
        <bgColor rgb="FF003300"/>
      </patternFill>
    </fill>
    <fill>
      <patternFill patternType="solid">
        <fgColor theme="0" tint="-0.14999847407452621"/>
        <bgColor rgb="FFF2F2F2"/>
      </patternFill>
    </fill>
    <fill>
      <patternFill patternType="solid">
        <fgColor theme="0"/>
        <bgColor rgb="FFF2F2F2"/>
      </patternFill>
    </fill>
    <fill>
      <patternFill patternType="solid">
        <fgColor rgb="FF1F3864"/>
        <bgColor rgb="FF333333"/>
      </patternFill>
    </fill>
    <fill>
      <patternFill patternType="solid">
        <fgColor rgb="FFFFF2CC"/>
        <bgColor rgb="FFF2F2F2"/>
      </patternFill>
    </fill>
  </fills>
  <borders count="13">
    <border>
      <left/>
      <right/>
      <top/>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top style="thick">
        <color auto="1"/>
      </top>
      <bottom style="thick">
        <color auto="1"/>
      </bottom>
      <diagonal/>
    </border>
    <border>
      <left style="thick">
        <color auto="1"/>
      </left>
      <right/>
      <top/>
      <bottom/>
      <diagonal/>
    </border>
    <border>
      <left/>
      <right style="thick">
        <color auto="1"/>
      </right>
      <top/>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right/>
      <top style="thin">
        <color rgb="FFBFBFBF"/>
      </top>
      <bottom/>
      <diagonal/>
    </border>
  </borders>
  <cellStyleXfs count="2">
    <xf numFmtId="0" fontId="0" fillId="0" borderId="0"/>
    <xf numFmtId="0" fontId="6" fillId="0" borderId="0"/>
  </cellStyleXfs>
  <cellXfs count="91">
    <xf numFmtId="0" fontId="0" fillId="0" borderId="0" xfId="0"/>
    <xf numFmtId="0" fontId="4" fillId="4" borderId="3"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 fillId="0" borderId="0" xfId="0" applyFont="1"/>
    <xf numFmtId="0" fontId="1" fillId="0" borderId="0" xfId="0" applyFont="1" applyAlignment="1">
      <alignment horizontal="center"/>
    </xf>
    <xf numFmtId="0" fontId="2" fillId="0" borderId="0" xfId="0" applyFont="1" applyAlignment="1">
      <alignment horizontal="center"/>
    </xf>
    <xf numFmtId="49" fontId="1" fillId="0" borderId="0" xfId="0" applyNumberFormat="1" applyFont="1"/>
    <xf numFmtId="49" fontId="4" fillId="0" borderId="0" xfId="0" applyNumberFormat="1" applyFont="1" applyAlignment="1">
      <alignment vertical="center"/>
    </xf>
    <xf numFmtId="0" fontId="5" fillId="4" borderId="2" xfId="1"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3" xfId="0" applyFont="1" applyFill="1" applyBorder="1" applyAlignment="1">
      <alignment horizontal="left" vertical="center" wrapText="1"/>
    </xf>
    <xf numFmtId="49" fontId="1" fillId="0" borderId="0" xfId="0" applyNumberFormat="1" applyFont="1" applyAlignment="1">
      <alignment horizontal="center" vertical="center" wrapText="1"/>
    </xf>
    <xf numFmtId="0" fontId="1" fillId="5" borderId="5" xfId="0" applyFont="1" applyFill="1" applyBorder="1" applyAlignment="1">
      <alignment horizontal="center"/>
    </xf>
    <xf numFmtId="0" fontId="1" fillId="5" borderId="0" xfId="0" applyFont="1" applyFill="1" applyAlignment="1">
      <alignment horizontal="center"/>
    </xf>
    <xf numFmtId="164" fontId="1" fillId="5" borderId="6" xfId="0" applyNumberFormat="1" applyFont="1" applyFill="1" applyBorder="1" applyAlignment="1">
      <alignment horizontal="center"/>
    </xf>
    <xf numFmtId="0" fontId="1" fillId="5" borderId="5" xfId="0" applyFont="1" applyFill="1" applyBorder="1" applyAlignment="1">
      <alignment horizontal="center" vertical="center"/>
    </xf>
    <xf numFmtId="0" fontId="1" fillId="5" borderId="6" xfId="0" applyFont="1" applyFill="1" applyBorder="1" applyAlignment="1">
      <alignment horizontal="left" vertical="center"/>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5" borderId="9"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8" xfId="0" applyFont="1" applyFill="1" applyBorder="1" applyAlignment="1">
      <alignment horizontal="center" vertical="center"/>
    </xf>
    <xf numFmtId="0" fontId="8" fillId="5" borderId="11" xfId="0" applyFont="1" applyFill="1" applyBorder="1" applyAlignment="1">
      <alignment horizontal="center" vertical="center"/>
    </xf>
    <xf numFmtId="0" fontId="9" fillId="5" borderId="0" xfId="0" applyFont="1" applyFill="1" applyAlignment="1">
      <alignment horizontal="center"/>
    </xf>
    <xf numFmtId="0" fontId="1" fillId="5" borderId="0" xfId="0" applyFont="1" applyFill="1" applyAlignment="1">
      <alignment horizontal="center" vertical="center"/>
    </xf>
    <xf numFmtId="0" fontId="1" fillId="6" borderId="5" xfId="0" applyFont="1" applyFill="1" applyBorder="1" applyAlignment="1">
      <alignment horizontal="center"/>
    </xf>
    <xf numFmtId="0" fontId="1" fillId="6" borderId="0" xfId="0" applyFont="1" applyFill="1" applyAlignment="1">
      <alignment horizontal="center"/>
    </xf>
    <xf numFmtId="164" fontId="1" fillId="6" borderId="6" xfId="0" applyNumberFormat="1" applyFont="1" applyFill="1" applyBorder="1" applyAlignment="1">
      <alignment horizontal="center"/>
    </xf>
    <xf numFmtId="0" fontId="1" fillId="6" borderId="5" xfId="0" applyFont="1" applyFill="1" applyBorder="1" applyAlignment="1">
      <alignment horizontal="center" vertical="center"/>
    </xf>
    <xf numFmtId="0" fontId="1" fillId="6" borderId="6" xfId="0" applyFont="1" applyFill="1" applyBorder="1" applyAlignment="1">
      <alignment horizontal="left" vertical="center"/>
    </xf>
    <xf numFmtId="0" fontId="7" fillId="6" borderId="7" xfId="0" applyFont="1" applyFill="1" applyBorder="1" applyAlignment="1">
      <alignment horizontal="center" vertical="center"/>
    </xf>
    <xf numFmtId="0" fontId="7" fillId="6" borderId="8" xfId="0" applyFont="1" applyFill="1" applyBorder="1" applyAlignment="1">
      <alignment horizontal="center" vertical="center"/>
    </xf>
    <xf numFmtId="0" fontId="7" fillId="6" borderId="9" xfId="0" applyFont="1" applyFill="1" applyBorder="1" applyAlignment="1">
      <alignment horizontal="center" vertical="center"/>
    </xf>
    <xf numFmtId="0" fontId="8" fillId="6" borderId="10"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11" xfId="0" applyFont="1" applyFill="1" applyBorder="1" applyAlignment="1">
      <alignment horizontal="center" vertical="center"/>
    </xf>
    <xf numFmtId="0" fontId="1" fillId="6" borderId="0" xfId="0" applyFont="1" applyFill="1" applyAlignment="1">
      <alignment horizontal="center" vertical="center"/>
    </xf>
    <xf numFmtId="0" fontId="10" fillId="0" borderId="0" xfId="0" applyFont="1"/>
    <xf numFmtId="0" fontId="11" fillId="0" borderId="0" xfId="0" applyFont="1"/>
    <xf numFmtId="0" fontId="12" fillId="0" borderId="0" xfId="0" applyFont="1"/>
    <xf numFmtId="0" fontId="13" fillId="0" borderId="0" xfId="0" applyFont="1"/>
    <xf numFmtId="3" fontId="14" fillId="0" borderId="0" xfId="0" applyNumberFormat="1" applyFont="1" applyAlignment="1">
      <alignment horizontal="right"/>
    </xf>
    <xf numFmtId="3" fontId="13" fillId="0" borderId="0" xfId="0" applyNumberFormat="1" applyFont="1" applyAlignment="1">
      <alignment horizontal="right"/>
    </xf>
    <xf numFmtId="0" fontId="15" fillId="7" borderId="0" xfId="0" applyFont="1" applyFill="1" applyAlignment="1">
      <alignment horizontal="center" vertical="center" wrapText="1"/>
    </xf>
    <xf numFmtId="0" fontId="16" fillId="0" borderId="0" xfId="0" applyFont="1"/>
    <xf numFmtId="0" fontId="17" fillId="0" borderId="0" xfId="0" applyFont="1" applyAlignment="1">
      <alignment horizontal="center"/>
    </xf>
    <xf numFmtId="3" fontId="13" fillId="0" borderId="0" xfId="0" applyNumberFormat="1" applyFont="1" applyAlignment="1">
      <alignment horizontal="center"/>
    </xf>
    <xf numFmtId="0" fontId="13" fillId="0" borderId="0" xfId="0" applyFont="1" applyAlignment="1">
      <alignment horizontal="center"/>
    </xf>
    <xf numFmtId="0" fontId="13" fillId="2" borderId="0" xfId="0" applyFont="1" applyFill="1"/>
    <xf numFmtId="165" fontId="13" fillId="2" borderId="0" xfId="0" applyNumberFormat="1" applyFont="1" applyFill="1" applyAlignment="1">
      <alignment horizontal="center"/>
    </xf>
    <xf numFmtId="0" fontId="13" fillId="2" borderId="0" xfId="0" applyFont="1" applyFill="1" applyAlignment="1">
      <alignment horizontal="center"/>
    </xf>
    <xf numFmtId="165" fontId="13" fillId="0" borderId="0" xfId="0" applyNumberFormat="1" applyFont="1" applyAlignment="1">
      <alignment horizontal="center"/>
    </xf>
    <xf numFmtId="2" fontId="13" fillId="0" borderId="0" xfId="0" applyNumberFormat="1" applyFont="1" applyAlignment="1">
      <alignment horizontal="center"/>
    </xf>
    <xf numFmtId="2" fontId="13" fillId="2" borderId="0" xfId="0" applyNumberFormat="1" applyFont="1" applyFill="1" applyAlignment="1">
      <alignment horizontal="center"/>
    </xf>
    <xf numFmtId="166" fontId="13" fillId="0" borderId="0" xfId="0" applyNumberFormat="1" applyFont="1" applyAlignment="1">
      <alignment horizontal="center"/>
    </xf>
    <xf numFmtId="166" fontId="13" fillId="2" borderId="0" xfId="0" applyNumberFormat="1" applyFont="1" applyFill="1" applyAlignment="1">
      <alignment horizontal="center"/>
    </xf>
    <xf numFmtId="0" fontId="13" fillId="0" borderId="0" xfId="0" applyFont="1" applyAlignment="1">
      <alignment horizontal="left"/>
    </xf>
    <xf numFmtId="49" fontId="13" fillId="0" borderId="0" xfId="0" applyNumberFormat="1" applyFont="1" applyAlignment="1">
      <alignment horizontal="center"/>
    </xf>
    <xf numFmtId="165" fontId="13" fillId="0" borderId="0" xfId="0" applyNumberFormat="1" applyFont="1" applyAlignment="1">
      <alignment horizontal="right"/>
    </xf>
    <xf numFmtId="166" fontId="13" fillId="0" borderId="0" xfId="0" applyNumberFormat="1" applyFont="1" applyAlignment="1">
      <alignment horizontal="right"/>
    </xf>
    <xf numFmtId="2" fontId="13" fillId="0" borderId="0" xfId="0" applyNumberFormat="1" applyFont="1" applyAlignment="1">
      <alignment horizontal="right"/>
    </xf>
    <xf numFmtId="0" fontId="13" fillId="0" borderId="0" xfId="0" applyFont="1" applyAlignment="1">
      <alignment horizontal="right"/>
    </xf>
    <xf numFmtId="1" fontId="13" fillId="0" borderId="0" xfId="0" applyNumberFormat="1" applyFont="1" applyAlignment="1">
      <alignment horizontal="right"/>
    </xf>
    <xf numFmtId="0" fontId="18" fillId="8" borderId="0" xfId="0" applyFont="1" applyFill="1" applyAlignment="1">
      <alignment horizontal="center"/>
    </xf>
    <xf numFmtId="3" fontId="16" fillId="0" borderId="0" xfId="0" applyNumberFormat="1" applyFont="1" applyAlignment="1">
      <alignment horizontal="right"/>
    </xf>
    <xf numFmtId="165" fontId="16" fillId="0" borderId="0" xfId="0" applyNumberFormat="1" applyFont="1" applyAlignment="1">
      <alignment horizontal="right"/>
    </xf>
    <xf numFmtId="166" fontId="16" fillId="0" borderId="0" xfId="0" applyNumberFormat="1" applyFont="1" applyAlignment="1">
      <alignment horizontal="right"/>
    </xf>
    <xf numFmtId="3" fontId="13" fillId="2" borderId="0" xfId="0" applyNumberFormat="1" applyFont="1" applyFill="1" applyAlignment="1">
      <alignment horizontal="right"/>
    </xf>
    <xf numFmtId="165" fontId="13" fillId="2" borderId="0" xfId="0" applyNumberFormat="1" applyFont="1" applyFill="1" applyAlignment="1">
      <alignment horizontal="right"/>
    </xf>
    <xf numFmtId="166" fontId="13" fillId="2" borderId="0" xfId="0" applyNumberFormat="1" applyFont="1" applyFill="1" applyAlignment="1">
      <alignment horizontal="right"/>
    </xf>
    <xf numFmtId="167" fontId="13" fillId="0" borderId="0" xfId="0" applyNumberFormat="1" applyFont="1" applyAlignment="1">
      <alignment horizontal="right"/>
    </xf>
    <xf numFmtId="3" fontId="16" fillId="0" borderId="12" xfId="0" applyNumberFormat="1" applyFont="1" applyBorder="1"/>
    <xf numFmtId="168" fontId="13" fillId="0" borderId="0" xfId="0" applyNumberFormat="1" applyFont="1" applyAlignment="1">
      <alignment horizontal="center"/>
    </xf>
    <xf numFmtId="3" fontId="16" fillId="0" borderId="0" xfId="0" applyNumberFormat="1" applyFont="1" applyAlignment="1">
      <alignment horizontal="center"/>
    </xf>
    <xf numFmtId="3" fontId="16" fillId="0" borderId="12" xfId="0" applyNumberFormat="1" applyFont="1" applyBorder="1" applyAlignment="1">
      <alignment horizontal="center"/>
    </xf>
    <xf numFmtId="9" fontId="0" fillId="0" borderId="0" xfId="0" applyNumberFormat="1" applyAlignment="1">
      <alignment horizontal="center"/>
    </xf>
    <xf numFmtId="0" fontId="14" fillId="0" borderId="0" xfId="0" applyFont="1"/>
    <xf numFmtId="168" fontId="16" fillId="0" borderId="0" xfId="0" applyNumberFormat="1" applyFont="1" applyAlignment="1">
      <alignment horizontal="center"/>
    </xf>
    <xf numFmtId="168" fontId="14" fillId="0" borderId="0" xfId="0" applyNumberFormat="1" applyFont="1" applyAlignment="1">
      <alignment horizontal="center"/>
    </xf>
    <xf numFmtId="0" fontId="18" fillId="0" borderId="0" xfId="0" applyFont="1"/>
    <xf numFmtId="169" fontId="18" fillId="0" borderId="0" xfId="0" applyNumberFormat="1" applyFont="1" applyAlignment="1">
      <alignment horizontal="center"/>
    </xf>
    <xf numFmtId="0" fontId="0" fillId="8" borderId="0" xfId="0" applyFill="1"/>
    <xf numFmtId="0" fontId="15" fillId="7" borderId="0" xfId="0" applyFont="1" applyFill="1"/>
    <xf numFmtId="2" fontId="18" fillId="8" borderId="0" xfId="0" applyNumberFormat="1" applyFont="1" applyFill="1" applyAlignment="1">
      <alignment horizontal="right"/>
    </xf>
    <xf numFmtId="0" fontId="18" fillId="8" borderId="0" xfId="0" applyFont="1" applyFill="1" applyAlignment="1">
      <alignment horizontal="right"/>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cellXfs>
  <cellStyles count="2">
    <cellStyle name="Hyperlink" xfId="1" builtinId="8"/>
    <cellStyle name="Normal" xfId="0" builtinId="0"/>
  </cellStyles>
  <dxfs count="8">
    <dxf>
      <font>
        <strike val="0"/>
        <color rgb="FFFFFFFF"/>
      </font>
      <fill>
        <patternFill>
          <bgColor rgb="FFFF0000"/>
        </patternFill>
      </fill>
    </dxf>
    <dxf>
      <font>
        <color rgb="FFFFFFFF"/>
      </font>
      <fill>
        <patternFill>
          <bgColor rgb="FF0070C0"/>
        </patternFill>
      </fill>
    </dxf>
    <dxf>
      <font>
        <color rgb="FFFFFFFF"/>
      </font>
      <fill>
        <patternFill>
          <bgColor rgb="FF92D050"/>
        </patternFill>
      </fill>
    </dxf>
    <dxf>
      <font>
        <color rgb="FFFFFFFF"/>
      </font>
      <fill>
        <patternFill>
          <bgColor rgb="FF80B1CA"/>
        </patternFill>
      </fill>
    </dxf>
    <dxf>
      <font>
        <strike val="0"/>
        <color rgb="FFFFFFFF"/>
      </font>
      <fill>
        <patternFill>
          <bgColor rgb="FFFF0000"/>
        </patternFill>
      </fill>
    </dxf>
    <dxf>
      <font>
        <color rgb="FFFFFFFF"/>
      </font>
      <fill>
        <patternFill>
          <bgColor rgb="FF0070C0"/>
        </patternFill>
      </fill>
    </dxf>
    <dxf>
      <font>
        <color rgb="FFFFFFFF"/>
      </font>
      <fill>
        <patternFill>
          <bgColor rgb="FF92D050"/>
        </patternFill>
      </fill>
    </dxf>
    <dxf>
      <font>
        <color rgb="FFFFFFFF"/>
      </font>
      <fill>
        <patternFill>
          <bgColor rgb="FF80B1C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C0"/>
      <rgbColor rgb="FFBFBFBF"/>
      <rgbColor rgb="FF8B8B8B"/>
      <rgbColor rgb="FF8EA9DB"/>
      <rgbColor rgb="FF993366"/>
      <rgbColor rgb="FFFFF2CC"/>
      <rgbColor rgb="FFF2F2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A9D08E"/>
      <rgbColor rgb="FFFFFF99"/>
      <rgbColor rgb="FF80B1CA"/>
      <rgbColor rgb="FFFF99CC"/>
      <rgbColor rgb="FFCC99FF"/>
      <rgbColor rgb="FFF4B183"/>
      <rgbColor rgb="FF3366FF"/>
      <rgbColor rgb="FF33CCCC"/>
      <rgbColor rgb="FF92D050"/>
      <rgbColor rgb="FFFFCC00"/>
      <rgbColor rgb="FFFF9900"/>
      <rgbColor rgb="FFFF6600"/>
      <rgbColor rgb="FF595959"/>
      <rgbColor rgb="FFA6A6A6"/>
      <rgbColor rgb="FF1F3864"/>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Team slash line comparison</a:t>
            </a:r>
          </a:p>
        </c:rich>
      </c:tx>
      <c:overlay val="0"/>
      <c:spPr>
        <a:noFill/>
        <a:ln w="0">
          <a:noFill/>
        </a:ln>
      </c:spPr>
    </c:title>
    <c:autoTitleDeleted val="0"/>
    <c:plotArea>
      <c:layout/>
      <c:barChart>
        <c:barDir val="col"/>
        <c:grouping val="clustered"/>
        <c:varyColors val="0"/>
        <c:ser>
          <c:idx val="0"/>
          <c:order val="0"/>
          <c:tx>
            <c:strRef>
              <c:f>'Team Offense'!$V$5</c:f>
              <c:strCache>
                <c:ptCount val="1"/>
                <c:pt idx="0">
                  <c:v>AVG</c:v>
                </c:pt>
              </c:strCache>
            </c:strRef>
          </c:tx>
          <c:spPr>
            <a:solidFill>
              <a:srgbClr val="1F386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'Team Offense'!$B$6:$B$7</c:f>
              <c:strCache>
                <c:ptCount val="2"/>
                <c:pt idx="0">
                  <c:v>Los Angeles Dodgers</c:v>
                </c:pt>
                <c:pt idx="1">
                  <c:v>Toronto Blue Jays</c:v>
                </c:pt>
              </c:strCache>
            </c:strRef>
          </c:cat>
          <c:val>
            <c:numRef>
              <c:f>'Team Offense'!$V$6:$V$7</c:f>
              <c:numCache>
                <c:formatCode>.000;\-.000;".000"</c:formatCode>
                <c:ptCount val="2"/>
                <c:pt idx="0">
                  <c:v>0.26829268292682928</c:v>
                </c:pt>
                <c:pt idx="1">
                  <c:v>0.32558139534883723</c:v>
                </c:pt>
              </c:numCache>
            </c:numRef>
          </c:val>
          <c:extLst>
            <c:ext xmlns:c16="http://schemas.microsoft.com/office/drawing/2014/chart" uri="{C3380CC4-5D6E-409C-BE32-E72D297353CC}">
              <c16:uniqueId val="{00000000-0E7E-F243-9666-FC32D7E58E13}"/>
            </c:ext>
          </c:extLst>
        </c:ser>
        <c:ser>
          <c:idx val="1"/>
          <c:order val="1"/>
          <c:tx>
            <c:strRef>
              <c:f>'Team Offense'!$W$5</c:f>
              <c:strCache>
                <c:ptCount val="1"/>
                <c:pt idx="0">
                  <c:v>OBP</c:v>
                </c:pt>
              </c:strCache>
            </c:strRef>
          </c:tx>
          <c:spPr>
            <a:solidFill>
              <a:srgbClr val="8EA9DB"/>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'Team Offense'!$B$6:$B$7</c:f>
              <c:strCache>
                <c:ptCount val="2"/>
                <c:pt idx="0">
                  <c:v>Los Angeles Dodgers</c:v>
                </c:pt>
                <c:pt idx="1">
                  <c:v>Toronto Blue Jays</c:v>
                </c:pt>
              </c:strCache>
            </c:strRef>
          </c:cat>
          <c:val>
            <c:numRef>
              <c:f>'Team Offense'!$W$6:$W$7</c:f>
              <c:numCache>
                <c:formatCode>.000;\-.000;".000"</c:formatCode>
                <c:ptCount val="2"/>
                <c:pt idx="0">
                  <c:v>0.33333333333333331</c:v>
                </c:pt>
                <c:pt idx="1">
                  <c:v>0.40816326530612246</c:v>
                </c:pt>
              </c:numCache>
            </c:numRef>
          </c:val>
          <c:extLst>
            <c:ext xmlns:c16="http://schemas.microsoft.com/office/drawing/2014/chart" uri="{C3380CC4-5D6E-409C-BE32-E72D297353CC}">
              <c16:uniqueId val="{00000001-0E7E-F243-9666-FC32D7E58E13}"/>
            </c:ext>
          </c:extLst>
        </c:ser>
        <c:ser>
          <c:idx val="2"/>
          <c:order val="2"/>
          <c:tx>
            <c:strRef>
              <c:f>'Team Offense'!$X$5</c:f>
              <c:strCache>
                <c:ptCount val="1"/>
                <c:pt idx="0">
                  <c:v>SLG</c:v>
                </c:pt>
              </c:strCache>
            </c:strRef>
          </c:tx>
          <c:spPr>
            <a:solidFill>
              <a:srgbClr val="F4B183"/>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'Team Offense'!$B$6:$B$7</c:f>
              <c:strCache>
                <c:ptCount val="2"/>
                <c:pt idx="0">
                  <c:v>Los Angeles Dodgers</c:v>
                </c:pt>
                <c:pt idx="1">
                  <c:v>Toronto Blue Jays</c:v>
                </c:pt>
              </c:strCache>
            </c:strRef>
          </c:cat>
          <c:val>
            <c:numRef>
              <c:f>'Team Offense'!$X$6:$X$7</c:f>
              <c:numCache>
                <c:formatCode>.000;\-.000;".000"</c:formatCode>
                <c:ptCount val="2"/>
                <c:pt idx="0">
                  <c:v>0.51219512195121952</c:v>
                </c:pt>
                <c:pt idx="1">
                  <c:v>0.46511627906976744</c:v>
                </c:pt>
              </c:numCache>
            </c:numRef>
          </c:val>
          <c:extLst>
            <c:ext xmlns:c16="http://schemas.microsoft.com/office/drawing/2014/chart" uri="{C3380CC4-5D6E-409C-BE32-E72D297353CC}">
              <c16:uniqueId val="{00000002-0E7E-F243-9666-FC32D7E58E13}"/>
            </c:ext>
          </c:extLst>
        </c:ser>
        <c:ser>
          <c:idx val="3"/>
          <c:order val="3"/>
          <c:tx>
            <c:strRef>
              <c:f>'Team Offense'!$Y$5</c:f>
              <c:strCache>
                <c:ptCount val="1"/>
                <c:pt idx="0">
                  <c:v>OPS</c:v>
                </c:pt>
              </c:strCache>
            </c:strRef>
          </c:tx>
          <c:spPr>
            <a:solidFill>
              <a:srgbClr val="A9D08E"/>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'Team Offense'!$B$6:$B$7</c:f>
              <c:strCache>
                <c:ptCount val="2"/>
                <c:pt idx="0">
                  <c:v>Los Angeles Dodgers</c:v>
                </c:pt>
                <c:pt idx="1">
                  <c:v>Toronto Blue Jays</c:v>
                </c:pt>
              </c:strCache>
            </c:strRef>
          </c:cat>
          <c:val>
            <c:numRef>
              <c:f>'Team Offense'!$Y$6:$Y$7</c:f>
              <c:numCache>
                <c:formatCode>.000;\-.000;".000"</c:formatCode>
                <c:ptCount val="2"/>
                <c:pt idx="0">
                  <c:v>0.84552845528455278</c:v>
                </c:pt>
                <c:pt idx="1">
                  <c:v>0.87327954437588984</c:v>
                </c:pt>
              </c:numCache>
            </c:numRef>
          </c:val>
          <c:extLst>
            <c:ext xmlns:c16="http://schemas.microsoft.com/office/drawing/2014/chart" uri="{C3380CC4-5D6E-409C-BE32-E72D297353CC}">
              <c16:uniqueId val="{00000003-0E7E-F243-9666-FC32D7E58E13}"/>
            </c:ext>
          </c:extLst>
        </c:ser>
        <c:dLbls>
          <c:showLegendKey val="0"/>
          <c:showVal val="0"/>
          <c:showCatName val="0"/>
          <c:showSerName val="0"/>
          <c:showPercent val="0"/>
          <c:showBubbleSize val="0"/>
        </c:dLbls>
        <c:gapWidth val="150"/>
        <c:axId val="72127347"/>
        <c:axId val="19757258"/>
      </c:barChart>
      <c:catAx>
        <c:axId val="72127347"/>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Calibri"/>
              </a:defRPr>
            </a:pPr>
            <a:endParaRPr lang="en-US"/>
          </a:p>
        </c:txPr>
        <c:crossAx val="19757258"/>
        <c:crosses val="autoZero"/>
        <c:auto val="1"/>
        <c:lblAlgn val="ctr"/>
        <c:lblOffset val="100"/>
        <c:noMultiLvlLbl val="0"/>
      </c:catAx>
      <c:valAx>
        <c:axId val="19757258"/>
        <c:scaling>
          <c:orientation val="minMax"/>
        </c:scaling>
        <c:delete val="0"/>
        <c:axPos val="l"/>
        <c:numFmt formatCode=".000" sourceLinked="0"/>
        <c:majorTickMark val="none"/>
        <c:minorTickMark val="none"/>
        <c:tickLblPos val="nextTo"/>
        <c:spPr>
          <a:ln w="6480">
            <a:solidFill>
              <a:srgbClr val="8B8B8B"/>
            </a:solidFill>
            <a:round/>
          </a:ln>
        </c:spPr>
        <c:txPr>
          <a:bodyPr/>
          <a:lstStyle/>
          <a:p>
            <a:pPr>
              <a:defRPr sz="1000" b="0" u="none" strike="noStrike">
                <a:solidFill>
                  <a:srgbClr val="000000"/>
                </a:solidFill>
                <a:uFillTx/>
                <a:latin typeface="Calibri"/>
              </a:defRPr>
            </a:pPr>
            <a:endParaRPr lang="en-US"/>
          </a:p>
        </c:txPr>
        <c:crossAx val="72127347"/>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sz="1800" b="1" u="none" strike="noStrike">
                <a:solidFill>
                  <a:srgbClr val="000000"/>
                </a:solidFill>
                <a:uFillTx/>
                <a:latin typeface="Calibri"/>
              </a:rPr>
              <a:t>Hits by field location</a:t>
            </a:r>
          </a:p>
        </c:rich>
      </c:tx>
      <c:overlay val="0"/>
      <c:spPr>
        <a:noFill/>
        <a:ln w="0">
          <a:noFill/>
        </a:ln>
      </c:spPr>
    </c:title>
    <c:autoTitleDeleted val="0"/>
    <c:plotArea>
      <c:layout/>
      <c:barChart>
        <c:barDir val="col"/>
        <c:grouping val="clustered"/>
        <c:varyColors val="0"/>
        <c:ser>
          <c:idx val="0"/>
          <c:order val="0"/>
          <c:tx>
            <c:strRef>
              <c:f>'Batted Ball &amp; Spray'!$B$22</c:f>
              <c:strCache>
                <c:ptCount val="1"/>
                <c:pt idx="0">
                  <c:v>All hits</c:v>
                </c:pt>
              </c:strCache>
            </c:strRef>
          </c:tx>
          <c:spPr>
            <a:solidFill>
              <a:srgbClr val="1F386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'Batted Ball &amp; Spray'!$C$18:$K$18</c:f>
              <c:strCache>
                <c:ptCount val="9"/>
                <c:pt idx="0">
                  <c:v>P</c:v>
                </c:pt>
                <c:pt idx="1">
                  <c:v>C</c:v>
                </c:pt>
                <c:pt idx="2">
                  <c:v>1B</c:v>
                </c:pt>
                <c:pt idx="3">
                  <c:v>2B</c:v>
                </c:pt>
                <c:pt idx="4">
                  <c:v>3B</c:v>
                </c:pt>
                <c:pt idx="5">
                  <c:v>SS</c:v>
                </c:pt>
                <c:pt idx="6">
                  <c:v>LF</c:v>
                </c:pt>
                <c:pt idx="7">
                  <c:v>CF</c:v>
                </c:pt>
                <c:pt idx="8">
                  <c:v>RF</c:v>
                </c:pt>
              </c:strCache>
            </c:strRef>
          </c:cat>
          <c:val>
            <c:numRef>
              <c:f>'Batted Ball &amp; Spray'!$C$22:$K$22</c:f>
              <c:numCache>
                <c:formatCode>#,##0</c:formatCode>
                <c:ptCount val="9"/>
                <c:pt idx="0">
                  <c:v>1</c:v>
                </c:pt>
                <c:pt idx="1">
                  <c:v>0</c:v>
                </c:pt>
                <c:pt idx="2">
                  <c:v>0</c:v>
                </c:pt>
                <c:pt idx="3">
                  <c:v>0</c:v>
                </c:pt>
                <c:pt idx="4">
                  <c:v>0</c:v>
                </c:pt>
                <c:pt idx="5">
                  <c:v>0</c:v>
                </c:pt>
                <c:pt idx="6">
                  <c:v>7</c:v>
                </c:pt>
                <c:pt idx="7">
                  <c:v>5</c:v>
                </c:pt>
                <c:pt idx="8">
                  <c:v>8</c:v>
                </c:pt>
              </c:numCache>
            </c:numRef>
          </c:val>
          <c:extLst>
            <c:ext xmlns:c16="http://schemas.microsoft.com/office/drawing/2014/chart" uri="{C3380CC4-5D6E-409C-BE32-E72D297353CC}">
              <c16:uniqueId val="{00000000-B595-F341-925A-0E518DEFE204}"/>
            </c:ext>
          </c:extLst>
        </c:ser>
        <c:dLbls>
          <c:showLegendKey val="0"/>
          <c:showVal val="0"/>
          <c:showCatName val="0"/>
          <c:showSerName val="0"/>
          <c:showPercent val="0"/>
          <c:showBubbleSize val="0"/>
        </c:dLbls>
        <c:gapWidth val="150"/>
        <c:axId val="84452582"/>
        <c:axId val="26937461"/>
      </c:barChart>
      <c:catAx>
        <c:axId val="84452582"/>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Calibri"/>
              </a:defRPr>
            </a:pPr>
            <a:endParaRPr lang="en-US"/>
          </a:p>
        </c:txPr>
        <c:crossAx val="26937461"/>
        <c:crosses val="autoZero"/>
        <c:auto val="1"/>
        <c:lblAlgn val="ctr"/>
        <c:lblOffset val="100"/>
        <c:noMultiLvlLbl val="0"/>
      </c:catAx>
      <c:valAx>
        <c:axId val="26937461"/>
        <c:scaling>
          <c:orientation val="minMax"/>
        </c:scaling>
        <c:delete val="0"/>
        <c:axPos val="l"/>
        <c:title>
          <c:tx>
            <c:rich>
              <a:bodyPr rot="-5400000"/>
              <a:lstStyle/>
              <a:p>
                <a:pPr>
                  <a:defRPr sz="1300" b="0" u="none" strike="noStrike">
                    <a:uFillTx/>
                    <a:latin typeface="Arial"/>
                  </a:defRPr>
                </a:pPr>
                <a:r>
                  <a:rPr sz="1000" b="1" u="none" strike="noStrike">
                    <a:solidFill>
                      <a:srgbClr val="000000"/>
                    </a:solidFill>
                    <a:uFillTx/>
                    <a:latin typeface="Calibri"/>
                  </a:rPr>
                  <a:t>Hits</a:t>
                </a:r>
              </a:p>
            </c:rich>
          </c:tx>
          <c:overlay val="0"/>
          <c:spPr>
            <a:noFill/>
            <a:ln w="0">
              <a:noFill/>
            </a:ln>
          </c:spPr>
        </c:title>
        <c:numFmt formatCode="#,##0"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Calibri"/>
              </a:defRPr>
            </a:pPr>
            <a:endParaRPr lang="en-US"/>
          </a:p>
        </c:txPr>
        <c:crossAx val="84452582"/>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Runs by inning</a:t>
            </a:r>
          </a:p>
        </c:rich>
      </c:tx>
      <c:overlay val="0"/>
      <c:spPr>
        <a:noFill/>
        <a:ln w="0">
          <a:noFill/>
        </a:ln>
      </c:spPr>
    </c:title>
    <c:autoTitleDeleted val="0"/>
    <c:plotArea>
      <c:layout/>
      <c:barChart>
        <c:barDir val="col"/>
        <c:grouping val="clustered"/>
        <c:varyColors val="0"/>
        <c:ser>
          <c:idx val="0"/>
          <c:order val="0"/>
          <c:tx>
            <c:strRef>
              <c:f>'Scoring by Inning'!$B$6</c:f>
              <c:strCache>
                <c:ptCount val="1"/>
                <c:pt idx="0">
                  <c:v>Los Angeles Dodgers</c:v>
                </c:pt>
              </c:strCache>
            </c:strRef>
          </c:tx>
          <c:spPr>
            <a:solidFill>
              <a:srgbClr val="1F3864"/>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'Scoring by Inning'!$C$5:$L$5</c:f>
              <c:strCache>
                <c:ptCount val="10"/>
                <c:pt idx="0">
                  <c:v>1</c:v>
                </c:pt>
                <c:pt idx="1">
                  <c:v>2</c:v>
                </c:pt>
                <c:pt idx="2">
                  <c:v>3</c:v>
                </c:pt>
                <c:pt idx="3">
                  <c:v>4</c:v>
                </c:pt>
                <c:pt idx="4">
                  <c:v>5</c:v>
                </c:pt>
                <c:pt idx="5">
                  <c:v>6</c:v>
                </c:pt>
                <c:pt idx="6">
                  <c:v>7</c:v>
                </c:pt>
                <c:pt idx="7">
                  <c:v>8</c:v>
                </c:pt>
                <c:pt idx="8">
                  <c:v>9</c:v>
                </c:pt>
                <c:pt idx="9">
                  <c:v>Extras</c:v>
                </c:pt>
              </c:strCache>
            </c:strRef>
          </c:cat>
          <c:val>
            <c:numRef>
              <c:f>'Scoring by Inning'!$C$6:$L$6</c:f>
              <c:numCache>
                <c:formatCode>#,##0;\-#,##0;\–</c:formatCode>
                <c:ptCount val="10"/>
                <c:pt idx="0">
                  <c:v>0</c:v>
                </c:pt>
                <c:pt idx="1">
                  <c:v>0</c:v>
                </c:pt>
                <c:pt idx="2">
                  <c:v>0</c:v>
                </c:pt>
                <c:pt idx="3">
                  <c:v>1</c:v>
                </c:pt>
                <c:pt idx="4">
                  <c:v>0</c:v>
                </c:pt>
                <c:pt idx="5">
                  <c:v>1</c:v>
                </c:pt>
                <c:pt idx="6">
                  <c:v>0</c:v>
                </c:pt>
                <c:pt idx="7">
                  <c:v>1</c:v>
                </c:pt>
                <c:pt idx="8">
                  <c:v>1</c:v>
                </c:pt>
                <c:pt idx="9">
                  <c:v>1</c:v>
                </c:pt>
              </c:numCache>
            </c:numRef>
          </c:val>
          <c:extLst>
            <c:ext xmlns:c16="http://schemas.microsoft.com/office/drawing/2014/chart" uri="{C3380CC4-5D6E-409C-BE32-E72D297353CC}">
              <c16:uniqueId val="{00000000-B784-8445-93AF-19E2A4E2804C}"/>
            </c:ext>
          </c:extLst>
        </c:ser>
        <c:ser>
          <c:idx val="1"/>
          <c:order val="1"/>
          <c:tx>
            <c:strRef>
              <c:f>'Scoring by Inning'!$B$7</c:f>
              <c:strCache>
                <c:ptCount val="1"/>
                <c:pt idx="0">
                  <c:v>Toronto Blue Jays</c:v>
                </c:pt>
              </c:strCache>
            </c:strRef>
          </c:tx>
          <c:spPr>
            <a:solidFill>
              <a:srgbClr val="8EA9DB"/>
            </a:solidFill>
            <a:ln w="12600">
              <a:noFill/>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'Scoring by Inning'!$C$5:$L$5</c:f>
              <c:strCache>
                <c:ptCount val="10"/>
                <c:pt idx="0">
                  <c:v>1</c:v>
                </c:pt>
                <c:pt idx="1">
                  <c:v>2</c:v>
                </c:pt>
                <c:pt idx="2">
                  <c:v>3</c:v>
                </c:pt>
                <c:pt idx="3">
                  <c:v>4</c:v>
                </c:pt>
                <c:pt idx="4">
                  <c:v>5</c:v>
                </c:pt>
                <c:pt idx="5">
                  <c:v>6</c:v>
                </c:pt>
                <c:pt idx="6">
                  <c:v>7</c:v>
                </c:pt>
                <c:pt idx="7">
                  <c:v>8</c:v>
                </c:pt>
                <c:pt idx="8">
                  <c:v>9</c:v>
                </c:pt>
                <c:pt idx="9">
                  <c:v>Extras</c:v>
                </c:pt>
              </c:strCache>
            </c:strRef>
          </c:cat>
          <c:val>
            <c:numRef>
              <c:f>'Scoring by Inning'!$C$7:$L$7</c:f>
              <c:numCache>
                <c:formatCode>#,##0;\-#,##0;\–</c:formatCode>
                <c:ptCount val="10"/>
                <c:pt idx="0">
                  <c:v>0</c:v>
                </c:pt>
                <c:pt idx="1">
                  <c:v>0</c:v>
                </c:pt>
                <c:pt idx="2">
                  <c:v>3</c:v>
                </c:pt>
                <c:pt idx="3">
                  <c:v>0</c:v>
                </c:pt>
                <c:pt idx="4">
                  <c:v>0</c:v>
                </c:pt>
                <c:pt idx="5">
                  <c:v>1</c:v>
                </c:pt>
                <c:pt idx="6">
                  <c:v>0</c:v>
                </c:pt>
                <c:pt idx="7">
                  <c:v>0</c:v>
                </c:pt>
                <c:pt idx="8">
                  <c:v>0</c:v>
                </c:pt>
                <c:pt idx="9">
                  <c:v>0</c:v>
                </c:pt>
              </c:numCache>
            </c:numRef>
          </c:val>
          <c:extLst>
            <c:ext xmlns:c16="http://schemas.microsoft.com/office/drawing/2014/chart" uri="{C3380CC4-5D6E-409C-BE32-E72D297353CC}">
              <c16:uniqueId val="{00000001-B784-8445-93AF-19E2A4E2804C}"/>
            </c:ext>
          </c:extLst>
        </c:ser>
        <c:dLbls>
          <c:showLegendKey val="0"/>
          <c:showVal val="0"/>
          <c:showCatName val="0"/>
          <c:showSerName val="0"/>
          <c:showPercent val="0"/>
          <c:showBubbleSize val="0"/>
        </c:dLbls>
        <c:gapWidth val="150"/>
        <c:axId val="34162723"/>
        <c:axId val="39960184"/>
      </c:barChart>
      <c:catAx>
        <c:axId val="34162723"/>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Calibri"/>
              </a:defRPr>
            </a:pPr>
            <a:endParaRPr lang="en-US"/>
          </a:p>
        </c:txPr>
        <c:crossAx val="39960184"/>
        <c:crosses val="autoZero"/>
        <c:auto val="1"/>
        <c:lblAlgn val="ctr"/>
        <c:lblOffset val="100"/>
        <c:noMultiLvlLbl val="0"/>
      </c:catAx>
      <c:valAx>
        <c:axId val="39960184"/>
        <c:scaling>
          <c:orientation val="minMax"/>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Runs</a:t>
                </a:r>
              </a:p>
            </c:rich>
          </c:tx>
          <c:overlay val="0"/>
          <c:spPr>
            <a:noFill/>
            <a:ln w="0">
              <a:noFill/>
            </a:ln>
          </c:spPr>
        </c:title>
        <c:numFmt formatCode="#,##0;\-#,##0;\–"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Calibri"/>
              </a:defRPr>
            </a:pPr>
            <a:endParaRPr lang="en-US"/>
          </a:p>
        </c:txPr>
        <c:crossAx val="34162723"/>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11</xdr:col>
      <xdr:colOff>183960</xdr:colOff>
      <xdr:row>17</xdr:row>
      <xdr:rowOff>13320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7</xdr:col>
      <xdr:colOff>50040</xdr:colOff>
      <xdr:row>49</xdr:row>
      <xdr:rowOff>43200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0</xdr:colOff>
      <xdr:row>4</xdr:row>
      <xdr:rowOff>0</xdr:rowOff>
    </xdr:from>
    <xdr:to>
      <xdr:col>27</xdr:col>
      <xdr:colOff>364680</xdr:colOff>
      <xdr:row>17</xdr:row>
      <xdr:rowOff>13320</xdr:rowOff>
    </xdr:to>
    <xdr:graphicFrame macro="">
      <xdr:nvGraphicFramePr>
        <xdr:cNvPr id="3" name="Chart 1">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igdataball.com/datasets/mlb-data/?utm_source=bigdataball&amp;utm_medium=website&amp;utm_campaign=mlbpb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03"/>
  <sheetViews>
    <sheetView tabSelected="1" zoomScaleNormal="100" workbookViewId="0">
      <pane ySplit="2" topLeftCell="A3" activePane="bottomLeft" state="frozen"/>
      <selection pane="bottomLeft" activeCell="A3" sqref="A3"/>
    </sheetView>
  </sheetViews>
  <sheetFormatPr baseColWidth="10" defaultColWidth="9.1640625" defaultRowHeight="9.75" customHeight="1" x14ac:dyDescent="0.15"/>
  <cols>
    <col min="1" max="1" width="18.1640625" style="3" customWidth="1"/>
    <col min="2" max="2" width="13.6640625" style="3" customWidth="1"/>
    <col min="3" max="3" width="9.1640625" style="3"/>
    <col min="4" max="6" width="7.33203125" style="4" customWidth="1"/>
    <col min="7" max="7" width="16.1640625" style="3" customWidth="1"/>
    <col min="8" max="8" width="13.83203125" style="3" customWidth="1"/>
    <col min="9" max="9" width="7.83203125" style="3" customWidth="1"/>
    <col min="10" max="10" width="6.1640625" style="3" customWidth="1"/>
    <col min="11" max="13" width="14.1640625" style="5" customWidth="1"/>
    <col min="14" max="14" width="15.83203125" style="3" customWidth="1"/>
    <col min="15" max="15" width="13.83203125" style="3" customWidth="1"/>
    <col min="16" max="16" width="7.83203125" style="3" customWidth="1"/>
    <col min="17" max="17" width="6.1640625" style="3" customWidth="1"/>
    <col min="18" max="18" width="11.6640625" style="3" customWidth="1"/>
    <col min="19" max="19" width="12.83203125" style="3" customWidth="1"/>
    <col min="20" max="22" width="12.5" style="3" customWidth="1"/>
    <col min="23" max="23" width="14.1640625" style="3" customWidth="1"/>
    <col min="24" max="24" width="12.1640625" style="3" customWidth="1"/>
    <col min="25" max="25" width="14.1640625" style="3" customWidth="1"/>
    <col min="26" max="26" width="8.1640625" style="3" customWidth="1"/>
    <col min="27" max="27" width="50.1640625" style="3" customWidth="1"/>
    <col min="28" max="34" width="2.6640625" style="3" customWidth="1"/>
    <col min="35" max="35" width="9.33203125" style="3" customWidth="1"/>
    <col min="36" max="36" width="14.83203125" style="3" customWidth="1"/>
    <col min="37" max="39" width="5.33203125" style="3" customWidth="1"/>
    <col min="40" max="40" width="7" style="3" customWidth="1"/>
    <col min="41" max="41" width="9.1640625" style="3"/>
    <col min="42" max="42" width="7.1640625" style="3" customWidth="1"/>
    <col min="43" max="43" width="7.33203125" style="3" customWidth="1"/>
    <col min="44" max="44" width="78.83203125" style="3" customWidth="1"/>
    <col min="45" max="16384" width="9.1640625" style="6"/>
  </cols>
  <sheetData>
    <row r="1" spans="1:44" s="7" customFormat="1" ht="24" customHeight="1" x14ac:dyDescent="0.2">
      <c r="A1" s="89" t="s">
        <v>0</v>
      </c>
      <c r="B1" s="89"/>
      <c r="C1" s="89"/>
      <c r="D1" s="90" t="s">
        <v>1</v>
      </c>
      <c r="E1" s="90"/>
      <c r="F1" s="90"/>
      <c r="G1" s="86" t="s">
        <v>2</v>
      </c>
      <c r="H1" s="86"/>
      <c r="I1" s="86"/>
      <c r="J1" s="86"/>
      <c r="K1" s="86"/>
      <c r="L1" s="86"/>
      <c r="M1" s="86"/>
      <c r="N1" s="90" t="s">
        <v>3</v>
      </c>
      <c r="O1" s="90"/>
      <c r="P1" s="90"/>
      <c r="Q1" s="90"/>
      <c r="R1" s="90"/>
      <c r="S1" s="90"/>
      <c r="T1" s="90"/>
      <c r="U1" s="90"/>
      <c r="V1" s="90"/>
      <c r="W1" s="90"/>
      <c r="X1" s="90"/>
      <c r="Y1" s="90"/>
      <c r="Z1" s="89" t="s">
        <v>4</v>
      </c>
      <c r="AA1" s="89"/>
      <c r="AB1" s="85" t="s">
        <v>5</v>
      </c>
      <c r="AC1" s="85"/>
      <c r="AD1" s="85"/>
      <c r="AE1" s="85"/>
      <c r="AF1" s="85"/>
      <c r="AG1" s="85"/>
      <c r="AH1" s="85"/>
      <c r="AI1" s="86" t="s">
        <v>6</v>
      </c>
      <c r="AJ1" s="86"/>
      <c r="AK1" s="86"/>
      <c r="AL1" s="86"/>
      <c r="AM1" s="86"/>
      <c r="AN1" s="86"/>
      <c r="AO1" s="86"/>
      <c r="AP1" s="86"/>
      <c r="AQ1" s="86"/>
      <c r="AR1" s="86"/>
    </row>
    <row r="2" spans="1:44" s="11" customFormat="1" ht="61.5" customHeight="1" x14ac:dyDescent="0.2">
      <c r="A2" s="8" t="s">
        <v>7</v>
      </c>
      <c r="B2" s="2" t="s">
        <v>8</v>
      </c>
      <c r="C2" s="1" t="s">
        <v>9</v>
      </c>
      <c r="D2" s="2" t="s">
        <v>10</v>
      </c>
      <c r="E2" s="9" t="s">
        <v>11</v>
      </c>
      <c r="F2" s="1" t="s">
        <v>12</v>
      </c>
      <c r="G2" s="2" t="s">
        <v>13</v>
      </c>
      <c r="H2" s="9" t="s">
        <v>14</v>
      </c>
      <c r="I2" s="9" t="s">
        <v>15</v>
      </c>
      <c r="J2" s="9" t="s">
        <v>16</v>
      </c>
      <c r="K2" s="9" t="s">
        <v>17</v>
      </c>
      <c r="L2" s="9" t="s">
        <v>18</v>
      </c>
      <c r="M2" s="9" t="s">
        <v>19</v>
      </c>
      <c r="N2" s="2" t="s">
        <v>20</v>
      </c>
      <c r="O2" s="9" t="s">
        <v>21</v>
      </c>
      <c r="P2" s="9" t="s">
        <v>22</v>
      </c>
      <c r="Q2" s="9" t="s">
        <v>23</v>
      </c>
      <c r="R2" s="9" t="s">
        <v>24</v>
      </c>
      <c r="S2" s="9" t="s">
        <v>25</v>
      </c>
      <c r="T2" s="9" t="s">
        <v>26</v>
      </c>
      <c r="U2" s="9" t="s">
        <v>27</v>
      </c>
      <c r="V2" s="9" t="s">
        <v>28</v>
      </c>
      <c r="W2" s="9" t="s">
        <v>29</v>
      </c>
      <c r="X2" s="9" t="s">
        <v>30</v>
      </c>
      <c r="Y2" s="9" t="s">
        <v>31</v>
      </c>
      <c r="Z2" s="2" t="s">
        <v>32</v>
      </c>
      <c r="AA2" s="10" t="s">
        <v>33</v>
      </c>
      <c r="AB2" s="87" t="s">
        <v>34</v>
      </c>
      <c r="AC2" s="87"/>
      <c r="AD2" s="87"/>
      <c r="AE2" s="87"/>
      <c r="AF2" s="88" t="s">
        <v>35</v>
      </c>
      <c r="AG2" s="88"/>
      <c r="AH2" s="88"/>
      <c r="AI2" s="2" t="s">
        <v>36</v>
      </c>
      <c r="AJ2" s="9" t="s">
        <v>37</v>
      </c>
      <c r="AK2" s="9" t="s">
        <v>38</v>
      </c>
      <c r="AL2" s="9" t="s">
        <v>39</v>
      </c>
      <c r="AM2" s="9" t="s">
        <v>40</v>
      </c>
      <c r="AN2" s="9" t="s">
        <v>41</v>
      </c>
      <c r="AO2" s="9" t="s">
        <v>42</v>
      </c>
      <c r="AP2" s="9" t="s">
        <v>43</v>
      </c>
      <c r="AQ2" s="9" t="s">
        <v>44</v>
      </c>
      <c r="AR2" s="1" t="s">
        <v>45</v>
      </c>
    </row>
    <row r="3" spans="1:44" ht="10.5" customHeight="1" x14ac:dyDescent="0.15">
      <c r="A3" s="12" t="s">
        <v>46</v>
      </c>
      <c r="B3" s="13" t="s">
        <v>47</v>
      </c>
      <c r="C3" s="14">
        <v>45962</v>
      </c>
      <c r="D3" s="12" t="s">
        <v>48</v>
      </c>
      <c r="E3" s="13">
        <v>0</v>
      </c>
      <c r="F3" s="13" t="s">
        <v>49</v>
      </c>
      <c r="G3" s="12" t="s">
        <v>50</v>
      </c>
      <c r="H3" s="13" t="s">
        <v>51</v>
      </c>
      <c r="I3" s="13">
        <v>660271</v>
      </c>
      <c r="J3" s="13" t="s">
        <v>52</v>
      </c>
      <c r="K3" s="13"/>
      <c r="L3" s="13"/>
      <c r="M3" s="13"/>
      <c r="N3" s="12" t="s">
        <v>53</v>
      </c>
      <c r="O3" s="13" t="s">
        <v>54</v>
      </c>
      <c r="P3" s="13">
        <v>453286</v>
      </c>
      <c r="Q3" s="13" t="s">
        <v>55</v>
      </c>
      <c r="R3" s="13" t="s">
        <v>56</v>
      </c>
      <c r="S3" s="13" t="s">
        <v>57</v>
      </c>
      <c r="T3" s="13" t="s">
        <v>58</v>
      </c>
      <c r="U3" s="13" t="s">
        <v>59</v>
      </c>
      <c r="V3" s="13" t="s">
        <v>60</v>
      </c>
      <c r="W3" s="13" t="s">
        <v>61</v>
      </c>
      <c r="X3" s="13" t="s">
        <v>62</v>
      </c>
      <c r="Y3" s="13" t="s">
        <v>63</v>
      </c>
      <c r="Z3" s="15">
        <v>4</v>
      </c>
      <c r="AA3" s="16" t="s">
        <v>64</v>
      </c>
      <c r="AB3" s="17" t="s">
        <v>65</v>
      </c>
      <c r="AC3" s="18" t="s">
        <v>65</v>
      </c>
      <c r="AD3" s="18"/>
      <c r="AE3" s="19"/>
      <c r="AF3" s="20" t="s">
        <v>65</v>
      </c>
      <c r="AG3" s="21"/>
      <c r="AH3" s="22"/>
      <c r="AI3" s="12" t="s">
        <v>66</v>
      </c>
      <c r="AJ3" s="23" t="s">
        <v>67</v>
      </c>
      <c r="AK3" s="24"/>
      <c r="AL3" s="24"/>
      <c r="AM3" s="24"/>
      <c r="AN3" s="24"/>
      <c r="AO3" s="24"/>
      <c r="AP3" s="24"/>
      <c r="AQ3" s="24"/>
      <c r="AR3" s="16" t="s">
        <v>68</v>
      </c>
    </row>
    <row r="4" spans="1:44" ht="10.5" customHeight="1" x14ac:dyDescent="0.15">
      <c r="A4" s="25" t="s">
        <v>46</v>
      </c>
      <c r="B4" s="26" t="s">
        <v>47</v>
      </c>
      <c r="C4" s="27">
        <v>45962</v>
      </c>
      <c r="D4" s="25" t="s">
        <v>48</v>
      </c>
      <c r="E4" s="26">
        <v>0</v>
      </c>
      <c r="F4" s="26" t="s">
        <v>49</v>
      </c>
      <c r="G4" s="25" t="s">
        <v>50</v>
      </c>
      <c r="H4" s="26" t="s">
        <v>69</v>
      </c>
      <c r="I4" s="26">
        <v>669257</v>
      </c>
      <c r="J4" s="26" t="s">
        <v>55</v>
      </c>
      <c r="K4" s="26" t="s">
        <v>51</v>
      </c>
      <c r="L4" s="26"/>
      <c r="M4" s="26"/>
      <c r="N4" s="25" t="s">
        <v>53</v>
      </c>
      <c r="O4" s="26" t="s">
        <v>54</v>
      </c>
      <c r="P4" s="26">
        <v>453286</v>
      </c>
      <c r="Q4" s="26" t="s">
        <v>55</v>
      </c>
      <c r="R4" s="26" t="s">
        <v>56</v>
      </c>
      <c r="S4" s="26" t="s">
        <v>57</v>
      </c>
      <c r="T4" s="26" t="s">
        <v>58</v>
      </c>
      <c r="U4" s="26" t="s">
        <v>59</v>
      </c>
      <c r="V4" s="26" t="s">
        <v>60</v>
      </c>
      <c r="W4" s="26" t="s">
        <v>61</v>
      </c>
      <c r="X4" s="26" t="s">
        <v>62</v>
      </c>
      <c r="Y4" s="26" t="s">
        <v>63</v>
      </c>
      <c r="Z4" s="28">
        <v>3</v>
      </c>
      <c r="AA4" s="29" t="s">
        <v>70</v>
      </c>
      <c r="AB4" s="30"/>
      <c r="AC4" s="31"/>
      <c r="AD4" s="31"/>
      <c r="AE4" s="32"/>
      <c r="AF4" s="33" t="s">
        <v>65</v>
      </c>
      <c r="AG4" s="34" t="s">
        <v>65</v>
      </c>
      <c r="AH4" s="35"/>
      <c r="AI4" s="25"/>
      <c r="AJ4" s="23" t="s">
        <v>71</v>
      </c>
      <c r="AK4" s="36"/>
      <c r="AL4" s="36">
        <v>1</v>
      </c>
      <c r="AM4" s="36"/>
      <c r="AN4" s="36"/>
      <c r="AO4" s="36"/>
      <c r="AP4" s="36"/>
      <c r="AQ4" s="36"/>
      <c r="AR4" s="29" t="s">
        <v>72</v>
      </c>
    </row>
    <row r="5" spans="1:44" ht="10.5" customHeight="1" x14ac:dyDescent="0.15">
      <c r="A5" s="12" t="s">
        <v>46</v>
      </c>
      <c r="B5" s="13" t="s">
        <v>47</v>
      </c>
      <c r="C5" s="14">
        <v>45962</v>
      </c>
      <c r="D5" s="12" t="s">
        <v>48</v>
      </c>
      <c r="E5" s="13">
        <v>0</v>
      </c>
      <c r="F5" s="13" t="s">
        <v>49</v>
      </c>
      <c r="G5" s="12" t="s">
        <v>50</v>
      </c>
      <c r="H5" s="13" t="s">
        <v>73</v>
      </c>
      <c r="I5" s="13">
        <v>518692</v>
      </c>
      <c r="J5" s="13" t="s">
        <v>52</v>
      </c>
      <c r="K5" s="13"/>
      <c r="L5" s="13" t="s">
        <v>51</v>
      </c>
      <c r="M5" s="13"/>
      <c r="N5" s="12" t="s">
        <v>53</v>
      </c>
      <c r="O5" s="13" t="s">
        <v>54</v>
      </c>
      <c r="P5" s="13">
        <v>453286</v>
      </c>
      <c r="Q5" s="13" t="s">
        <v>55</v>
      </c>
      <c r="R5" s="13" t="s">
        <v>56</v>
      </c>
      <c r="S5" s="13" t="s">
        <v>57</v>
      </c>
      <c r="T5" s="13" t="s">
        <v>58</v>
      </c>
      <c r="U5" s="13" t="s">
        <v>59</v>
      </c>
      <c r="V5" s="13" t="s">
        <v>60</v>
      </c>
      <c r="W5" s="13" t="s">
        <v>61</v>
      </c>
      <c r="X5" s="13" t="s">
        <v>62</v>
      </c>
      <c r="Y5" s="13" t="s">
        <v>63</v>
      </c>
      <c r="Z5" s="15">
        <v>1</v>
      </c>
      <c r="AA5" s="16" t="s">
        <v>74</v>
      </c>
      <c r="AB5" s="17"/>
      <c r="AC5" s="18"/>
      <c r="AD5" s="18"/>
      <c r="AE5" s="19"/>
      <c r="AF5" s="20"/>
      <c r="AG5" s="21"/>
      <c r="AH5" s="22"/>
      <c r="AI5" s="12" t="s">
        <v>75</v>
      </c>
      <c r="AJ5" s="23" t="s">
        <v>76</v>
      </c>
      <c r="AK5" s="24"/>
      <c r="AL5" s="24">
        <v>1</v>
      </c>
      <c r="AM5" s="24"/>
      <c r="AN5" s="24"/>
      <c r="AO5" s="24"/>
      <c r="AP5" s="24"/>
      <c r="AQ5" s="24"/>
      <c r="AR5" s="16" t="s">
        <v>77</v>
      </c>
    </row>
    <row r="6" spans="1:44" ht="10.5" customHeight="1" x14ac:dyDescent="0.15">
      <c r="A6" s="25" t="s">
        <v>46</v>
      </c>
      <c r="B6" s="26" t="s">
        <v>47</v>
      </c>
      <c r="C6" s="27">
        <v>45962</v>
      </c>
      <c r="D6" s="25" t="s">
        <v>48</v>
      </c>
      <c r="E6" s="26">
        <v>0</v>
      </c>
      <c r="F6" s="26" t="s">
        <v>49</v>
      </c>
      <c r="G6" s="25" t="s">
        <v>50</v>
      </c>
      <c r="H6" s="26" t="s">
        <v>78</v>
      </c>
      <c r="I6" s="26">
        <v>605141</v>
      </c>
      <c r="J6" s="26" t="s">
        <v>55</v>
      </c>
      <c r="K6" s="26"/>
      <c r="L6" s="26"/>
      <c r="M6" s="26" t="s">
        <v>51</v>
      </c>
      <c r="N6" s="25" t="s">
        <v>53</v>
      </c>
      <c r="O6" s="26" t="s">
        <v>54</v>
      </c>
      <c r="P6" s="26">
        <v>453286</v>
      </c>
      <c r="Q6" s="26" t="s">
        <v>55</v>
      </c>
      <c r="R6" s="26" t="s">
        <v>56</v>
      </c>
      <c r="S6" s="26" t="s">
        <v>57</v>
      </c>
      <c r="T6" s="26" t="s">
        <v>58</v>
      </c>
      <c r="U6" s="26" t="s">
        <v>59</v>
      </c>
      <c r="V6" s="26" t="s">
        <v>60</v>
      </c>
      <c r="W6" s="26" t="s">
        <v>61</v>
      </c>
      <c r="X6" s="26" t="s">
        <v>62</v>
      </c>
      <c r="Y6" s="26" t="s">
        <v>63</v>
      </c>
      <c r="Z6" s="28">
        <v>2</v>
      </c>
      <c r="AA6" s="29" t="s">
        <v>79</v>
      </c>
      <c r="AB6" s="30" t="s">
        <v>65</v>
      </c>
      <c r="AC6" s="31"/>
      <c r="AD6" s="31"/>
      <c r="AE6" s="32"/>
      <c r="AF6" s="33"/>
      <c r="AG6" s="34"/>
      <c r="AH6" s="35"/>
      <c r="AI6" s="25"/>
      <c r="AJ6" s="23" t="s">
        <v>71</v>
      </c>
      <c r="AK6" s="36"/>
      <c r="AL6" s="36">
        <v>1</v>
      </c>
      <c r="AM6" s="36"/>
      <c r="AN6" s="36"/>
      <c r="AO6" s="36"/>
      <c r="AP6" s="36"/>
      <c r="AQ6" s="36"/>
      <c r="AR6" s="29" t="s">
        <v>80</v>
      </c>
    </row>
    <row r="7" spans="1:44" ht="10.5" customHeight="1" x14ac:dyDescent="0.15">
      <c r="A7" s="12" t="s">
        <v>46</v>
      </c>
      <c r="B7" s="13" t="s">
        <v>47</v>
      </c>
      <c r="C7" s="14">
        <v>45962</v>
      </c>
      <c r="D7" s="12" t="s">
        <v>25</v>
      </c>
      <c r="E7" s="13" t="s">
        <v>49</v>
      </c>
      <c r="F7" s="13">
        <v>0</v>
      </c>
      <c r="G7" s="12" t="s">
        <v>53</v>
      </c>
      <c r="H7" s="13" t="s">
        <v>81</v>
      </c>
      <c r="I7" s="13">
        <v>543807</v>
      </c>
      <c r="J7" s="13" t="s">
        <v>55</v>
      </c>
      <c r="K7" s="13"/>
      <c r="L7" s="13"/>
      <c r="M7" s="13"/>
      <c r="N7" s="12" t="s">
        <v>50</v>
      </c>
      <c r="O7" s="13" t="s">
        <v>51</v>
      </c>
      <c r="P7" s="13">
        <v>660271</v>
      </c>
      <c r="Q7" s="13" t="s">
        <v>55</v>
      </c>
      <c r="R7" s="13" t="s">
        <v>69</v>
      </c>
      <c r="S7" s="13" t="s">
        <v>73</v>
      </c>
      <c r="T7" s="13" t="s">
        <v>82</v>
      </c>
      <c r="U7" s="13" t="s">
        <v>83</v>
      </c>
      <c r="V7" s="13" t="s">
        <v>78</v>
      </c>
      <c r="W7" s="13" t="s">
        <v>84</v>
      </c>
      <c r="X7" s="13" t="s">
        <v>85</v>
      </c>
      <c r="Y7" s="13" t="s">
        <v>86</v>
      </c>
      <c r="Z7" s="15">
        <v>5</v>
      </c>
      <c r="AA7" s="16" t="s">
        <v>87</v>
      </c>
      <c r="AB7" s="17" t="s">
        <v>65</v>
      </c>
      <c r="AC7" s="18" t="s">
        <v>65</v>
      </c>
      <c r="AD7" s="18" t="s">
        <v>65</v>
      </c>
      <c r="AE7" s="19"/>
      <c r="AF7" s="20" t="s">
        <v>65</v>
      </c>
      <c r="AG7" s="21"/>
      <c r="AH7" s="22"/>
      <c r="AI7" s="12" t="s">
        <v>66</v>
      </c>
      <c r="AJ7" s="23" t="s">
        <v>67</v>
      </c>
      <c r="AK7" s="24"/>
      <c r="AL7" s="24"/>
      <c r="AM7" s="24"/>
      <c r="AN7" s="24"/>
      <c r="AO7" s="24"/>
      <c r="AP7" s="24"/>
      <c r="AQ7" s="24"/>
      <c r="AR7" s="16" t="s">
        <v>88</v>
      </c>
    </row>
    <row r="8" spans="1:44" ht="10.5" customHeight="1" x14ac:dyDescent="0.15">
      <c r="A8" s="25" t="s">
        <v>46</v>
      </c>
      <c r="B8" s="26" t="s">
        <v>47</v>
      </c>
      <c r="C8" s="27">
        <v>45962</v>
      </c>
      <c r="D8" s="25" t="s">
        <v>25</v>
      </c>
      <c r="E8" s="26" t="s">
        <v>49</v>
      </c>
      <c r="F8" s="26">
        <v>0</v>
      </c>
      <c r="G8" s="25" t="s">
        <v>53</v>
      </c>
      <c r="H8" s="26" t="s">
        <v>61</v>
      </c>
      <c r="I8" s="26">
        <v>664770</v>
      </c>
      <c r="J8" s="26" t="s">
        <v>52</v>
      </c>
      <c r="K8" s="26" t="s">
        <v>81</v>
      </c>
      <c r="L8" s="26"/>
      <c r="M8" s="26"/>
      <c r="N8" s="25" t="s">
        <v>50</v>
      </c>
      <c r="O8" s="26" t="s">
        <v>51</v>
      </c>
      <c r="P8" s="26">
        <v>660271</v>
      </c>
      <c r="Q8" s="26" t="s">
        <v>55</v>
      </c>
      <c r="R8" s="26" t="s">
        <v>69</v>
      </c>
      <c r="S8" s="26" t="s">
        <v>73</v>
      </c>
      <c r="T8" s="26" t="s">
        <v>82</v>
      </c>
      <c r="U8" s="26" t="s">
        <v>83</v>
      </c>
      <c r="V8" s="26" t="s">
        <v>78</v>
      </c>
      <c r="W8" s="26" t="s">
        <v>84</v>
      </c>
      <c r="X8" s="26" t="s">
        <v>85</v>
      </c>
      <c r="Y8" s="26" t="s">
        <v>86</v>
      </c>
      <c r="Z8" s="28">
        <v>7</v>
      </c>
      <c r="AA8" s="29" t="s">
        <v>89</v>
      </c>
      <c r="AB8" s="30" t="s">
        <v>65</v>
      </c>
      <c r="AC8" s="31" t="s">
        <v>65</v>
      </c>
      <c r="AD8" s="31"/>
      <c r="AE8" s="32"/>
      <c r="AF8" s="33" t="s">
        <v>65</v>
      </c>
      <c r="AG8" s="34" t="s">
        <v>65</v>
      </c>
      <c r="AH8" s="35" t="s">
        <v>65</v>
      </c>
      <c r="AI8" s="25"/>
      <c r="AJ8" s="23" t="s">
        <v>90</v>
      </c>
      <c r="AK8" s="36"/>
      <c r="AL8" s="36">
        <v>1</v>
      </c>
      <c r="AM8" s="36"/>
      <c r="AN8" s="36"/>
      <c r="AO8" s="36"/>
      <c r="AP8" s="36"/>
      <c r="AQ8" s="36"/>
      <c r="AR8" s="29" t="s">
        <v>91</v>
      </c>
    </row>
    <row r="9" spans="1:44" ht="10.5" customHeight="1" x14ac:dyDescent="0.15">
      <c r="A9" s="12" t="s">
        <v>46</v>
      </c>
      <c r="B9" s="13" t="s">
        <v>47</v>
      </c>
      <c r="C9" s="14">
        <v>45962</v>
      </c>
      <c r="D9" s="12" t="s">
        <v>25</v>
      </c>
      <c r="E9" s="13" t="s">
        <v>49</v>
      </c>
      <c r="F9" s="13">
        <v>0</v>
      </c>
      <c r="G9" s="12" t="s">
        <v>53</v>
      </c>
      <c r="H9" s="13" t="s">
        <v>57</v>
      </c>
      <c r="I9" s="13">
        <v>665489</v>
      </c>
      <c r="J9" s="13" t="s">
        <v>55</v>
      </c>
      <c r="K9" s="13" t="s">
        <v>81</v>
      </c>
      <c r="L9" s="13"/>
      <c r="M9" s="13"/>
      <c r="N9" s="12" t="s">
        <v>50</v>
      </c>
      <c r="O9" s="13" t="s">
        <v>51</v>
      </c>
      <c r="P9" s="13">
        <v>660271</v>
      </c>
      <c r="Q9" s="13" t="s">
        <v>55</v>
      </c>
      <c r="R9" s="13" t="s">
        <v>69</v>
      </c>
      <c r="S9" s="13" t="s">
        <v>73</v>
      </c>
      <c r="T9" s="13" t="s">
        <v>82</v>
      </c>
      <c r="U9" s="13" t="s">
        <v>83</v>
      </c>
      <c r="V9" s="13" t="s">
        <v>78</v>
      </c>
      <c r="W9" s="13" t="s">
        <v>84</v>
      </c>
      <c r="X9" s="13" t="s">
        <v>85</v>
      </c>
      <c r="Y9" s="13" t="s">
        <v>86</v>
      </c>
      <c r="Z9" s="15">
        <v>6</v>
      </c>
      <c r="AA9" s="16" t="s">
        <v>92</v>
      </c>
      <c r="AB9" s="17" t="s">
        <v>65</v>
      </c>
      <c r="AC9" s="18" t="s">
        <v>65</v>
      </c>
      <c r="AD9" s="18" t="s">
        <v>65</v>
      </c>
      <c r="AE9" s="19"/>
      <c r="AF9" s="20" t="s">
        <v>65</v>
      </c>
      <c r="AG9" s="21" t="s">
        <v>65</v>
      </c>
      <c r="AH9" s="22" t="s">
        <v>65</v>
      </c>
      <c r="AI9" s="12"/>
      <c r="AJ9" s="23" t="s">
        <v>93</v>
      </c>
      <c r="AK9" s="24"/>
      <c r="AL9" s="24">
        <v>2</v>
      </c>
      <c r="AM9" s="24"/>
      <c r="AN9" s="24">
        <v>1</v>
      </c>
      <c r="AO9" s="24"/>
      <c r="AP9" s="24"/>
      <c r="AQ9" s="24"/>
      <c r="AR9" s="16" t="s">
        <v>94</v>
      </c>
    </row>
    <row r="10" spans="1:44" ht="10.5" customHeight="1" x14ac:dyDescent="0.15">
      <c r="A10" s="25" t="s">
        <v>46</v>
      </c>
      <c r="B10" s="26" t="s">
        <v>47</v>
      </c>
      <c r="C10" s="27">
        <v>45962</v>
      </c>
      <c r="D10" s="25" t="s">
        <v>95</v>
      </c>
      <c r="E10" s="26">
        <v>0</v>
      </c>
      <c r="F10" s="26" t="s">
        <v>49</v>
      </c>
      <c r="G10" s="25" t="s">
        <v>50</v>
      </c>
      <c r="H10" s="26" t="s">
        <v>83</v>
      </c>
      <c r="I10" s="26">
        <v>571970</v>
      </c>
      <c r="J10" s="26" t="s">
        <v>52</v>
      </c>
      <c r="K10" s="26"/>
      <c r="L10" s="26"/>
      <c r="M10" s="26"/>
      <c r="N10" s="25" t="s">
        <v>53</v>
      </c>
      <c r="O10" s="26" t="s">
        <v>54</v>
      </c>
      <c r="P10" s="26">
        <v>453286</v>
      </c>
      <c r="Q10" s="26" t="s">
        <v>55</v>
      </c>
      <c r="R10" s="26" t="s">
        <v>56</v>
      </c>
      <c r="S10" s="26" t="s">
        <v>57</v>
      </c>
      <c r="T10" s="26" t="s">
        <v>58</v>
      </c>
      <c r="U10" s="26" t="s">
        <v>59</v>
      </c>
      <c r="V10" s="26" t="s">
        <v>60</v>
      </c>
      <c r="W10" s="26" t="s">
        <v>61</v>
      </c>
      <c r="X10" s="26" t="s">
        <v>62</v>
      </c>
      <c r="Y10" s="26" t="s">
        <v>63</v>
      </c>
      <c r="Z10" s="28">
        <v>5</v>
      </c>
      <c r="AA10" s="29" t="s">
        <v>96</v>
      </c>
      <c r="AB10" s="30" t="s">
        <v>65</v>
      </c>
      <c r="AC10" s="31" t="s">
        <v>65</v>
      </c>
      <c r="AD10" s="31"/>
      <c r="AE10" s="32"/>
      <c r="AF10" s="33" t="s">
        <v>65</v>
      </c>
      <c r="AG10" s="34" t="s">
        <v>65</v>
      </c>
      <c r="AH10" s="35" t="s">
        <v>65</v>
      </c>
      <c r="AI10" s="25"/>
      <c r="AJ10" s="23" t="s">
        <v>90</v>
      </c>
      <c r="AK10" s="36"/>
      <c r="AL10" s="36">
        <v>1</v>
      </c>
      <c r="AM10" s="36"/>
      <c r="AN10" s="36"/>
      <c r="AO10" s="36"/>
      <c r="AP10" s="36"/>
      <c r="AQ10" s="36"/>
      <c r="AR10" s="29" t="s">
        <v>97</v>
      </c>
    </row>
    <row r="11" spans="1:44" ht="10.5" customHeight="1" x14ac:dyDescent="0.15">
      <c r="A11" s="12" t="s">
        <v>46</v>
      </c>
      <c r="B11" s="13" t="s">
        <v>47</v>
      </c>
      <c r="C11" s="14">
        <v>45962</v>
      </c>
      <c r="D11" s="12" t="s">
        <v>95</v>
      </c>
      <c r="E11" s="13">
        <v>0</v>
      </c>
      <c r="F11" s="13" t="s">
        <v>49</v>
      </c>
      <c r="G11" s="12" t="s">
        <v>50</v>
      </c>
      <c r="H11" s="13" t="s">
        <v>86</v>
      </c>
      <c r="I11" s="13">
        <v>606192</v>
      </c>
      <c r="J11" s="13" t="s">
        <v>55</v>
      </c>
      <c r="K11" s="13"/>
      <c r="L11" s="13"/>
      <c r="M11" s="13"/>
      <c r="N11" s="12" t="s">
        <v>53</v>
      </c>
      <c r="O11" s="13" t="s">
        <v>54</v>
      </c>
      <c r="P11" s="13">
        <v>453286</v>
      </c>
      <c r="Q11" s="13" t="s">
        <v>55</v>
      </c>
      <c r="R11" s="13" t="s">
        <v>56</v>
      </c>
      <c r="S11" s="13" t="s">
        <v>57</v>
      </c>
      <c r="T11" s="13" t="s">
        <v>58</v>
      </c>
      <c r="U11" s="13" t="s">
        <v>59</v>
      </c>
      <c r="V11" s="13" t="s">
        <v>60</v>
      </c>
      <c r="W11" s="13" t="s">
        <v>61</v>
      </c>
      <c r="X11" s="13" t="s">
        <v>62</v>
      </c>
      <c r="Y11" s="13" t="s">
        <v>63</v>
      </c>
      <c r="Z11" s="15">
        <v>2</v>
      </c>
      <c r="AA11" s="16" t="s">
        <v>98</v>
      </c>
      <c r="AB11" s="17"/>
      <c r="AC11" s="18"/>
      <c r="AD11" s="18"/>
      <c r="AE11" s="19"/>
      <c r="AF11" s="20" t="s">
        <v>65</v>
      </c>
      <c r="AG11" s="21"/>
      <c r="AH11" s="22"/>
      <c r="AI11" s="12" t="s">
        <v>75</v>
      </c>
      <c r="AJ11" s="23" t="s">
        <v>76</v>
      </c>
      <c r="AK11" s="24"/>
      <c r="AL11" s="24">
        <v>1</v>
      </c>
      <c r="AM11" s="24"/>
      <c r="AN11" s="24"/>
      <c r="AO11" s="24"/>
      <c r="AP11" s="24"/>
      <c r="AQ11" s="24"/>
      <c r="AR11" s="16" t="s">
        <v>99</v>
      </c>
    </row>
    <row r="12" spans="1:44" ht="10.5" customHeight="1" x14ac:dyDescent="0.15">
      <c r="A12" s="25" t="s">
        <v>46</v>
      </c>
      <c r="B12" s="26" t="s">
        <v>47</v>
      </c>
      <c r="C12" s="27">
        <v>45962</v>
      </c>
      <c r="D12" s="25" t="s">
        <v>95</v>
      </c>
      <c r="E12" s="26">
        <v>0</v>
      </c>
      <c r="F12" s="26" t="s">
        <v>49</v>
      </c>
      <c r="G12" s="25" t="s">
        <v>50</v>
      </c>
      <c r="H12" s="26" t="s">
        <v>85</v>
      </c>
      <c r="I12" s="26">
        <v>669242</v>
      </c>
      <c r="J12" s="26" t="s">
        <v>100</v>
      </c>
      <c r="K12" s="26"/>
      <c r="L12" s="26"/>
      <c r="M12" s="26"/>
      <c r="N12" s="25" t="s">
        <v>53</v>
      </c>
      <c r="O12" s="26" t="s">
        <v>54</v>
      </c>
      <c r="P12" s="26">
        <v>453286</v>
      </c>
      <c r="Q12" s="26" t="s">
        <v>55</v>
      </c>
      <c r="R12" s="26" t="s">
        <v>56</v>
      </c>
      <c r="S12" s="26" t="s">
        <v>57</v>
      </c>
      <c r="T12" s="26" t="s">
        <v>58</v>
      </c>
      <c r="U12" s="26" t="s">
        <v>59</v>
      </c>
      <c r="V12" s="26" t="s">
        <v>60</v>
      </c>
      <c r="W12" s="26" t="s">
        <v>61</v>
      </c>
      <c r="X12" s="26" t="s">
        <v>62</v>
      </c>
      <c r="Y12" s="26" t="s">
        <v>63</v>
      </c>
      <c r="Z12" s="28">
        <v>3</v>
      </c>
      <c r="AA12" s="29" t="s">
        <v>101</v>
      </c>
      <c r="AB12" s="30" t="s">
        <v>65</v>
      </c>
      <c r="AC12" s="31" t="s">
        <v>65</v>
      </c>
      <c r="AD12" s="31"/>
      <c r="AE12" s="32"/>
      <c r="AF12" s="33"/>
      <c r="AG12" s="34"/>
      <c r="AH12" s="35"/>
      <c r="AI12" s="25" t="s">
        <v>75</v>
      </c>
      <c r="AJ12" s="23" t="s">
        <v>76</v>
      </c>
      <c r="AK12" s="36"/>
      <c r="AL12" s="36">
        <v>1</v>
      </c>
      <c r="AM12" s="36"/>
      <c r="AN12" s="36"/>
      <c r="AO12" s="36"/>
      <c r="AP12" s="36"/>
      <c r="AQ12" s="36"/>
      <c r="AR12" s="29" t="s">
        <v>102</v>
      </c>
    </row>
    <row r="13" spans="1:44" ht="10.5" customHeight="1" x14ac:dyDescent="0.15">
      <c r="A13" s="12" t="s">
        <v>46</v>
      </c>
      <c r="B13" s="13" t="s">
        <v>47</v>
      </c>
      <c r="C13" s="14">
        <v>45962</v>
      </c>
      <c r="D13" s="12" t="s">
        <v>26</v>
      </c>
      <c r="E13" s="13" t="s">
        <v>49</v>
      </c>
      <c r="F13" s="13">
        <v>0</v>
      </c>
      <c r="G13" s="12" t="s">
        <v>53</v>
      </c>
      <c r="H13" s="13" t="s">
        <v>58</v>
      </c>
      <c r="I13" s="13">
        <v>666182</v>
      </c>
      <c r="J13" s="13" t="s">
        <v>55</v>
      </c>
      <c r="K13" s="13"/>
      <c r="L13" s="13"/>
      <c r="M13" s="13"/>
      <c r="N13" s="12" t="s">
        <v>50</v>
      </c>
      <c r="O13" s="13" t="s">
        <v>51</v>
      </c>
      <c r="P13" s="13">
        <v>660271</v>
      </c>
      <c r="Q13" s="13" t="s">
        <v>55</v>
      </c>
      <c r="R13" s="13" t="s">
        <v>69</v>
      </c>
      <c r="S13" s="13" t="s">
        <v>73</v>
      </c>
      <c r="T13" s="13" t="s">
        <v>82</v>
      </c>
      <c r="U13" s="13" t="s">
        <v>83</v>
      </c>
      <c r="V13" s="13" t="s">
        <v>78</v>
      </c>
      <c r="W13" s="13" t="s">
        <v>84</v>
      </c>
      <c r="X13" s="13" t="s">
        <v>85</v>
      </c>
      <c r="Y13" s="13" t="s">
        <v>86</v>
      </c>
      <c r="Z13" s="15">
        <v>5</v>
      </c>
      <c r="AA13" s="16" t="s">
        <v>103</v>
      </c>
      <c r="AB13" s="17" t="s">
        <v>65</v>
      </c>
      <c r="AC13" s="18" t="s">
        <v>65</v>
      </c>
      <c r="AD13" s="18" t="s">
        <v>65</v>
      </c>
      <c r="AE13" s="19" t="s">
        <v>65</v>
      </c>
      <c r="AF13" s="20" t="s">
        <v>65</v>
      </c>
      <c r="AG13" s="21"/>
      <c r="AH13" s="22"/>
      <c r="AI13" s="12"/>
      <c r="AJ13" s="23" t="s">
        <v>104</v>
      </c>
      <c r="AK13" s="24"/>
      <c r="AL13" s="24"/>
      <c r="AM13" s="24"/>
      <c r="AN13" s="24"/>
      <c r="AO13" s="24"/>
      <c r="AP13" s="24"/>
      <c r="AQ13" s="24"/>
      <c r="AR13" s="16" t="s">
        <v>105</v>
      </c>
    </row>
    <row r="14" spans="1:44" ht="10.5" customHeight="1" x14ac:dyDescent="0.15">
      <c r="A14" s="25" t="s">
        <v>46</v>
      </c>
      <c r="B14" s="26" t="s">
        <v>47</v>
      </c>
      <c r="C14" s="27">
        <v>45962</v>
      </c>
      <c r="D14" s="25" t="s">
        <v>26</v>
      </c>
      <c r="E14" s="26" t="s">
        <v>49</v>
      </c>
      <c r="F14" s="26">
        <v>0</v>
      </c>
      <c r="G14" s="25" t="s">
        <v>53</v>
      </c>
      <c r="H14" s="26" t="s">
        <v>63</v>
      </c>
      <c r="I14" s="26">
        <v>680718</v>
      </c>
      <c r="J14" s="26" t="s">
        <v>52</v>
      </c>
      <c r="K14" s="26" t="s">
        <v>58</v>
      </c>
      <c r="L14" s="26"/>
      <c r="M14" s="26"/>
      <c r="N14" s="25" t="s">
        <v>50</v>
      </c>
      <c r="O14" s="26" t="s">
        <v>51</v>
      </c>
      <c r="P14" s="26">
        <v>660271</v>
      </c>
      <c r="Q14" s="26" t="s">
        <v>55</v>
      </c>
      <c r="R14" s="26" t="s">
        <v>69</v>
      </c>
      <c r="S14" s="26" t="s">
        <v>73</v>
      </c>
      <c r="T14" s="26" t="s">
        <v>82</v>
      </c>
      <c r="U14" s="26" t="s">
        <v>83</v>
      </c>
      <c r="V14" s="26" t="s">
        <v>78</v>
      </c>
      <c r="W14" s="26" t="s">
        <v>84</v>
      </c>
      <c r="X14" s="26" t="s">
        <v>85</v>
      </c>
      <c r="Y14" s="26" t="s">
        <v>86</v>
      </c>
      <c r="Z14" s="28">
        <v>6</v>
      </c>
      <c r="AA14" s="29" t="s">
        <v>106</v>
      </c>
      <c r="AB14" s="30" t="s">
        <v>65</v>
      </c>
      <c r="AC14" s="31" t="s">
        <v>65</v>
      </c>
      <c r="AD14" s="31" t="s">
        <v>65</v>
      </c>
      <c r="AE14" s="32"/>
      <c r="AF14" s="33" t="s">
        <v>65</v>
      </c>
      <c r="AG14" s="34" t="s">
        <v>65</v>
      </c>
      <c r="AH14" s="35"/>
      <c r="AI14" s="25" t="s">
        <v>66</v>
      </c>
      <c r="AJ14" s="23" t="s">
        <v>67</v>
      </c>
      <c r="AK14" s="36"/>
      <c r="AL14" s="36"/>
      <c r="AM14" s="36"/>
      <c r="AN14" s="36"/>
      <c r="AO14" s="36"/>
      <c r="AP14" s="36"/>
      <c r="AQ14" s="36"/>
      <c r="AR14" s="29" t="s">
        <v>107</v>
      </c>
    </row>
    <row r="15" spans="1:44" ht="10.5" customHeight="1" x14ac:dyDescent="0.15">
      <c r="A15" s="12" t="s">
        <v>46</v>
      </c>
      <c r="B15" s="13" t="s">
        <v>47</v>
      </c>
      <c r="C15" s="14">
        <v>45962</v>
      </c>
      <c r="D15" s="12" t="s">
        <v>26</v>
      </c>
      <c r="E15" s="13" t="s">
        <v>49</v>
      </c>
      <c r="F15" s="13">
        <v>0</v>
      </c>
      <c r="G15" s="12" t="s">
        <v>53</v>
      </c>
      <c r="H15" s="13" t="s">
        <v>56</v>
      </c>
      <c r="I15" s="13">
        <v>672386</v>
      </c>
      <c r="J15" s="13" t="s">
        <v>55</v>
      </c>
      <c r="K15" s="13" t="s">
        <v>63</v>
      </c>
      <c r="L15" s="13" t="s">
        <v>58</v>
      </c>
      <c r="M15" s="13"/>
      <c r="N15" s="12" t="s">
        <v>50</v>
      </c>
      <c r="O15" s="13" t="s">
        <v>51</v>
      </c>
      <c r="P15" s="13">
        <v>660271</v>
      </c>
      <c r="Q15" s="13" t="s">
        <v>55</v>
      </c>
      <c r="R15" s="13" t="s">
        <v>69</v>
      </c>
      <c r="S15" s="13" t="s">
        <v>73</v>
      </c>
      <c r="T15" s="13" t="s">
        <v>82</v>
      </c>
      <c r="U15" s="13" t="s">
        <v>83</v>
      </c>
      <c r="V15" s="13" t="s">
        <v>78</v>
      </c>
      <c r="W15" s="13" t="s">
        <v>84</v>
      </c>
      <c r="X15" s="13" t="s">
        <v>85</v>
      </c>
      <c r="Y15" s="13" t="s">
        <v>86</v>
      </c>
      <c r="Z15" s="15">
        <v>2</v>
      </c>
      <c r="AA15" s="16" t="s">
        <v>98</v>
      </c>
      <c r="AB15" s="17"/>
      <c r="AC15" s="18"/>
      <c r="AD15" s="18"/>
      <c r="AE15" s="19"/>
      <c r="AF15" s="20" t="s">
        <v>65</v>
      </c>
      <c r="AG15" s="21"/>
      <c r="AH15" s="22"/>
      <c r="AI15" s="12" t="s">
        <v>108</v>
      </c>
      <c r="AJ15" s="23" t="s">
        <v>109</v>
      </c>
      <c r="AK15" s="24"/>
      <c r="AL15" s="24">
        <v>1</v>
      </c>
      <c r="AM15" s="24"/>
      <c r="AN15" s="24"/>
      <c r="AO15" s="24"/>
      <c r="AP15" s="24"/>
      <c r="AQ15" s="24"/>
      <c r="AR15" s="16" t="s">
        <v>110</v>
      </c>
    </row>
    <row r="16" spans="1:44" ht="10.5" customHeight="1" x14ac:dyDescent="0.15">
      <c r="A16" s="25" t="s">
        <v>46</v>
      </c>
      <c r="B16" s="26" t="s">
        <v>47</v>
      </c>
      <c r="C16" s="27">
        <v>45962</v>
      </c>
      <c r="D16" s="25" t="s">
        <v>26</v>
      </c>
      <c r="E16" s="26" t="s">
        <v>49</v>
      </c>
      <c r="F16" s="26">
        <v>0</v>
      </c>
      <c r="G16" s="25" t="s">
        <v>53</v>
      </c>
      <c r="H16" s="26" t="s">
        <v>62</v>
      </c>
      <c r="I16" s="26">
        <v>662139</v>
      </c>
      <c r="J16" s="26" t="s">
        <v>52</v>
      </c>
      <c r="K16" s="26" t="s">
        <v>63</v>
      </c>
      <c r="L16" s="26" t="s">
        <v>58</v>
      </c>
      <c r="M16" s="26"/>
      <c r="N16" s="25" t="s">
        <v>50</v>
      </c>
      <c r="O16" s="26" t="s">
        <v>51</v>
      </c>
      <c r="P16" s="26">
        <v>660271</v>
      </c>
      <c r="Q16" s="26" t="s">
        <v>55</v>
      </c>
      <c r="R16" s="26" t="s">
        <v>69</v>
      </c>
      <c r="S16" s="26" t="s">
        <v>73</v>
      </c>
      <c r="T16" s="26" t="s">
        <v>82</v>
      </c>
      <c r="U16" s="26" t="s">
        <v>83</v>
      </c>
      <c r="V16" s="26" t="s">
        <v>78</v>
      </c>
      <c r="W16" s="26" t="s">
        <v>84</v>
      </c>
      <c r="X16" s="26" t="s">
        <v>85</v>
      </c>
      <c r="Y16" s="26" t="s">
        <v>86</v>
      </c>
      <c r="Z16" s="28">
        <v>5</v>
      </c>
      <c r="AA16" s="29" t="s">
        <v>111</v>
      </c>
      <c r="AB16" s="30" t="s">
        <v>65</v>
      </c>
      <c r="AC16" s="31" t="s">
        <v>65</v>
      </c>
      <c r="AD16" s="31"/>
      <c r="AE16" s="32"/>
      <c r="AF16" s="33" t="s">
        <v>65</v>
      </c>
      <c r="AG16" s="34" t="s">
        <v>65</v>
      </c>
      <c r="AH16" s="35"/>
      <c r="AI16" s="25" t="s">
        <v>75</v>
      </c>
      <c r="AJ16" s="23" t="s">
        <v>76</v>
      </c>
      <c r="AK16" s="36"/>
      <c r="AL16" s="36">
        <v>1</v>
      </c>
      <c r="AM16" s="36"/>
      <c r="AN16" s="36"/>
      <c r="AO16" s="36"/>
      <c r="AP16" s="36"/>
      <c r="AQ16" s="36"/>
      <c r="AR16" s="29" t="s">
        <v>112</v>
      </c>
    </row>
    <row r="17" spans="1:44" ht="10.5" customHeight="1" x14ac:dyDescent="0.15">
      <c r="A17" s="12" t="s">
        <v>46</v>
      </c>
      <c r="B17" s="13" t="s">
        <v>47</v>
      </c>
      <c r="C17" s="14">
        <v>45962</v>
      </c>
      <c r="D17" s="12" t="s">
        <v>26</v>
      </c>
      <c r="E17" s="13" t="s">
        <v>49</v>
      </c>
      <c r="F17" s="13">
        <v>0</v>
      </c>
      <c r="G17" s="12" t="s">
        <v>53</v>
      </c>
      <c r="H17" s="13" t="s">
        <v>59</v>
      </c>
      <c r="I17" s="13">
        <v>676391</v>
      </c>
      <c r="J17" s="13" t="s">
        <v>55</v>
      </c>
      <c r="K17" s="13" t="s">
        <v>63</v>
      </c>
      <c r="L17" s="13" t="s">
        <v>58</v>
      </c>
      <c r="M17" s="13"/>
      <c r="N17" s="12" t="s">
        <v>50</v>
      </c>
      <c r="O17" s="13" t="s">
        <v>51</v>
      </c>
      <c r="P17" s="13">
        <v>660271</v>
      </c>
      <c r="Q17" s="13" t="s">
        <v>55</v>
      </c>
      <c r="R17" s="13" t="s">
        <v>69</v>
      </c>
      <c r="S17" s="13" t="s">
        <v>73</v>
      </c>
      <c r="T17" s="13" t="s">
        <v>82</v>
      </c>
      <c r="U17" s="13" t="s">
        <v>83</v>
      </c>
      <c r="V17" s="13" t="s">
        <v>78</v>
      </c>
      <c r="W17" s="13" t="s">
        <v>84</v>
      </c>
      <c r="X17" s="13" t="s">
        <v>85</v>
      </c>
      <c r="Y17" s="13" t="s">
        <v>86</v>
      </c>
      <c r="Z17" s="15">
        <v>2</v>
      </c>
      <c r="AA17" s="16" t="s">
        <v>113</v>
      </c>
      <c r="AB17" s="17"/>
      <c r="AC17" s="18"/>
      <c r="AD17" s="18"/>
      <c r="AE17" s="19"/>
      <c r="AF17" s="20" t="s">
        <v>65</v>
      </c>
      <c r="AG17" s="21"/>
      <c r="AH17" s="22"/>
      <c r="AI17" s="12" t="s">
        <v>66</v>
      </c>
      <c r="AJ17" s="23" t="s">
        <v>67</v>
      </c>
      <c r="AK17" s="24"/>
      <c r="AL17" s="24"/>
      <c r="AM17" s="24"/>
      <c r="AN17" s="24"/>
      <c r="AO17" s="24"/>
      <c r="AP17" s="24"/>
      <c r="AQ17" s="24"/>
      <c r="AR17" s="16" t="s">
        <v>114</v>
      </c>
    </row>
    <row r="18" spans="1:44" ht="10.5" customHeight="1" x14ac:dyDescent="0.15">
      <c r="A18" s="25" t="s">
        <v>46</v>
      </c>
      <c r="B18" s="26" t="s">
        <v>47</v>
      </c>
      <c r="C18" s="27">
        <v>45962</v>
      </c>
      <c r="D18" s="25" t="s">
        <v>26</v>
      </c>
      <c r="E18" s="26" t="s">
        <v>49</v>
      </c>
      <c r="F18" s="26">
        <v>0</v>
      </c>
      <c r="G18" s="25" t="s">
        <v>53</v>
      </c>
      <c r="H18" s="26" t="s">
        <v>60</v>
      </c>
      <c r="I18" s="26">
        <v>665926</v>
      </c>
      <c r="J18" s="26" t="s">
        <v>52</v>
      </c>
      <c r="K18" s="26" t="s">
        <v>59</v>
      </c>
      <c r="L18" s="26" t="s">
        <v>63</v>
      </c>
      <c r="M18" s="26" t="s">
        <v>58</v>
      </c>
      <c r="N18" s="25" t="s">
        <v>50</v>
      </c>
      <c r="O18" s="26" t="s">
        <v>51</v>
      </c>
      <c r="P18" s="26">
        <v>660271</v>
      </c>
      <c r="Q18" s="26" t="s">
        <v>55</v>
      </c>
      <c r="R18" s="26" t="s">
        <v>69</v>
      </c>
      <c r="S18" s="26" t="s">
        <v>73</v>
      </c>
      <c r="T18" s="26" t="s">
        <v>82</v>
      </c>
      <c r="U18" s="26" t="s">
        <v>83</v>
      </c>
      <c r="V18" s="26" t="s">
        <v>78</v>
      </c>
      <c r="W18" s="26" t="s">
        <v>84</v>
      </c>
      <c r="X18" s="26" t="s">
        <v>85</v>
      </c>
      <c r="Y18" s="26" t="s">
        <v>86</v>
      </c>
      <c r="Z18" s="28">
        <v>5</v>
      </c>
      <c r="AA18" s="29" t="s">
        <v>115</v>
      </c>
      <c r="AB18" s="30" t="s">
        <v>65</v>
      </c>
      <c r="AC18" s="31"/>
      <c r="AD18" s="31"/>
      <c r="AE18" s="32"/>
      <c r="AF18" s="33" t="s">
        <v>65</v>
      </c>
      <c r="AG18" s="34" t="s">
        <v>65</v>
      </c>
      <c r="AH18" s="35" t="s">
        <v>65</v>
      </c>
      <c r="AI18" s="25"/>
      <c r="AJ18" s="23" t="s">
        <v>90</v>
      </c>
      <c r="AK18" s="36"/>
      <c r="AL18" s="36">
        <v>1</v>
      </c>
      <c r="AM18" s="36"/>
      <c r="AN18" s="36"/>
      <c r="AO18" s="36"/>
      <c r="AP18" s="36"/>
      <c r="AQ18" s="36"/>
      <c r="AR18" s="29" t="s">
        <v>116</v>
      </c>
    </row>
    <row r="19" spans="1:44" ht="10.5" customHeight="1" x14ac:dyDescent="0.15">
      <c r="A19" s="12" t="s">
        <v>46</v>
      </c>
      <c r="B19" s="13" t="s">
        <v>47</v>
      </c>
      <c r="C19" s="14">
        <v>45962</v>
      </c>
      <c r="D19" s="12" t="s">
        <v>117</v>
      </c>
      <c r="E19" s="13">
        <v>0</v>
      </c>
      <c r="F19" s="13" t="s">
        <v>49</v>
      </c>
      <c r="G19" s="12" t="s">
        <v>50</v>
      </c>
      <c r="H19" s="13" t="s">
        <v>84</v>
      </c>
      <c r="I19" s="13">
        <v>571771</v>
      </c>
      <c r="J19" s="13" t="s">
        <v>55</v>
      </c>
      <c r="K19" s="13"/>
      <c r="L19" s="13"/>
      <c r="M19" s="13"/>
      <c r="N19" s="12" t="s">
        <v>53</v>
      </c>
      <c r="O19" s="13" t="s">
        <v>54</v>
      </c>
      <c r="P19" s="13">
        <v>453286</v>
      </c>
      <c r="Q19" s="13" t="s">
        <v>55</v>
      </c>
      <c r="R19" s="13" t="s">
        <v>56</v>
      </c>
      <c r="S19" s="13" t="s">
        <v>57</v>
      </c>
      <c r="T19" s="13" t="s">
        <v>58</v>
      </c>
      <c r="U19" s="13" t="s">
        <v>59</v>
      </c>
      <c r="V19" s="13" t="s">
        <v>60</v>
      </c>
      <c r="W19" s="13" t="s">
        <v>61</v>
      </c>
      <c r="X19" s="13" t="s">
        <v>62</v>
      </c>
      <c r="Y19" s="13" t="s">
        <v>63</v>
      </c>
      <c r="Z19" s="15">
        <v>3</v>
      </c>
      <c r="AA19" s="16" t="s">
        <v>118</v>
      </c>
      <c r="AB19" s="17" t="s">
        <v>65</v>
      </c>
      <c r="AC19" s="18"/>
      <c r="AD19" s="18"/>
      <c r="AE19" s="19"/>
      <c r="AF19" s="20" t="s">
        <v>65</v>
      </c>
      <c r="AG19" s="21"/>
      <c r="AH19" s="22"/>
      <c r="AI19" s="12" t="s">
        <v>75</v>
      </c>
      <c r="AJ19" s="23" t="s">
        <v>76</v>
      </c>
      <c r="AK19" s="24"/>
      <c r="AL19" s="24">
        <v>1</v>
      </c>
      <c r="AM19" s="24"/>
      <c r="AN19" s="24"/>
      <c r="AO19" s="24"/>
      <c r="AP19" s="24"/>
      <c r="AQ19" s="24"/>
      <c r="AR19" s="16" t="s">
        <v>119</v>
      </c>
    </row>
    <row r="20" spans="1:44" ht="10.5" customHeight="1" x14ac:dyDescent="0.15">
      <c r="A20" s="25" t="s">
        <v>46</v>
      </c>
      <c r="B20" s="26" t="s">
        <v>47</v>
      </c>
      <c r="C20" s="27">
        <v>45962</v>
      </c>
      <c r="D20" s="25" t="s">
        <v>117</v>
      </c>
      <c r="E20" s="26">
        <v>0</v>
      </c>
      <c r="F20" s="26" t="s">
        <v>49</v>
      </c>
      <c r="G20" s="25" t="s">
        <v>50</v>
      </c>
      <c r="H20" s="26" t="s">
        <v>82</v>
      </c>
      <c r="I20" s="26">
        <v>500743</v>
      </c>
      <c r="J20" s="26" t="s">
        <v>55</v>
      </c>
      <c r="K20" s="26"/>
      <c r="L20" s="26"/>
      <c r="M20" s="26"/>
      <c r="N20" s="25" t="s">
        <v>53</v>
      </c>
      <c r="O20" s="26" t="s">
        <v>54</v>
      </c>
      <c r="P20" s="26">
        <v>453286</v>
      </c>
      <c r="Q20" s="26" t="s">
        <v>55</v>
      </c>
      <c r="R20" s="26" t="s">
        <v>56</v>
      </c>
      <c r="S20" s="26" t="s">
        <v>57</v>
      </c>
      <c r="T20" s="26" t="s">
        <v>58</v>
      </c>
      <c r="U20" s="26" t="s">
        <v>59</v>
      </c>
      <c r="V20" s="26" t="s">
        <v>60</v>
      </c>
      <c r="W20" s="26" t="s">
        <v>61</v>
      </c>
      <c r="X20" s="26" t="s">
        <v>62</v>
      </c>
      <c r="Y20" s="26" t="s">
        <v>63</v>
      </c>
      <c r="Z20" s="28">
        <v>4</v>
      </c>
      <c r="AA20" s="29" t="s">
        <v>120</v>
      </c>
      <c r="AB20" s="30" t="s">
        <v>65</v>
      </c>
      <c r="AC20" s="31"/>
      <c r="AD20" s="31"/>
      <c r="AE20" s="32"/>
      <c r="AF20" s="33" t="s">
        <v>65</v>
      </c>
      <c r="AG20" s="34" t="s">
        <v>65</v>
      </c>
      <c r="AH20" s="35" t="s">
        <v>65</v>
      </c>
      <c r="AI20" s="25"/>
      <c r="AJ20" s="23" t="s">
        <v>90</v>
      </c>
      <c r="AK20" s="36"/>
      <c r="AL20" s="36">
        <v>1</v>
      </c>
      <c r="AM20" s="36"/>
      <c r="AN20" s="36"/>
      <c r="AO20" s="36"/>
      <c r="AP20" s="36"/>
      <c r="AQ20" s="36"/>
      <c r="AR20" s="29" t="s">
        <v>121</v>
      </c>
    </row>
    <row r="21" spans="1:44" ht="10.5" customHeight="1" x14ac:dyDescent="0.15">
      <c r="A21" s="12" t="s">
        <v>46</v>
      </c>
      <c r="B21" s="13" t="s">
        <v>47</v>
      </c>
      <c r="C21" s="14">
        <v>45962</v>
      </c>
      <c r="D21" s="12" t="s">
        <v>117</v>
      </c>
      <c r="E21" s="13">
        <v>0</v>
      </c>
      <c r="F21" s="13" t="s">
        <v>49</v>
      </c>
      <c r="G21" s="12" t="s">
        <v>50</v>
      </c>
      <c r="H21" s="13" t="s">
        <v>51</v>
      </c>
      <c r="I21" s="13">
        <v>660271</v>
      </c>
      <c r="J21" s="13" t="s">
        <v>52</v>
      </c>
      <c r="K21" s="13"/>
      <c r="L21" s="13"/>
      <c r="M21" s="13"/>
      <c r="N21" s="12" t="s">
        <v>53</v>
      </c>
      <c r="O21" s="13" t="s">
        <v>54</v>
      </c>
      <c r="P21" s="13">
        <v>453286</v>
      </c>
      <c r="Q21" s="13" t="s">
        <v>55</v>
      </c>
      <c r="R21" s="13" t="s">
        <v>56</v>
      </c>
      <c r="S21" s="13" t="s">
        <v>57</v>
      </c>
      <c r="T21" s="13" t="s">
        <v>58</v>
      </c>
      <c r="U21" s="13" t="s">
        <v>59</v>
      </c>
      <c r="V21" s="13" t="s">
        <v>60</v>
      </c>
      <c r="W21" s="13" t="s">
        <v>61</v>
      </c>
      <c r="X21" s="13" t="s">
        <v>62</v>
      </c>
      <c r="Y21" s="13" t="s">
        <v>63</v>
      </c>
      <c r="Z21" s="15">
        <v>1</v>
      </c>
      <c r="AA21" s="16" t="s">
        <v>74</v>
      </c>
      <c r="AB21" s="17"/>
      <c r="AC21" s="18"/>
      <c r="AD21" s="18"/>
      <c r="AE21" s="19"/>
      <c r="AF21" s="20"/>
      <c r="AG21" s="21"/>
      <c r="AH21" s="22"/>
      <c r="AI21" s="12"/>
      <c r="AJ21" s="23" t="s">
        <v>122</v>
      </c>
      <c r="AK21" s="24"/>
      <c r="AL21" s="24">
        <v>1</v>
      </c>
      <c r="AM21" s="24"/>
      <c r="AN21" s="24"/>
      <c r="AO21" s="24"/>
      <c r="AP21" s="24"/>
      <c r="AQ21" s="24"/>
      <c r="AR21" s="16" t="s">
        <v>123</v>
      </c>
    </row>
    <row r="22" spans="1:44" ht="10.5" customHeight="1" x14ac:dyDescent="0.15">
      <c r="A22" s="25" t="s">
        <v>46</v>
      </c>
      <c r="B22" s="26" t="s">
        <v>47</v>
      </c>
      <c r="C22" s="27">
        <v>45962</v>
      </c>
      <c r="D22" s="25" t="s">
        <v>27</v>
      </c>
      <c r="E22" s="26" t="s">
        <v>49</v>
      </c>
      <c r="F22" s="26">
        <v>0</v>
      </c>
      <c r="G22" s="25" t="s">
        <v>53</v>
      </c>
      <c r="H22" s="26" t="s">
        <v>81</v>
      </c>
      <c r="I22" s="26">
        <v>543807</v>
      </c>
      <c r="J22" s="26" t="s">
        <v>55</v>
      </c>
      <c r="K22" s="26"/>
      <c r="L22" s="26"/>
      <c r="M22" s="26"/>
      <c r="N22" s="25" t="s">
        <v>50</v>
      </c>
      <c r="O22" s="26" t="s">
        <v>51</v>
      </c>
      <c r="P22" s="26">
        <v>660271</v>
      </c>
      <c r="Q22" s="26" t="s">
        <v>55</v>
      </c>
      <c r="R22" s="26" t="s">
        <v>69</v>
      </c>
      <c r="S22" s="26" t="s">
        <v>73</v>
      </c>
      <c r="T22" s="26" t="s">
        <v>82</v>
      </c>
      <c r="U22" s="26" t="s">
        <v>83</v>
      </c>
      <c r="V22" s="26" t="s">
        <v>78</v>
      </c>
      <c r="W22" s="26" t="s">
        <v>84</v>
      </c>
      <c r="X22" s="26" t="s">
        <v>85</v>
      </c>
      <c r="Y22" s="26" t="s">
        <v>86</v>
      </c>
      <c r="Z22" s="28">
        <v>5</v>
      </c>
      <c r="AA22" s="29" t="s">
        <v>124</v>
      </c>
      <c r="AB22" s="30" t="s">
        <v>65</v>
      </c>
      <c r="AC22" s="31"/>
      <c r="AD22" s="31"/>
      <c r="AE22" s="32"/>
      <c r="AF22" s="33" t="s">
        <v>65</v>
      </c>
      <c r="AG22" s="34" t="s">
        <v>65</v>
      </c>
      <c r="AH22" s="35"/>
      <c r="AI22" s="25" t="s">
        <v>66</v>
      </c>
      <c r="AJ22" s="23" t="s">
        <v>67</v>
      </c>
      <c r="AK22" s="36"/>
      <c r="AL22" s="36"/>
      <c r="AM22" s="36"/>
      <c r="AN22" s="36"/>
      <c r="AO22" s="36"/>
      <c r="AP22" s="36"/>
      <c r="AQ22" s="36"/>
      <c r="AR22" s="29" t="s">
        <v>88</v>
      </c>
    </row>
    <row r="23" spans="1:44" ht="10.5" customHeight="1" x14ac:dyDescent="0.15">
      <c r="A23" s="12" t="s">
        <v>46</v>
      </c>
      <c r="B23" s="13" t="s">
        <v>47</v>
      </c>
      <c r="C23" s="14">
        <v>45962</v>
      </c>
      <c r="D23" s="12" t="s">
        <v>27</v>
      </c>
      <c r="E23" s="13" t="s">
        <v>49</v>
      </c>
      <c r="F23" s="13">
        <v>0</v>
      </c>
      <c r="G23" s="12" t="s">
        <v>53</v>
      </c>
      <c r="H23" s="13" t="s">
        <v>61</v>
      </c>
      <c r="I23" s="13">
        <v>664770</v>
      </c>
      <c r="J23" s="13" t="s">
        <v>52</v>
      </c>
      <c r="K23" s="13" t="s">
        <v>81</v>
      </c>
      <c r="L23" s="13"/>
      <c r="M23" s="13"/>
      <c r="N23" s="12" t="s">
        <v>50</v>
      </c>
      <c r="O23" s="13" t="s">
        <v>51</v>
      </c>
      <c r="P23" s="13">
        <v>660271</v>
      </c>
      <c r="Q23" s="13" t="s">
        <v>55</v>
      </c>
      <c r="R23" s="13" t="s">
        <v>69</v>
      </c>
      <c r="S23" s="13" t="s">
        <v>73</v>
      </c>
      <c r="T23" s="13" t="s">
        <v>82</v>
      </c>
      <c r="U23" s="13" t="s">
        <v>83</v>
      </c>
      <c r="V23" s="13" t="s">
        <v>78</v>
      </c>
      <c r="W23" s="13" t="s">
        <v>84</v>
      </c>
      <c r="X23" s="13" t="s">
        <v>85</v>
      </c>
      <c r="Y23" s="13" t="s">
        <v>86</v>
      </c>
      <c r="Z23" s="15">
        <v>1</v>
      </c>
      <c r="AA23" s="16" t="s">
        <v>74</v>
      </c>
      <c r="AB23" s="17"/>
      <c r="AC23" s="18"/>
      <c r="AD23" s="18"/>
      <c r="AE23" s="19"/>
      <c r="AF23" s="20"/>
      <c r="AG23" s="21"/>
      <c r="AH23" s="22"/>
      <c r="AI23" s="12"/>
      <c r="AJ23" s="23" t="s">
        <v>125</v>
      </c>
      <c r="AK23" s="24"/>
      <c r="AL23" s="24">
        <v>1</v>
      </c>
      <c r="AM23" s="24"/>
      <c r="AN23" s="24"/>
      <c r="AO23" s="24"/>
      <c r="AP23" s="24"/>
      <c r="AQ23" s="24"/>
      <c r="AR23" s="16" t="s">
        <v>126</v>
      </c>
    </row>
    <row r="24" spans="1:44" ht="10.5" customHeight="1" x14ac:dyDescent="0.15">
      <c r="A24" s="25" t="s">
        <v>46</v>
      </c>
      <c r="B24" s="26" t="s">
        <v>47</v>
      </c>
      <c r="C24" s="27">
        <v>45962</v>
      </c>
      <c r="D24" s="25" t="s">
        <v>27</v>
      </c>
      <c r="E24" s="26" t="s">
        <v>49</v>
      </c>
      <c r="F24" s="26">
        <v>0</v>
      </c>
      <c r="G24" s="25" t="s">
        <v>53</v>
      </c>
      <c r="H24" s="26" t="s">
        <v>57</v>
      </c>
      <c r="I24" s="26">
        <v>665489</v>
      </c>
      <c r="J24" s="26" t="s">
        <v>55</v>
      </c>
      <c r="K24" s="26"/>
      <c r="L24" s="26" t="s">
        <v>81</v>
      </c>
      <c r="M24" s="26"/>
      <c r="N24" s="25" t="s">
        <v>50</v>
      </c>
      <c r="O24" s="26" t="s">
        <v>51</v>
      </c>
      <c r="P24" s="26">
        <v>660271</v>
      </c>
      <c r="Q24" s="26" t="s">
        <v>55</v>
      </c>
      <c r="R24" s="26" t="s">
        <v>69</v>
      </c>
      <c r="S24" s="26" t="s">
        <v>73</v>
      </c>
      <c r="T24" s="26" t="s">
        <v>82</v>
      </c>
      <c r="U24" s="26" t="s">
        <v>83</v>
      </c>
      <c r="V24" s="26" t="s">
        <v>78</v>
      </c>
      <c r="W24" s="26" t="s">
        <v>84</v>
      </c>
      <c r="X24" s="26" t="s">
        <v>85</v>
      </c>
      <c r="Y24" s="26" t="s">
        <v>86</v>
      </c>
      <c r="Z24" s="28">
        <v>1</v>
      </c>
      <c r="AA24" s="29" t="s">
        <v>127</v>
      </c>
      <c r="AB24" s="30"/>
      <c r="AC24" s="31"/>
      <c r="AD24" s="31"/>
      <c r="AE24" s="32"/>
      <c r="AF24" s="33"/>
      <c r="AG24" s="34"/>
      <c r="AH24" s="35"/>
      <c r="AI24" s="25"/>
      <c r="AJ24" s="23"/>
      <c r="AK24" s="36"/>
      <c r="AL24" s="36"/>
      <c r="AM24" s="36"/>
      <c r="AN24" s="36"/>
      <c r="AO24" s="36"/>
      <c r="AP24" s="36"/>
      <c r="AQ24" s="36">
        <v>1</v>
      </c>
      <c r="AR24" s="29" t="s">
        <v>128</v>
      </c>
    </row>
    <row r="25" spans="1:44" ht="10.5" customHeight="1" x14ac:dyDescent="0.15">
      <c r="A25" s="12" t="s">
        <v>46</v>
      </c>
      <c r="B25" s="13" t="s">
        <v>47</v>
      </c>
      <c r="C25" s="14">
        <v>45962</v>
      </c>
      <c r="D25" s="12" t="s">
        <v>27</v>
      </c>
      <c r="E25" s="13" t="s">
        <v>49</v>
      </c>
      <c r="F25" s="13">
        <v>0</v>
      </c>
      <c r="G25" s="12" t="s">
        <v>53</v>
      </c>
      <c r="H25" s="13" t="s">
        <v>57</v>
      </c>
      <c r="I25" s="13">
        <v>665489</v>
      </c>
      <c r="J25" s="13" t="s">
        <v>55</v>
      </c>
      <c r="K25" s="13"/>
      <c r="L25" s="13"/>
      <c r="M25" s="13" t="s">
        <v>81</v>
      </c>
      <c r="N25" s="12" t="s">
        <v>50</v>
      </c>
      <c r="O25" s="13" t="s">
        <v>51</v>
      </c>
      <c r="P25" s="13">
        <v>660271</v>
      </c>
      <c r="Q25" s="13" t="s">
        <v>55</v>
      </c>
      <c r="R25" s="13" t="s">
        <v>69</v>
      </c>
      <c r="S25" s="13" t="s">
        <v>73</v>
      </c>
      <c r="T25" s="13" t="s">
        <v>82</v>
      </c>
      <c r="U25" s="13" t="s">
        <v>83</v>
      </c>
      <c r="V25" s="13" t="s">
        <v>78</v>
      </c>
      <c r="W25" s="13" t="s">
        <v>84</v>
      </c>
      <c r="X25" s="13" t="s">
        <v>85</v>
      </c>
      <c r="Y25" s="13" t="s">
        <v>86</v>
      </c>
      <c r="Z25" s="15">
        <v>1</v>
      </c>
      <c r="AA25" s="16" t="s">
        <v>129</v>
      </c>
      <c r="AB25" s="17"/>
      <c r="AC25" s="18"/>
      <c r="AD25" s="18"/>
      <c r="AE25" s="19"/>
      <c r="AF25" s="20"/>
      <c r="AG25" s="21"/>
      <c r="AH25" s="22"/>
      <c r="AI25" s="12"/>
      <c r="AJ25" s="23" t="s">
        <v>130</v>
      </c>
      <c r="AK25" s="24"/>
      <c r="AL25" s="24"/>
      <c r="AM25" s="24"/>
      <c r="AN25" s="24"/>
      <c r="AO25" s="24"/>
      <c r="AP25" s="24"/>
      <c r="AQ25" s="24"/>
      <c r="AR25" s="16" t="s">
        <v>131</v>
      </c>
    </row>
    <row r="26" spans="1:44" ht="10.5" customHeight="1" x14ac:dyDescent="0.15">
      <c r="A26" s="25" t="s">
        <v>46</v>
      </c>
      <c r="B26" s="26" t="s">
        <v>47</v>
      </c>
      <c r="C26" s="27">
        <v>45962</v>
      </c>
      <c r="D26" s="25" t="s">
        <v>27</v>
      </c>
      <c r="E26" s="26" t="s">
        <v>49</v>
      </c>
      <c r="F26" s="26">
        <v>0</v>
      </c>
      <c r="G26" s="25" t="s">
        <v>53</v>
      </c>
      <c r="H26" s="26" t="s">
        <v>58</v>
      </c>
      <c r="I26" s="26">
        <v>666182</v>
      </c>
      <c r="J26" s="26" t="s">
        <v>55</v>
      </c>
      <c r="K26" s="26" t="s">
        <v>57</v>
      </c>
      <c r="L26" s="26"/>
      <c r="M26" s="26" t="s">
        <v>81</v>
      </c>
      <c r="N26" s="25" t="s">
        <v>50</v>
      </c>
      <c r="O26" s="26" t="s">
        <v>51</v>
      </c>
      <c r="P26" s="26">
        <v>660271</v>
      </c>
      <c r="Q26" s="26" t="s">
        <v>55</v>
      </c>
      <c r="R26" s="26" t="s">
        <v>69</v>
      </c>
      <c r="S26" s="26" t="s">
        <v>73</v>
      </c>
      <c r="T26" s="26" t="s">
        <v>82</v>
      </c>
      <c r="U26" s="26" t="s">
        <v>83</v>
      </c>
      <c r="V26" s="26" t="s">
        <v>78</v>
      </c>
      <c r="W26" s="26" t="s">
        <v>84</v>
      </c>
      <c r="X26" s="26" t="s">
        <v>85</v>
      </c>
      <c r="Y26" s="26" t="s">
        <v>86</v>
      </c>
      <c r="Z26" s="28">
        <v>1</v>
      </c>
      <c r="AA26" s="29" t="s">
        <v>74</v>
      </c>
      <c r="AB26" s="30"/>
      <c r="AC26" s="31"/>
      <c r="AD26" s="31"/>
      <c r="AE26" s="32"/>
      <c r="AF26" s="33"/>
      <c r="AG26" s="34"/>
      <c r="AH26" s="35"/>
      <c r="AI26" s="25" t="s">
        <v>75</v>
      </c>
      <c r="AJ26" s="23" t="s">
        <v>132</v>
      </c>
      <c r="AK26" s="36">
        <v>3</v>
      </c>
      <c r="AL26" s="36"/>
      <c r="AM26" s="36"/>
      <c r="AN26" s="36"/>
      <c r="AO26" s="36"/>
      <c r="AP26" s="36"/>
      <c r="AQ26" s="36"/>
      <c r="AR26" s="29" t="s">
        <v>133</v>
      </c>
    </row>
    <row r="27" spans="1:44" ht="10.5" customHeight="1" x14ac:dyDescent="0.15">
      <c r="A27" s="12" t="s">
        <v>46</v>
      </c>
      <c r="B27" s="13" t="s">
        <v>47</v>
      </c>
      <c r="C27" s="14">
        <v>45962</v>
      </c>
      <c r="D27" s="12" t="s">
        <v>27</v>
      </c>
      <c r="E27" s="13" t="s">
        <v>49</v>
      </c>
      <c r="F27" s="13">
        <v>3</v>
      </c>
      <c r="G27" s="12" t="s">
        <v>53</v>
      </c>
      <c r="H27" s="13" t="s">
        <v>63</v>
      </c>
      <c r="I27" s="13">
        <v>680718</v>
      </c>
      <c r="J27" s="13" t="s">
        <v>52</v>
      </c>
      <c r="K27" s="13"/>
      <c r="L27" s="13"/>
      <c r="M27" s="13"/>
      <c r="N27" s="12" t="s">
        <v>50</v>
      </c>
      <c r="O27" s="13" t="s">
        <v>134</v>
      </c>
      <c r="P27" s="13">
        <v>680736</v>
      </c>
      <c r="Q27" s="13" t="s">
        <v>52</v>
      </c>
      <c r="R27" s="13" t="s">
        <v>69</v>
      </c>
      <c r="S27" s="13" t="s">
        <v>73</v>
      </c>
      <c r="T27" s="13" t="s">
        <v>82</v>
      </c>
      <c r="U27" s="13" t="s">
        <v>83</v>
      </c>
      <c r="V27" s="13" t="s">
        <v>78</v>
      </c>
      <c r="W27" s="13" t="s">
        <v>84</v>
      </c>
      <c r="X27" s="13" t="s">
        <v>85</v>
      </c>
      <c r="Y27" s="13" t="s">
        <v>86</v>
      </c>
      <c r="Z27" s="15">
        <v>3</v>
      </c>
      <c r="AA27" s="16" t="s">
        <v>70</v>
      </c>
      <c r="AB27" s="17"/>
      <c r="AC27" s="18"/>
      <c r="AD27" s="18"/>
      <c r="AE27" s="19"/>
      <c r="AF27" s="20" t="s">
        <v>65</v>
      </c>
      <c r="AG27" s="21" t="s">
        <v>65</v>
      </c>
      <c r="AH27" s="22"/>
      <c r="AI27" s="12" t="s">
        <v>66</v>
      </c>
      <c r="AJ27" s="23" t="s">
        <v>67</v>
      </c>
      <c r="AK27" s="24"/>
      <c r="AL27" s="24"/>
      <c r="AM27" s="24"/>
      <c r="AN27" s="24"/>
      <c r="AO27" s="24"/>
      <c r="AP27" s="24"/>
      <c r="AQ27" s="24"/>
      <c r="AR27" s="16" t="s">
        <v>68</v>
      </c>
    </row>
    <row r="28" spans="1:44" ht="10.5" customHeight="1" x14ac:dyDescent="0.15">
      <c r="A28" s="25" t="s">
        <v>46</v>
      </c>
      <c r="B28" s="26" t="s">
        <v>47</v>
      </c>
      <c r="C28" s="27">
        <v>45962</v>
      </c>
      <c r="D28" s="25" t="s">
        <v>27</v>
      </c>
      <c r="E28" s="26" t="s">
        <v>49</v>
      </c>
      <c r="F28" s="26">
        <v>3</v>
      </c>
      <c r="G28" s="25" t="s">
        <v>53</v>
      </c>
      <c r="H28" s="26" t="s">
        <v>56</v>
      </c>
      <c r="I28" s="26">
        <v>672386</v>
      </c>
      <c r="J28" s="26" t="s">
        <v>55</v>
      </c>
      <c r="K28" s="26" t="s">
        <v>63</v>
      </c>
      <c r="L28" s="26"/>
      <c r="M28" s="26"/>
      <c r="N28" s="25" t="s">
        <v>50</v>
      </c>
      <c r="O28" s="26" t="s">
        <v>134</v>
      </c>
      <c r="P28" s="26">
        <v>680736</v>
      </c>
      <c r="Q28" s="26" t="s">
        <v>52</v>
      </c>
      <c r="R28" s="26" t="s">
        <v>69</v>
      </c>
      <c r="S28" s="26" t="s">
        <v>73</v>
      </c>
      <c r="T28" s="26" t="s">
        <v>82</v>
      </c>
      <c r="U28" s="26" t="s">
        <v>83</v>
      </c>
      <c r="V28" s="26" t="s">
        <v>78</v>
      </c>
      <c r="W28" s="26" t="s">
        <v>84</v>
      </c>
      <c r="X28" s="26" t="s">
        <v>85</v>
      </c>
      <c r="Y28" s="26" t="s">
        <v>86</v>
      </c>
      <c r="Z28" s="28">
        <v>2</v>
      </c>
      <c r="AA28" s="29" t="s">
        <v>98</v>
      </c>
      <c r="AB28" s="30"/>
      <c r="AC28" s="31"/>
      <c r="AD28" s="31"/>
      <c r="AE28" s="32"/>
      <c r="AF28" s="33" t="s">
        <v>65</v>
      </c>
      <c r="AG28" s="34"/>
      <c r="AH28" s="35"/>
      <c r="AI28" s="25"/>
      <c r="AJ28" s="23" t="s">
        <v>122</v>
      </c>
      <c r="AK28" s="36"/>
      <c r="AL28" s="36">
        <v>1</v>
      </c>
      <c r="AM28" s="36"/>
      <c r="AN28" s="36"/>
      <c r="AO28" s="36"/>
      <c r="AP28" s="36"/>
      <c r="AQ28" s="36"/>
      <c r="AR28" s="29" t="s">
        <v>135</v>
      </c>
    </row>
    <row r="29" spans="1:44" ht="10.5" customHeight="1" x14ac:dyDescent="0.15">
      <c r="A29" s="12" t="s">
        <v>46</v>
      </c>
      <c r="B29" s="13" t="s">
        <v>47</v>
      </c>
      <c r="C29" s="14">
        <v>45962</v>
      </c>
      <c r="D29" s="12" t="s">
        <v>27</v>
      </c>
      <c r="E29" s="13" t="s">
        <v>49</v>
      </c>
      <c r="F29" s="13">
        <v>3</v>
      </c>
      <c r="G29" s="12" t="s">
        <v>53</v>
      </c>
      <c r="H29" s="13" t="s">
        <v>62</v>
      </c>
      <c r="I29" s="13">
        <v>662139</v>
      </c>
      <c r="J29" s="13" t="s">
        <v>52</v>
      </c>
      <c r="K29" s="13" t="s">
        <v>63</v>
      </c>
      <c r="L29" s="13"/>
      <c r="M29" s="13"/>
      <c r="N29" s="12" t="s">
        <v>50</v>
      </c>
      <c r="O29" s="13" t="s">
        <v>134</v>
      </c>
      <c r="P29" s="13">
        <v>680736</v>
      </c>
      <c r="Q29" s="13" t="s">
        <v>52</v>
      </c>
      <c r="R29" s="13" t="s">
        <v>69</v>
      </c>
      <c r="S29" s="13" t="s">
        <v>73</v>
      </c>
      <c r="T29" s="13" t="s">
        <v>82</v>
      </c>
      <c r="U29" s="13" t="s">
        <v>83</v>
      </c>
      <c r="V29" s="13" t="s">
        <v>78</v>
      </c>
      <c r="W29" s="13" t="s">
        <v>84</v>
      </c>
      <c r="X29" s="13" t="s">
        <v>85</v>
      </c>
      <c r="Y29" s="13" t="s">
        <v>86</v>
      </c>
      <c r="Z29" s="15">
        <v>4</v>
      </c>
      <c r="AA29" s="16" t="s">
        <v>136</v>
      </c>
      <c r="AB29" s="17" t="s">
        <v>65</v>
      </c>
      <c r="AC29" s="18"/>
      <c r="AD29" s="18"/>
      <c r="AE29" s="19"/>
      <c r="AF29" s="20" t="s">
        <v>65</v>
      </c>
      <c r="AG29" s="21" t="s">
        <v>65</v>
      </c>
      <c r="AH29" s="22" t="s">
        <v>65</v>
      </c>
      <c r="AI29" s="12"/>
      <c r="AJ29" s="23" t="s">
        <v>90</v>
      </c>
      <c r="AK29" s="24"/>
      <c r="AL29" s="24">
        <v>1</v>
      </c>
      <c r="AM29" s="24"/>
      <c r="AN29" s="24"/>
      <c r="AO29" s="24"/>
      <c r="AP29" s="24"/>
      <c r="AQ29" s="24"/>
      <c r="AR29" s="16" t="s">
        <v>137</v>
      </c>
    </row>
    <row r="30" spans="1:44" ht="10.5" customHeight="1" x14ac:dyDescent="0.15">
      <c r="A30" s="25" t="s">
        <v>46</v>
      </c>
      <c r="B30" s="26" t="s">
        <v>47</v>
      </c>
      <c r="C30" s="27">
        <v>45962</v>
      </c>
      <c r="D30" s="25" t="s">
        <v>138</v>
      </c>
      <c r="E30" s="26">
        <v>0</v>
      </c>
      <c r="F30" s="26" t="s">
        <v>139</v>
      </c>
      <c r="G30" s="25" t="s">
        <v>50</v>
      </c>
      <c r="H30" s="26" t="s">
        <v>69</v>
      </c>
      <c r="I30" s="26">
        <v>669257</v>
      </c>
      <c r="J30" s="26" t="s">
        <v>55</v>
      </c>
      <c r="K30" s="26"/>
      <c r="L30" s="26"/>
      <c r="M30" s="26"/>
      <c r="N30" s="25" t="s">
        <v>53</v>
      </c>
      <c r="O30" s="26" t="s">
        <v>54</v>
      </c>
      <c r="P30" s="26">
        <v>453286</v>
      </c>
      <c r="Q30" s="26" t="s">
        <v>55</v>
      </c>
      <c r="R30" s="26" t="s">
        <v>56</v>
      </c>
      <c r="S30" s="26" t="s">
        <v>57</v>
      </c>
      <c r="T30" s="26" t="s">
        <v>58</v>
      </c>
      <c r="U30" s="26" t="s">
        <v>59</v>
      </c>
      <c r="V30" s="26" t="s">
        <v>60</v>
      </c>
      <c r="W30" s="26" t="s">
        <v>61</v>
      </c>
      <c r="X30" s="26" t="s">
        <v>62</v>
      </c>
      <c r="Y30" s="26" t="s">
        <v>63</v>
      </c>
      <c r="Z30" s="28">
        <v>1</v>
      </c>
      <c r="AA30" s="29" t="s">
        <v>74</v>
      </c>
      <c r="AB30" s="30"/>
      <c r="AC30" s="31"/>
      <c r="AD30" s="31"/>
      <c r="AE30" s="32"/>
      <c r="AF30" s="33"/>
      <c r="AG30" s="34"/>
      <c r="AH30" s="35"/>
      <c r="AI30" s="25" t="s">
        <v>75</v>
      </c>
      <c r="AJ30" s="23" t="s">
        <v>140</v>
      </c>
      <c r="AK30" s="36"/>
      <c r="AL30" s="36"/>
      <c r="AM30" s="36"/>
      <c r="AN30" s="36"/>
      <c r="AO30" s="36"/>
      <c r="AP30" s="36"/>
      <c r="AQ30" s="36"/>
      <c r="AR30" s="29" t="s">
        <v>141</v>
      </c>
    </row>
    <row r="31" spans="1:44" ht="10.5" customHeight="1" x14ac:dyDescent="0.15">
      <c r="A31" s="12" t="s">
        <v>46</v>
      </c>
      <c r="B31" s="13" t="s">
        <v>47</v>
      </c>
      <c r="C31" s="14">
        <v>45962</v>
      </c>
      <c r="D31" s="12" t="s">
        <v>138</v>
      </c>
      <c r="E31" s="13">
        <v>0</v>
      </c>
      <c r="F31" s="13" t="s">
        <v>139</v>
      </c>
      <c r="G31" s="12" t="s">
        <v>50</v>
      </c>
      <c r="H31" s="13" t="s">
        <v>73</v>
      </c>
      <c r="I31" s="13">
        <v>518692</v>
      </c>
      <c r="J31" s="13" t="s">
        <v>52</v>
      </c>
      <c r="K31" s="13"/>
      <c r="L31" s="13" t="s">
        <v>69</v>
      </c>
      <c r="M31" s="13"/>
      <c r="N31" s="12" t="s">
        <v>53</v>
      </c>
      <c r="O31" s="13" t="s">
        <v>54</v>
      </c>
      <c r="P31" s="13">
        <v>453286</v>
      </c>
      <c r="Q31" s="13" t="s">
        <v>55</v>
      </c>
      <c r="R31" s="13" t="s">
        <v>56</v>
      </c>
      <c r="S31" s="13" t="s">
        <v>57</v>
      </c>
      <c r="T31" s="13" t="s">
        <v>58</v>
      </c>
      <c r="U31" s="13" t="s">
        <v>59</v>
      </c>
      <c r="V31" s="13" t="s">
        <v>60</v>
      </c>
      <c r="W31" s="13" t="s">
        <v>61</v>
      </c>
      <c r="X31" s="13" t="s">
        <v>62</v>
      </c>
      <c r="Y31" s="13" t="s">
        <v>63</v>
      </c>
      <c r="Z31" s="15">
        <v>3</v>
      </c>
      <c r="AA31" s="16" t="s">
        <v>118</v>
      </c>
      <c r="AB31" s="17" t="s">
        <v>65</v>
      </c>
      <c r="AC31" s="18"/>
      <c r="AD31" s="18"/>
      <c r="AE31" s="19"/>
      <c r="AF31" s="20" t="s">
        <v>65</v>
      </c>
      <c r="AG31" s="21"/>
      <c r="AH31" s="22"/>
      <c r="AI31" s="12" t="s">
        <v>66</v>
      </c>
      <c r="AJ31" s="23" t="s">
        <v>67</v>
      </c>
      <c r="AK31" s="24"/>
      <c r="AL31" s="24"/>
      <c r="AM31" s="24"/>
      <c r="AN31" s="24"/>
      <c r="AO31" s="24"/>
      <c r="AP31" s="24"/>
      <c r="AQ31" s="24"/>
      <c r="AR31" s="16" t="s">
        <v>142</v>
      </c>
    </row>
    <row r="32" spans="1:44" ht="10.5" customHeight="1" x14ac:dyDescent="0.15">
      <c r="A32" s="25" t="s">
        <v>46</v>
      </c>
      <c r="B32" s="26" t="s">
        <v>47</v>
      </c>
      <c r="C32" s="27">
        <v>45962</v>
      </c>
      <c r="D32" s="25" t="s">
        <v>138</v>
      </c>
      <c r="E32" s="26">
        <v>0</v>
      </c>
      <c r="F32" s="26" t="s">
        <v>139</v>
      </c>
      <c r="G32" s="25" t="s">
        <v>50</v>
      </c>
      <c r="H32" s="26" t="s">
        <v>78</v>
      </c>
      <c r="I32" s="26">
        <v>605141</v>
      </c>
      <c r="J32" s="26" t="s">
        <v>55</v>
      </c>
      <c r="K32" s="26" t="s">
        <v>73</v>
      </c>
      <c r="L32" s="26"/>
      <c r="M32" s="26" t="s">
        <v>69</v>
      </c>
      <c r="N32" s="25" t="s">
        <v>53</v>
      </c>
      <c r="O32" s="26" t="s">
        <v>54</v>
      </c>
      <c r="P32" s="26">
        <v>453286</v>
      </c>
      <c r="Q32" s="26" t="s">
        <v>55</v>
      </c>
      <c r="R32" s="26" t="s">
        <v>56</v>
      </c>
      <c r="S32" s="26" t="s">
        <v>57</v>
      </c>
      <c r="T32" s="26" t="s">
        <v>58</v>
      </c>
      <c r="U32" s="26" t="s">
        <v>59</v>
      </c>
      <c r="V32" s="26" t="s">
        <v>60</v>
      </c>
      <c r="W32" s="26" t="s">
        <v>61</v>
      </c>
      <c r="X32" s="26" t="s">
        <v>62</v>
      </c>
      <c r="Y32" s="26" t="s">
        <v>63</v>
      </c>
      <c r="Z32" s="28">
        <v>3</v>
      </c>
      <c r="AA32" s="29" t="s">
        <v>143</v>
      </c>
      <c r="AB32" s="30" t="s">
        <v>65</v>
      </c>
      <c r="AC32" s="31"/>
      <c r="AD32" s="31"/>
      <c r="AE32" s="32"/>
      <c r="AF32" s="33" t="s">
        <v>65</v>
      </c>
      <c r="AG32" s="34"/>
      <c r="AH32" s="35"/>
      <c r="AI32" s="25" t="s">
        <v>75</v>
      </c>
      <c r="AJ32" s="23" t="s">
        <v>76</v>
      </c>
      <c r="AK32" s="36"/>
      <c r="AL32" s="36">
        <v>1</v>
      </c>
      <c r="AM32" s="36"/>
      <c r="AN32" s="36"/>
      <c r="AO32" s="36"/>
      <c r="AP32" s="36"/>
      <c r="AQ32" s="36"/>
      <c r="AR32" s="29" t="s">
        <v>144</v>
      </c>
    </row>
    <row r="33" spans="1:44" ht="10.5" customHeight="1" x14ac:dyDescent="0.15">
      <c r="A33" s="12" t="s">
        <v>46</v>
      </c>
      <c r="B33" s="13" t="s">
        <v>47</v>
      </c>
      <c r="C33" s="14">
        <v>45962</v>
      </c>
      <c r="D33" s="12" t="s">
        <v>138</v>
      </c>
      <c r="E33" s="13">
        <v>0</v>
      </c>
      <c r="F33" s="13" t="s">
        <v>139</v>
      </c>
      <c r="G33" s="12" t="s">
        <v>50</v>
      </c>
      <c r="H33" s="13" t="s">
        <v>83</v>
      </c>
      <c r="I33" s="13">
        <v>571970</v>
      </c>
      <c r="J33" s="13" t="s">
        <v>52</v>
      </c>
      <c r="K33" s="13" t="s">
        <v>73</v>
      </c>
      <c r="L33" s="13"/>
      <c r="M33" s="13" t="s">
        <v>69</v>
      </c>
      <c r="N33" s="12" t="s">
        <v>53</v>
      </c>
      <c r="O33" s="13" t="s">
        <v>54</v>
      </c>
      <c r="P33" s="13">
        <v>453286</v>
      </c>
      <c r="Q33" s="13" t="s">
        <v>55</v>
      </c>
      <c r="R33" s="13" t="s">
        <v>56</v>
      </c>
      <c r="S33" s="13" t="s">
        <v>57</v>
      </c>
      <c r="T33" s="13" t="s">
        <v>58</v>
      </c>
      <c r="U33" s="13" t="s">
        <v>59</v>
      </c>
      <c r="V33" s="13" t="s">
        <v>60</v>
      </c>
      <c r="W33" s="13" t="s">
        <v>61</v>
      </c>
      <c r="X33" s="13" t="s">
        <v>62</v>
      </c>
      <c r="Y33" s="13" t="s">
        <v>63</v>
      </c>
      <c r="Z33" s="15">
        <v>7</v>
      </c>
      <c r="AA33" s="16" t="s">
        <v>145</v>
      </c>
      <c r="AB33" s="17" t="s">
        <v>65</v>
      </c>
      <c r="AC33" s="18" t="s">
        <v>65</v>
      </c>
      <c r="AD33" s="18" t="s">
        <v>65</v>
      </c>
      <c r="AE33" s="19" t="s">
        <v>65</v>
      </c>
      <c r="AF33" s="20" t="s">
        <v>65</v>
      </c>
      <c r="AG33" s="21" t="s">
        <v>65</v>
      </c>
      <c r="AH33" s="22"/>
      <c r="AI33" s="12"/>
      <c r="AJ33" s="23" t="s">
        <v>104</v>
      </c>
      <c r="AK33" s="24"/>
      <c r="AL33" s="24"/>
      <c r="AM33" s="24"/>
      <c r="AN33" s="24"/>
      <c r="AO33" s="24"/>
      <c r="AP33" s="24"/>
      <c r="AQ33" s="24"/>
      <c r="AR33" s="16" t="s">
        <v>146</v>
      </c>
    </row>
    <row r="34" spans="1:44" ht="10.5" customHeight="1" x14ac:dyDescent="0.15">
      <c r="A34" s="25" t="s">
        <v>46</v>
      </c>
      <c r="B34" s="26" t="s">
        <v>47</v>
      </c>
      <c r="C34" s="27">
        <v>45962</v>
      </c>
      <c r="D34" s="25" t="s">
        <v>138</v>
      </c>
      <c r="E34" s="26">
        <v>0</v>
      </c>
      <c r="F34" s="26" t="s">
        <v>139</v>
      </c>
      <c r="G34" s="25" t="s">
        <v>50</v>
      </c>
      <c r="H34" s="26" t="s">
        <v>86</v>
      </c>
      <c r="I34" s="26">
        <v>606192</v>
      </c>
      <c r="J34" s="26" t="s">
        <v>55</v>
      </c>
      <c r="K34" s="26" t="s">
        <v>83</v>
      </c>
      <c r="L34" s="26" t="s">
        <v>73</v>
      </c>
      <c r="M34" s="26" t="s">
        <v>69</v>
      </c>
      <c r="N34" s="25" t="s">
        <v>53</v>
      </c>
      <c r="O34" s="26" t="s">
        <v>54</v>
      </c>
      <c r="P34" s="26">
        <v>453286</v>
      </c>
      <c r="Q34" s="26" t="s">
        <v>55</v>
      </c>
      <c r="R34" s="26" t="s">
        <v>56</v>
      </c>
      <c r="S34" s="26" t="s">
        <v>57</v>
      </c>
      <c r="T34" s="26" t="s">
        <v>58</v>
      </c>
      <c r="U34" s="26" t="s">
        <v>59</v>
      </c>
      <c r="V34" s="26" t="s">
        <v>60</v>
      </c>
      <c r="W34" s="26" t="s">
        <v>61</v>
      </c>
      <c r="X34" s="26" t="s">
        <v>62</v>
      </c>
      <c r="Y34" s="26" t="s">
        <v>63</v>
      </c>
      <c r="Z34" s="28">
        <v>2</v>
      </c>
      <c r="AA34" s="29" t="s">
        <v>79</v>
      </c>
      <c r="AB34" s="30" t="s">
        <v>65</v>
      </c>
      <c r="AC34" s="31"/>
      <c r="AD34" s="31"/>
      <c r="AE34" s="32"/>
      <c r="AF34" s="33"/>
      <c r="AG34" s="34"/>
      <c r="AH34" s="35"/>
      <c r="AI34" s="25"/>
      <c r="AJ34" s="23" t="s">
        <v>147</v>
      </c>
      <c r="AK34" s="36">
        <v>1</v>
      </c>
      <c r="AL34" s="36">
        <v>1</v>
      </c>
      <c r="AM34" s="36"/>
      <c r="AN34" s="36"/>
      <c r="AO34" s="36"/>
      <c r="AP34" s="36"/>
      <c r="AQ34" s="36"/>
      <c r="AR34" s="29" t="s">
        <v>148</v>
      </c>
    </row>
    <row r="35" spans="1:44" ht="10.5" customHeight="1" x14ac:dyDescent="0.15">
      <c r="A35" s="12" t="s">
        <v>46</v>
      </c>
      <c r="B35" s="13" t="s">
        <v>47</v>
      </c>
      <c r="C35" s="14">
        <v>45962</v>
      </c>
      <c r="D35" s="12" t="s">
        <v>138</v>
      </c>
      <c r="E35" s="13">
        <v>1</v>
      </c>
      <c r="F35" s="13" t="s">
        <v>139</v>
      </c>
      <c r="G35" s="12" t="s">
        <v>50</v>
      </c>
      <c r="H35" s="13" t="s">
        <v>85</v>
      </c>
      <c r="I35" s="13">
        <v>669242</v>
      </c>
      <c r="J35" s="13" t="s">
        <v>100</v>
      </c>
      <c r="K35" s="13" t="s">
        <v>83</v>
      </c>
      <c r="L35" s="13" t="s">
        <v>73</v>
      </c>
      <c r="M35" s="13"/>
      <c r="N35" s="12" t="s">
        <v>53</v>
      </c>
      <c r="O35" s="13" t="s">
        <v>54</v>
      </c>
      <c r="P35" s="13">
        <v>453286</v>
      </c>
      <c r="Q35" s="13" t="s">
        <v>55</v>
      </c>
      <c r="R35" s="13" t="s">
        <v>56</v>
      </c>
      <c r="S35" s="13" t="s">
        <v>57</v>
      </c>
      <c r="T35" s="13" t="s">
        <v>58</v>
      </c>
      <c r="U35" s="13" t="s">
        <v>59</v>
      </c>
      <c r="V35" s="13" t="s">
        <v>60</v>
      </c>
      <c r="W35" s="13" t="s">
        <v>61</v>
      </c>
      <c r="X35" s="13" t="s">
        <v>62</v>
      </c>
      <c r="Y35" s="13" t="s">
        <v>63</v>
      </c>
      <c r="Z35" s="15">
        <v>3</v>
      </c>
      <c r="AA35" s="16" t="s">
        <v>101</v>
      </c>
      <c r="AB35" s="17" t="s">
        <v>65</v>
      </c>
      <c r="AC35" s="18" t="s">
        <v>65</v>
      </c>
      <c r="AD35" s="18"/>
      <c r="AE35" s="19"/>
      <c r="AF35" s="20"/>
      <c r="AG35" s="21"/>
      <c r="AH35" s="22"/>
      <c r="AI35" s="12" t="s">
        <v>108</v>
      </c>
      <c r="AJ35" s="23" t="s">
        <v>109</v>
      </c>
      <c r="AK35" s="24"/>
      <c r="AL35" s="24">
        <v>1</v>
      </c>
      <c r="AM35" s="24"/>
      <c r="AN35" s="24"/>
      <c r="AO35" s="24"/>
      <c r="AP35" s="24"/>
      <c r="AQ35" s="24"/>
      <c r="AR35" s="16" t="s">
        <v>149</v>
      </c>
    </row>
    <row r="36" spans="1:44" ht="10.5" customHeight="1" x14ac:dyDescent="0.15">
      <c r="A36" s="25" t="s">
        <v>46</v>
      </c>
      <c r="B36" s="26" t="s">
        <v>47</v>
      </c>
      <c r="C36" s="27">
        <v>45962</v>
      </c>
      <c r="D36" s="25" t="s">
        <v>150</v>
      </c>
      <c r="E36" s="26" t="s">
        <v>151</v>
      </c>
      <c r="F36" s="26">
        <v>3</v>
      </c>
      <c r="G36" s="25" t="s">
        <v>53</v>
      </c>
      <c r="H36" s="26" t="s">
        <v>59</v>
      </c>
      <c r="I36" s="26">
        <v>676391</v>
      </c>
      <c r="J36" s="26" t="s">
        <v>55</v>
      </c>
      <c r="K36" s="26"/>
      <c r="L36" s="26"/>
      <c r="M36" s="26"/>
      <c r="N36" s="25" t="s">
        <v>50</v>
      </c>
      <c r="O36" s="26" t="s">
        <v>134</v>
      </c>
      <c r="P36" s="26">
        <v>680736</v>
      </c>
      <c r="Q36" s="26" t="s">
        <v>52</v>
      </c>
      <c r="R36" s="26" t="s">
        <v>69</v>
      </c>
      <c r="S36" s="26" t="s">
        <v>73</v>
      </c>
      <c r="T36" s="26" t="s">
        <v>82</v>
      </c>
      <c r="U36" s="26" t="s">
        <v>83</v>
      </c>
      <c r="V36" s="26" t="s">
        <v>78</v>
      </c>
      <c r="W36" s="26" t="s">
        <v>84</v>
      </c>
      <c r="X36" s="26" t="s">
        <v>85</v>
      </c>
      <c r="Y36" s="26" t="s">
        <v>86</v>
      </c>
      <c r="Z36" s="28">
        <v>1</v>
      </c>
      <c r="AA36" s="29" t="s">
        <v>74</v>
      </c>
      <c r="AB36" s="30"/>
      <c r="AC36" s="31"/>
      <c r="AD36" s="31"/>
      <c r="AE36" s="32"/>
      <c r="AF36" s="33"/>
      <c r="AG36" s="34"/>
      <c r="AH36" s="35"/>
      <c r="AI36" s="25"/>
      <c r="AJ36" s="23" t="s">
        <v>71</v>
      </c>
      <c r="AK36" s="36"/>
      <c r="AL36" s="36">
        <v>1</v>
      </c>
      <c r="AM36" s="36"/>
      <c r="AN36" s="36"/>
      <c r="AO36" s="36"/>
      <c r="AP36" s="36"/>
      <c r="AQ36" s="36"/>
      <c r="AR36" s="29" t="s">
        <v>152</v>
      </c>
    </row>
    <row r="37" spans="1:44" ht="10.5" customHeight="1" x14ac:dyDescent="0.15">
      <c r="A37" s="12" t="s">
        <v>46</v>
      </c>
      <c r="B37" s="13" t="s">
        <v>47</v>
      </c>
      <c r="C37" s="14">
        <v>45962</v>
      </c>
      <c r="D37" s="12" t="s">
        <v>150</v>
      </c>
      <c r="E37" s="13" t="s">
        <v>151</v>
      </c>
      <c r="F37" s="13">
        <v>3</v>
      </c>
      <c r="G37" s="12" t="s">
        <v>53</v>
      </c>
      <c r="H37" s="13" t="s">
        <v>60</v>
      </c>
      <c r="I37" s="13">
        <v>665926</v>
      </c>
      <c r="J37" s="13" t="s">
        <v>52</v>
      </c>
      <c r="K37" s="13"/>
      <c r="L37" s="13"/>
      <c r="M37" s="13"/>
      <c r="N37" s="12" t="s">
        <v>50</v>
      </c>
      <c r="O37" s="13" t="s">
        <v>134</v>
      </c>
      <c r="P37" s="13">
        <v>680736</v>
      </c>
      <c r="Q37" s="13" t="s">
        <v>52</v>
      </c>
      <c r="R37" s="13" t="s">
        <v>69</v>
      </c>
      <c r="S37" s="13" t="s">
        <v>73</v>
      </c>
      <c r="T37" s="13" t="s">
        <v>82</v>
      </c>
      <c r="U37" s="13" t="s">
        <v>83</v>
      </c>
      <c r="V37" s="13" t="s">
        <v>78</v>
      </c>
      <c r="W37" s="13" t="s">
        <v>84</v>
      </c>
      <c r="X37" s="13" t="s">
        <v>85</v>
      </c>
      <c r="Y37" s="13" t="s">
        <v>86</v>
      </c>
      <c r="Z37" s="15">
        <v>5</v>
      </c>
      <c r="AA37" s="16" t="s">
        <v>153</v>
      </c>
      <c r="AB37" s="17" t="s">
        <v>65</v>
      </c>
      <c r="AC37" s="18" t="s">
        <v>65</v>
      </c>
      <c r="AD37" s="18"/>
      <c r="AE37" s="19"/>
      <c r="AF37" s="20" t="s">
        <v>65</v>
      </c>
      <c r="AG37" s="21" t="s">
        <v>65</v>
      </c>
      <c r="AH37" s="22"/>
      <c r="AI37" s="12"/>
      <c r="AJ37" s="23" t="s">
        <v>154</v>
      </c>
      <c r="AK37" s="24"/>
      <c r="AL37" s="24"/>
      <c r="AM37" s="24"/>
      <c r="AN37" s="24"/>
      <c r="AO37" s="24"/>
      <c r="AP37" s="24"/>
      <c r="AQ37" s="24"/>
      <c r="AR37" s="16" t="s">
        <v>155</v>
      </c>
    </row>
    <row r="38" spans="1:44" ht="10.5" customHeight="1" x14ac:dyDescent="0.15">
      <c r="A38" s="25" t="s">
        <v>46</v>
      </c>
      <c r="B38" s="26" t="s">
        <v>47</v>
      </c>
      <c r="C38" s="27">
        <v>45962</v>
      </c>
      <c r="D38" s="25" t="s">
        <v>150</v>
      </c>
      <c r="E38" s="26" t="s">
        <v>151</v>
      </c>
      <c r="F38" s="26">
        <v>3</v>
      </c>
      <c r="G38" s="25" t="s">
        <v>53</v>
      </c>
      <c r="H38" s="26" t="s">
        <v>81</v>
      </c>
      <c r="I38" s="26">
        <v>543807</v>
      </c>
      <c r="J38" s="26" t="s">
        <v>55</v>
      </c>
      <c r="K38" s="26" t="s">
        <v>60</v>
      </c>
      <c r="L38" s="26"/>
      <c r="M38" s="26"/>
      <c r="N38" s="25" t="s">
        <v>50</v>
      </c>
      <c r="O38" s="26" t="s">
        <v>134</v>
      </c>
      <c r="P38" s="26">
        <v>680736</v>
      </c>
      <c r="Q38" s="26" t="s">
        <v>52</v>
      </c>
      <c r="R38" s="26" t="s">
        <v>69</v>
      </c>
      <c r="S38" s="26" t="s">
        <v>73</v>
      </c>
      <c r="T38" s="26" t="s">
        <v>82</v>
      </c>
      <c r="U38" s="26" t="s">
        <v>83</v>
      </c>
      <c r="V38" s="26" t="s">
        <v>78</v>
      </c>
      <c r="W38" s="26" t="s">
        <v>84</v>
      </c>
      <c r="X38" s="26" t="s">
        <v>85</v>
      </c>
      <c r="Y38" s="26" t="s">
        <v>86</v>
      </c>
      <c r="Z38" s="28">
        <v>2</v>
      </c>
      <c r="AA38" s="29" t="s">
        <v>79</v>
      </c>
      <c r="AB38" s="30" t="s">
        <v>65</v>
      </c>
      <c r="AC38" s="31"/>
      <c r="AD38" s="31"/>
      <c r="AE38" s="32"/>
      <c r="AF38" s="33"/>
      <c r="AG38" s="34"/>
      <c r="AH38" s="35"/>
      <c r="AI38" s="25" t="s">
        <v>66</v>
      </c>
      <c r="AJ38" s="23" t="s">
        <v>67</v>
      </c>
      <c r="AK38" s="36"/>
      <c r="AL38" s="36"/>
      <c r="AM38" s="36"/>
      <c r="AN38" s="36"/>
      <c r="AO38" s="36"/>
      <c r="AP38" s="36"/>
      <c r="AQ38" s="36"/>
      <c r="AR38" s="29" t="s">
        <v>156</v>
      </c>
    </row>
    <row r="39" spans="1:44" ht="10.5" customHeight="1" x14ac:dyDescent="0.15">
      <c r="A39" s="12" t="s">
        <v>46</v>
      </c>
      <c r="B39" s="13" t="s">
        <v>47</v>
      </c>
      <c r="C39" s="14">
        <v>45962</v>
      </c>
      <c r="D39" s="12" t="s">
        <v>150</v>
      </c>
      <c r="E39" s="13" t="s">
        <v>151</v>
      </c>
      <c r="F39" s="13">
        <v>3</v>
      </c>
      <c r="G39" s="12" t="s">
        <v>53</v>
      </c>
      <c r="H39" s="13" t="s">
        <v>61</v>
      </c>
      <c r="I39" s="13">
        <v>664770</v>
      </c>
      <c r="J39" s="13" t="s">
        <v>52</v>
      </c>
      <c r="K39" s="13" t="s">
        <v>81</v>
      </c>
      <c r="L39" s="13" t="s">
        <v>60</v>
      </c>
      <c r="M39" s="13"/>
      <c r="N39" s="12" t="s">
        <v>50</v>
      </c>
      <c r="O39" s="13" t="s">
        <v>134</v>
      </c>
      <c r="P39" s="13">
        <v>680736</v>
      </c>
      <c r="Q39" s="13" t="s">
        <v>52</v>
      </c>
      <c r="R39" s="13" t="s">
        <v>69</v>
      </c>
      <c r="S39" s="13" t="s">
        <v>73</v>
      </c>
      <c r="T39" s="13" t="s">
        <v>82</v>
      </c>
      <c r="U39" s="13" t="s">
        <v>83</v>
      </c>
      <c r="V39" s="13" t="s">
        <v>78</v>
      </c>
      <c r="W39" s="13" t="s">
        <v>84</v>
      </c>
      <c r="X39" s="13" t="s">
        <v>85</v>
      </c>
      <c r="Y39" s="13" t="s">
        <v>86</v>
      </c>
      <c r="Z39" s="15">
        <v>4</v>
      </c>
      <c r="AA39" s="16" t="s">
        <v>157</v>
      </c>
      <c r="AB39" s="17" t="s">
        <v>65</v>
      </c>
      <c r="AC39" s="18"/>
      <c r="AD39" s="18"/>
      <c r="AE39" s="19"/>
      <c r="AF39" s="20" t="s">
        <v>65</v>
      </c>
      <c r="AG39" s="21" t="s">
        <v>65</v>
      </c>
      <c r="AH39" s="22" t="s">
        <v>65</v>
      </c>
      <c r="AI39" s="12"/>
      <c r="AJ39" s="23" t="s">
        <v>90</v>
      </c>
      <c r="AK39" s="24"/>
      <c r="AL39" s="24">
        <v>1</v>
      </c>
      <c r="AM39" s="24"/>
      <c r="AN39" s="24"/>
      <c r="AO39" s="24"/>
      <c r="AP39" s="24"/>
      <c r="AQ39" s="24"/>
      <c r="AR39" s="16" t="s">
        <v>91</v>
      </c>
    </row>
    <row r="40" spans="1:44" ht="10.5" customHeight="1" x14ac:dyDescent="0.15">
      <c r="A40" s="25" t="s">
        <v>46</v>
      </c>
      <c r="B40" s="26" t="s">
        <v>47</v>
      </c>
      <c r="C40" s="27">
        <v>45962</v>
      </c>
      <c r="D40" s="25" t="s">
        <v>150</v>
      </c>
      <c r="E40" s="26" t="s">
        <v>151</v>
      </c>
      <c r="F40" s="26">
        <v>3</v>
      </c>
      <c r="G40" s="25" t="s">
        <v>53</v>
      </c>
      <c r="H40" s="26" t="s">
        <v>57</v>
      </c>
      <c r="I40" s="26">
        <v>665489</v>
      </c>
      <c r="J40" s="26" t="s">
        <v>55</v>
      </c>
      <c r="K40" s="26" t="s">
        <v>81</v>
      </c>
      <c r="L40" s="26" t="s">
        <v>60</v>
      </c>
      <c r="M40" s="26"/>
      <c r="N40" s="25" t="s">
        <v>50</v>
      </c>
      <c r="O40" s="26" t="s">
        <v>158</v>
      </c>
      <c r="P40" s="26">
        <v>607192</v>
      </c>
      <c r="Q40" s="26" t="s">
        <v>55</v>
      </c>
      <c r="R40" s="26" t="s">
        <v>69</v>
      </c>
      <c r="S40" s="26" t="s">
        <v>73</v>
      </c>
      <c r="T40" s="26" t="s">
        <v>82</v>
      </c>
      <c r="U40" s="26" t="s">
        <v>83</v>
      </c>
      <c r="V40" s="26" t="s">
        <v>78</v>
      </c>
      <c r="W40" s="26" t="s">
        <v>84</v>
      </c>
      <c r="X40" s="26" t="s">
        <v>85</v>
      </c>
      <c r="Y40" s="26" t="s">
        <v>86</v>
      </c>
      <c r="Z40" s="28">
        <v>5</v>
      </c>
      <c r="AA40" s="29" t="s">
        <v>159</v>
      </c>
      <c r="AB40" s="30" t="s">
        <v>65</v>
      </c>
      <c r="AC40" s="31" t="s">
        <v>65</v>
      </c>
      <c r="AD40" s="31" t="s">
        <v>65</v>
      </c>
      <c r="AE40" s="32"/>
      <c r="AF40" s="33" t="s">
        <v>65</v>
      </c>
      <c r="AG40" s="34"/>
      <c r="AH40" s="35"/>
      <c r="AI40" s="25"/>
      <c r="AJ40" s="23" t="s">
        <v>122</v>
      </c>
      <c r="AK40" s="36"/>
      <c r="AL40" s="36">
        <v>1</v>
      </c>
      <c r="AM40" s="36"/>
      <c r="AN40" s="36"/>
      <c r="AO40" s="36"/>
      <c r="AP40" s="36"/>
      <c r="AQ40" s="36"/>
      <c r="AR40" s="29" t="s">
        <v>160</v>
      </c>
    </row>
    <row r="41" spans="1:44" ht="10.5" customHeight="1" x14ac:dyDescent="0.15">
      <c r="A41" s="12" t="s">
        <v>46</v>
      </c>
      <c r="B41" s="13" t="s">
        <v>47</v>
      </c>
      <c r="C41" s="14">
        <v>45962</v>
      </c>
      <c r="D41" s="12" t="s">
        <v>161</v>
      </c>
      <c r="E41" s="13">
        <v>1</v>
      </c>
      <c r="F41" s="13" t="s">
        <v>139</v>
      </c>
      <c r="G41" s="12" t="s">
        <v>50</v>
      </c>
      <c r="H41" s="13" t="s">
        <v>84</v>
      </c>
      <c r="I41" s="13">
        <v>571771</v>
      </c>
      <c r="J41" s="13" t="s">
        <v>55</v>
      </c>
      <c r="K41" s="13"/>
      <c r="L41" s="13"/>
      <c r="M41" s="13"/>
      <c r="N41" s="12" t="s">
        <v>53</v>
      </c>
      <c r="O41" s="13" t="s">
        <v>54</v>
      </c>
      <c r="P41" s="13">
        <v>453286</v>
      </c>
      <c r="Q41" s="13" t="s">
        <v>55</v>
      </c>
      <c r="R41" s="13" t="s">
        <v>56</v>
      </c>
      <c r="S41" s="13" t="s">
        <v>57</v>
      </c>
      <c r="T41" s="13" t="s">
        <v>58</v>
      </c>
      <c r="U41" s="13" t="s">
        <v>59</v>
      </c>
      <c r="V41" s="13" t="s">
        <v>60</v>
      </c>
      <c r="W41" s="13" t="s">
        <v>61</v>
      </c>
      <c r="X41" s="13" t="s">
        <v>62</v>
      </c>
      <c r="Y41" s="13" t="s">
        <v>63</v>
      </c>
      <c r="Z41" s="15">
        <v>5</v>
      </c>
      <c r="AA41" s="16" t="s">
        <v>162</v>
      </c>
      <c r="AB41" s="17" t="s">
        <v>65</v>
      </c>
      <c r="AC41" s="18" t="s">
        <v>65</v>
      </c>
      <c r="AD41" s="18"/>
      <c r="AE41" s="19"/>
      <c r="AF41" s="20" t="s">
        <v>65</v>
      </c>
      <c r="AG41" s="21" t="s">
        <v>65</v>
      </c>
      <c r="AH41" s="22" t="s">
        <v>65</v>
      </c>
      <c r="AI41" s="12"/>
      <c r="AJ41" s="23" t="s">
        <v>90</v>
      </c>
      <c r="AK41" s="24"/>
      <c r="AL41" s="24">
        <v>1</v>
      </c>
      <c r="AM41" s="24"/>
      <c r="AN41" s="24"/>
      <c r="AO41" s="24"/>
      <c r="AP41" s="24"/>
      <c r="AQ41" s="24"/>
      <c r="AR41" s="16" t="s">
        <v>163</v>
      </c>
    </row>
    <row r="42" spans="1:44" ht="10.5" customHeight="1" x14ac:dyDescent="0.15">
      <c r="A42" s="25" t="s">
        <v>46</v>
      </c>
      <c r="B42" s="26" t="s">
        <v>47</v>
      </c>
      <c r="C42" s="27">
        <v>45962</v>
      </c>
      <c r="D42" s="25" t="s">
        <v>161</v>
      </c>
      <c r="E42" s="26">
        <v>1</v>
      </c>
      <c r="F42" s="26" t="s">
        <v>139</v>
      </c>
      <c r="G42" s="25" t="s">
        <v>50</v>
      </c>
      <c r="H42" s="26" t="s">
        <v>82</v>
      </c>
      <c r="I42" s="26">
        <v>500743</v>
      </c>
      <c r="J42" s="26" t="s">
        <v>55</v>
      </c>
      <c r="K42" s="26"/>
      <c r="L42" s="26"/>
      <c r="M42" s="26"/>
      <c r="N42" s="25" t="s">
        <v>53</v>
      </c>
      <c r="O42" s="26" t="s">
        <v>54</v>
      </c>
      <c r="P42" s="26">
        <v>453286</v>
      </c>
      <c r="Q42" s="26" t="s">
        <v>55</v>
      </c>
      <c r="R42" s="26" t="s">
        <v>56</v>
      </c>
      <c r="S42" s="26" t="s">
        <v>57</v>
      </c>
      <c r="T42" s="26" t="s">
        <v>58</v>
      </c>
      <c r="U42" s="26" t="s">
        <v>59</v>
      </c>
      <c r="V42" s="26" t="s">
        <v>60</v>
      </c>
      <c r="W42" s="26" t="s">
        <v>61</v>
      </c>
      <c r="X42" s="26" t="s">
        <v>62</v>
      </c>
      <c r="Y42" s="26" t="s">
        <v>63</v>
      </c>
      <c r="Z42" s="28">
        <v>2</v>
      </c>
      <c r="AA42" s="29" t="s">
        <v>98</v>
      </c>
      <c r="AB42" s="30"/>
      <c r="AC42" s="31"/>
      <c r="AD42" s="31"/>
      <c r="AE42" s="32"/>
      <c r="AF42" s="33" t="s">
        <v>65</v>
      </c>
      <c r="AG42" s="34"/>
      <c r="AH42" s="35"/>
      <c r="AI42" s="25" t="s">
        <v>66</v>
      </c>
      <c r="AJ42" s="23" t="s">
        <v>67</v>
      </c>
      <c r="AK42" s="36"/>
      <c r="AL42" s="36"/>
      <c r="AM42" s="36"/>
      <c r="AN42" s="36"/>
      <c r="AO42" s="36"/>
      <c r="AP42" s="36"/>
      <c r="AQ42" s="36"/>
      <c r="AR42" s="29" t="s">
        <v>88</v>
      </c>
    </row>
    <row r="43" spans="1:44" ht="10.5" customHeight="1" x14ac:dyDescent="0.15">
      <c r="A43" s="12" t="s">
        <v>46</v>
      </c>
      <c r="B43" s="13" t="s">
        <v>47</v>
      </c>
      <c r="C43" s="14">
        <v>45962</v>
      </c>
      <c r="D43" s="12" t="s">
        <v>161</v>
      </c>
      <c r="E43" s="13">
        <v>1</v>
      </c>
      <c r="F43" s="13" t="s">
        <v>139</v>
      </c>
      <c r="G43" s="12" t="s">
        <v>50</v>
      </c>
      <c r="H43" s="13" t="s">
        <v>51</v>
      </c>
      <c r="I43" s="13">
        <v>660271</v>
      </c>
      <c r="J43" s="13" t="s">
        <v>52</v>
      </c>
      <c r="K43" s="13" t="s">
        <v>82</v>
      </c>
      <c r="L43" s="13"/>
      <c r="M43" s="13"/>
      <c r="N43" s="12" t="s">
        <v>53</v>
      </c>
      <c r="O43" s="13" t="s">
        <v>164</v>
      </c>
      <c r="P43" s="13">
        <v>686973</v>
      </c>
      <c r="Q43" s="13" t="s">
        <v>55</v>
      </c>
      <c r="R43" s="13" t="s">
        <v>56</v>
      </c>
      <c r="S43" s="13" t="s">
        <v>57</v>
      </c>
      <c r="T43" s="13" t="s">
        <v>58</v>
      </c>
      <c r="U43" s="13" t="s">
        <v>59</v>
      </c>
      <c r="V43" s="13" t="s">
        <v>60</v>
      </c>
      <c r="W43" s="13" t="s">
        <v>61</v>
      </c>
      <c r="X43" s="13" t="s">
        <v>62</v>
      </c>
      <c r="Y43" s="13" t="s">
        <v>63</v>
      </c>
      <c r="Z43" s="15">
        <v>3</v>
      </c>
      <c r="AA43" s="16" t="s">
        <v>165</v>
      </c>
      <c r="AB43" s="17"/>
      <c r="AC43" s="18"/>
      <c r="AD43" s="18"/>
      <c r="AE43" s="19"/>
      <c r="AF43" s="20" t="s">
        <v>65</v>
      </c>
      <c r="AG43" s="21" t="s">
        <v>65</v>
      </c>
      <c r="AH43" s="22"/>
      <c r="AI43" s="12" t="s">
        <v>166</v>
      </c>
      <c r="AJ43" s="23" t="s">
        <v>67</v>
      </c>
      <c r="AK43" s="24"/>
      <c r="AL43" s="24"/>
      <c r="AM43" s="24"/>
      <c r="AN43" s="24"/>
      <c r="AO43" s="24"/>
      <c r="AP43" s="24"/>
      <c r="AQ43" s="24"/>
      <c r="AR43" s="16" t="s">
        <v>167</v>
      </c>
    </row>
    <row r="44" spans="1:44" ht="10.5" customHeight="1" x14ac:dyDescent="0.15">
      <c r="A44" s="25" t="s">
        <v>46</v>
      </c>
      <c r="B44" s="26" t="s">
        <v>47</v>
      </c>
      <c r="C44" s="27">
        <v>45962</v>
      </c>
      <c r="D44" s="25" t="s">
        <v>161</v>
      </c>
      <c r="E44" s="26">
        <v>1</v>
      </c>
      <c r="F44" s="26" t="s">
        <v>139</v>
      </c>
      <c r="G44" s="25" t="s">
        <v>50</v>
      </c>
      <c r="H44" s="26" t="s">
        <v>69</v>
      </c>
      <c r="I44" s="26">
        <v>669257</v>
      </c>
      <c r="J44" s="26" t="s">
        <v>55</v>
      </c>
      <c r="K44" s="26" t="s">
        <v>51</v>
      </c>
      <c r="L44" s="26" t="s">
        <v>82</v>
      </c>
      <c r="M44" s="26"/>
      <c r="N44" s="25" t="s">
        <v>53</v>
      </c>
      <c r="O44" s="26" t="s">
        <v>164</v>
      </c>
      <c r="P44" s="26">
        <v>686973</v>
      </c>
      <c r="Q44" s="26" t="s">
        <v>55</v>
      </c>
      <c r="R44" s="26" t="s">
        <v>56</v>
      </c>
      <c r="S44" s="26" t="s">
        <v>57</v>
      </c>
      <c r="T44" s="26" t="s">
        <v>58</v>
      </c>
      <c r="U44" s="26" t="s">
        <v>59</v>
      </c>
      <c r="V44" s="26" t="s">
        <v>60</v>
      </c>
      <c r="W44" s="26" t="s">
        <v>61</v>
      </c>
      <c r="X44" s="26" t="s">
        <v>62</v>
      </c>
      <c r="Y44" s="26" t="s">
        <v>63</v>
      </c>
      <c r="Z44" s="28">
        <v>3</v>
      </c>
      <c r="AA44" s="29" t="s">
        <v>118</v>
      </c>
      <c r="AB44" s="30" t="s">
        <v>65</v>
      </c>
      <c r="AC44" s="31"/>
      <c r="AD44" s="31"/>
      <c r="AE44" s="32"/>
      <c r="AF44" s="33" t="s">
        <v>65</v>
      </c>
      <c r="AG44" s="34"/>
      <c r="AH44" s="35"/>
      <c r="AI44" s="25" t="s">
        <v>75</v>
      </c>
      <c r="AJ44" s="23" t="s">
        <v>76</v>
      </c>
      <c r="AK44" s="36"/>
      <c r="AL44" s="36">
        <v>1</v>
      </c>
      <c r="AM44" s="36"/>
      <c r="AN44" s="36"/>
      <c r="AO44" s="36"/>
      <c r="AP44" s="36"/>
      <c r="AQ44" s="36"/>
      <c r="AR44" s="29" t="s">
        <v>168</v>
      </c>
    </row>
    <row r="45" spans="1:44" ht="10.5" customHeight="1" x14ac:dyDescent="0.15">
      <c r="A45" s="12" t="s">
        <v>46</v>
      </c>
      <c r="B45" s="13" t="s">
        <v>47</v>
      </c>
      <c r="C45" s="14">
        <v>45962</v>
      </c>
      <c r="D45" s="12" t="s">
        <v>161</v>
      </c>
      <c r="E45" s="13">
        <v>1</v>
      </c>
      <c r="F45" s="13" t="s">
        <v>139</v>
      </c>
      <c r="G45" s="12" t="s">
        <v>50</v>
      </c>
      <c r="H45" s="13" t="s">
        <v>73</v>
      </c>
      <c r="I45" s="13">
        <v>518692</v>
      </c>
      <c r="J45" s="13" t="s">
        <v>52</v>
      </c>
      <c r="K45" s="13" t="s">
        <v>51</v>
      </c>
      <c r="L45" s="13" t="s">
        <v>82</v>
      </c>
      <c r="M45" s="13"/>
      <c r="N45" s="12" t="s">
        <v>53</v>
      </c>
      <c r="O45" s="13" t="s">
        <v>164</v>
      </c>
      <c r="P45" s="13">
        <v>686973</v>
      </c>
      <c r="Q45" s="13" t="s">
        <v>55</v>
      </c>
      <c r="R45" s="13" t="s">
        <v>56</v>
      </c>
      <c r="S45" s="13" t="s">
        <v>57</v>
      </c>
      <c r="T45" s="13" t="s">
        <v>58</v>
      </c>
      <c r="U45" s="13" t="s">
        <v>59</v>
      </c>
      <c r="V45" s="13" t="s">
        <v>60</v>
      </c>
      <c r="W45" s="13" t="s">
        <v>61</v>
      </c>
      <c r="X45" s="13" t="s">
        <v>62</v>
      </c>
      <c r="Y45" s="13" t="s">
        <v>63</v>
      </c>
      <c r="Z45" s="15">
        <v>3</v>
      </c>
      <c r="AA45" s="16" t="s">
        <v>169</v>
      </c>
      <c r="AB45" s="17" t="s">
        <v>65</v>
      </c>
      <c r="AC45" s="18"/>
      <c r="AD45" s="18"/>
      <c r="AE45" s="19"/>
      <c r="AF45" s="20" t="s">
        <v>65</v>
      </c>
      <c r="AG45" s="21"/>
      <c r="AH45" s="22"/>
      <c r="AI45" s="12" t="s">
        <v>75</v>
      </c>
      <c r="AJ45" s="23" t="s">
        <v>76</v>
      </c>
      <c r="AK45" s="24"/>
      <c r="AL45" s="24">
        <v>1</v>
      </c>
      <c r="AM45" s="24"/>
      <c r="AN45" s="24"/>
      <c r="AO45" s="24"/>
      <c r="AP45" s="24"/>
      <c r="AQ45" s="24"/>
      <c r="AR45" s="16" t="s">
        <v>170</v>
      </c>
    </row>
    <row r="46" spans="1:44" ht="10.5" customHeight="1" x14ac:dyDescent="0.15">
      <c r="A46" s="25" t="s">
        <v>46</v>
      </c>
      <c r="B46" s="26" t="s">
        <v>47</v>
      </c>
      <c r="C46" s="27">
        <v>45962</v>
      </c>
      <c r="D46" s="25" t="s">
        <v>171</v>
      </c>
      <c r="E46" s="26" t="s">
        <v>151</v>
      </c>
      <c r="F46" s="26">
        <v>3</v>
      </c>
      <c r="G46" s="25" t="s">
        <v>53</v>
      </c>
      <c r="H46" s="26" t="s">
        <v>58</v>
      </c>
      <c r="I46" s="26">
        <v>666182</v>
      </c>
      <c r="J46" s="26" t="s">
        <v>55</v>
      </c>
      <c r="K46" s="26"/>
      <c r="L46" s="26"/>
      <c r="M46" s="26"/>
      <c r="N46" s="25" t="s">
        <v>50</v>
      </c>
      <c r="O46" s="26" t="s">
        <v>158</v>
      </c>
      <c r="P46" s="26">
        <v>607192</v>
      </c>
      <c r="Q46" s="26" t="s">
        <v>55</v>
      </c>
      <c r="R46" s="26" t="s">
        <v>69</v>
      </c>
      <c r="S46" s="26" t="s">
        <v>73</v>
      </c>
      <c r="T46" s="26" t="s">
        <v>82</v>
      </c>
      <c r="U46" s="26" t="s">
        <v>83</v>
      </c>
      <c r="V46" s="26" t="s">
        <v>78</v>
      </c>
      <c r="W46" s="26" t="s">
        <v>84</v>
      </c>
      <c r="X46" s="26" t="s">
        <v>85</v>
      </c>
      <c r="Y46" s="26" t="s">
        <v>86</v>
      </c>
      <c r="Z46" s="28">
        <v>2</v>
      </c>
      <c r="AA46" s="29" t="s">
        <v>79</v>
      </c>
      <c r="AB46" s="30" t="s">
        <v>65</v>
      </c>
      <c r="AC46" s="31"/>
      <c r="AD46" s="31"/>
      <c r="AE46" s="32"/>
      <c r="AF46" s="33"/>
      <c r="AG46" s="34"/>
      <c r="AH46" s="35"/>
      <c r="AI46" s="25"/>
      <c r="AJ46" s="23" t="s">
        <v>122</v>
      </c>
      <c r="AK46" s="36"/>
      <c r="AL46" s="36">
        <v>1</v>
      </c>
      <c r="AM46" s="36"/>
      <c r="AN46" s="36"/>
      <c r="AO46" s="36"/>
      <c r="AP46" s="36"/>
      <c r="AQ46" s="36"/>
      <c r="AR46" s="29" t="s">
        <v>172</v>
      </c>
    </row>
    <row r="47" spans="1:44" ht="10.5" customHeight="1" x14ac:dyDescent="0.15">
      <c r="A47" s="12" t="s">
        <v>46</v>
      </c>
      <c r="B47" s="13" t="s">
        <v>47</v>
      </c>
      <c r="C47" s="14">
        <v>45962</v>
      </c>
      <c r="D47" s="12" t="s">
        <v>171</v>
      </c>
      <c r="E47" s="13" t="s">
        <v>151</v>
      </c>
      <c r="F47" s="13">
        <v>3</v>
      </c>
      <c r="G47" s="12" t="s">
        <v>53</v>
      </c>
      <c r="H47" s="13" t="s">
        <v>63</v>
      </c>
      <c r="I47" s="13">
        <v>680718</v>
      </c>
      <c r="J47" s="13" t="s">
        <v>52</v>
      </c>
      <c r="K47" s="13"/>
      <c r="L47" s="13"/>
      <c r="M47" s="13"/>
      <c r="N47" s="12" t="s">
        <v>50</v>
      </c>
      <c r="O47" s="13" t="s">
        <v>158</v>
      </c>
      <c r="P47" s="13">
        <v>607192</v>
      </c>
      <c r="Q47" s="13" t="s">
        <v>55</v>
      </c>
      <c r="R47" s="13" t="s">
        <v>69</v>
      </c>
      <c r="S47" s="13" t="s">
        <v>73</v>
      </c>
      <c r="T47" s="13" t="s">
        <v>82</v>
      </c>
      <c r="U47" s="13" t="s">
        <v>83</v>
      </c>
      <c r="V47" s="13" t="s">
        <v>78</v>
      </c>
      <c r="W47" s="13" t="s">
        <v>84</v>
      </c>
      <c r="X47" s="13" t="s">
        <v>85</v>
      </c>
      <c r="Y47" s="13" t="s">
        <v>86</v>
      </c>
      <c r="Z47" s="15">
        <v>6</v>
      </c>
      <c r="AA47" s="16" t="s">
        <v>173</v>
      </c>
      <c r="AB47" s="17" t="s">
        <v>65</v>
      </c>
      <c r="AC47" s="18" t="s">
        <v>65</v>
      </c>
      <c r="AD47" s="18"/>
      <c r="AE47" s="19"/>
      <c r="AF47" s="20" t="s">
        <v>65</v>
      </c>
      <c r="AG47" s="21" t="s">
        <v>65</v>
      </c>
      <c r="AH47" s="22" t="s">
        <v>65</v>
      </c>
      <c r="AI47" s="12"/>
      <c r="AJ47" s="23" t="s">
        <v>90</v>
      </c>
      <c r="AK47" s="24"/>
      <c r="AL47" s="24">
        <v>1</v>
      </c>
      <c r="AM47" s="24"/>
      <c r="AN47" s="24"/>
      <c r="AO47" s="24"/>
      <c r="AP47" s="24"/>
      <c r="AQ47" s="24"/>
      <c r="AR47" s="16" t="s">
        <v>174</v>
      </c>
    </row>
    <row r="48" spans="1:44" ht="10.5" customHeight="1" x14ac:dyDescent="0.15">
      <c r="A48" s="25" t="s">
        <v>46</v>
      </c>
      <c r="B48" s="26" t="s">
        <v>47</v>
      </c>
      <c r="C48" s="27">
        <v>45962</v>
      </c>
      <c r="D48" s="25" t="s">
        <v>171</v>
      </c>
      <c r="E48" s="26" t="s">
        <v>151</v>
      </c>
      <c r="F48" s="26">
        <v>3</v>
      </c>
      <c r="G48" s="25" t="s">
        <v>53</v>
      </c>
      <c r="H48" s="26" t="s">
        <v>56</v>
      </c>
      <c r="I48" s="26">
        <v>672386</v>
      </c>
      <c r="J48" s="26" t="s">
        <v>55</v>
      </c>
      <c r="K48" s="26"/>
      <c r="L48" s="26"/>
      <c r="M48" s="26"/>
      <c r="N48" s="25" t="s">
        <v>50</v>
      </c>
      <c r="O48" s="26" t="s">
        <v>158</v>
      </c>
      <c r="P48" s="26">
        <v>607192</v>
      </c>
      <c r="Q48" s="26" t="s">
        <v>55</v>
      </c>
      <c r="R48" s="26" t="s">
        <v>69</v>
      </c>
      <c r="S48" s="26" t="s">
        <v>73</v>
      </c>
      <c r="T48" s="26" t="s">
        <v>82</v>
      </c>
      <c r="U48" s="26" t="s">
        <v>83</v>
      </c>
      <c r="V48" s="26" t="s">
        <v>78</v>
      </c>
      <c r="W48" s="26" t="s">
        <v>84</v>
      </c>
      <c r="X48" s="26" t="s">
        <v>85</v>
      </c>
      <c r="Y48" s="26" t="s">
        <v>86</v>
      </c>
      <c r="Z48" s="28">
        <v>3</v>
      </c>
      <c r="AA48" s="29" t="s">
        <v>70</v>
      </c>
      <c r="AB48" s="30"/>
      <c r="AC48" s="31"/>
      <c r="AD48" s="31"/>
      <c r="AE48" s="32"/>
      <c r="AF48" s="33" t="s">
        <v>65</v>
      </c>
      <c r="AG48" s="34" t="s">
        <v>65</v>
      </c>
      <c r="AH48" s="35"/>
      <c r="AI48" s="25" t="s">
        <v>66</v>
      </c>
      <c r="AJ48" s="23" t="s">
        <v>67</v>
      </c>
      <c r="AK48" s="36"/>
      <c r="AL48" s="36"/>
      <c r="AM48" s="36"/>
      <c r="AN48" s="36"/>
      <c r="AO48" s="36"/>
      <c r="AP48" s="36"/>
      <c r="AQ48" s="36"/>
      <c r="AR48" s="29" t="s">
        <v>68</v>
      </c>
    </row>
    <row r="49" spans="1:44" ht="10.5" customHeight="1" x14ac:dyDescent="0.15">
      <c r="A49" s="12" t="s">
        <v>46</v>
      </c>
      <c r="B49" s="13" t="s">
        <v>47</v>
      </c>
      <c r="C49" s="14">
        <v>45962</v>
      </c>
      <c r="D49" s="12" t="s">
        <v>171</v>
      </c>
      <c r="E49" s="13" t="s">
        <v>151</v>
      </c>
      <c r="F49" s="13">
        <v>3</v>
      </c>
      <c r="G49" s="12" t="s">
        <v>53</v>
      </c>
      <c r="H49" s="13" t="s">
        <v>62</v>
      </c>
      <c r="I49" s="13">
        <v>662139</v>
      </c>
      <c r="J49" s="13" t="s">
        <v>52</v>
      </c>
      <c r="K49" s="13" t="s">
        <v>56</v>
      </c>
      <c r="L49" s="13"/>
      <c r="M49" s="13"/>
      <c r="N49" s="12" t="s">
        <v>50</v>
      </c>
      <c r="O49" s="13" t="s">
        <v>158</v>
      </c>
      <c r="P49" s="13">
        <v>607192</v>
      </c>
      <c r="Q49" s="13" t="s">
        <v>55</v>
      </c>
      <c r="R49" s="13" t="s">
        <v>69</v>
      </c>
      <c r="S49" s="13" t="s">
        <v>73</v>
      </c>
      <c r="T49" s="13" t="s">
        <v>82</v>
      </c>
      <c r="U49" s="13" t="s">
        <v>83</v>
      </c>
      <c r="V49" s="13" t="s">
        <v>78</v>
      </c>
      <c r="W49" s="13" t="s">
        <v>84</v>
      </c>
      <c r="X49" s="13" t="s">
        <v>85</v>
      </c>
      <c r="Y49" s="13" t="s">
        <v>86</v>
      </c>
      <c r="Z49" s="15">
        <v>3</v>
      </c>
      <c r="AA49" s="16" t="s">
        <v>118</v>
      </c>
      <c r="AB49" s="17" t="s">
        <v>65</v>
      </c>
      <c r="AC49" s="18"/>
      <c r="AD49" s="18"/>
      <c r="AE49" s="19"/>
      <c r="AF49" s="20" t="s">
        <v>65</v>
      </c>
      <c r="AG49" s="21"/>
      <c r="AH49" s="22"/>
      <c r="AI49" s="12"/>
      <c r="AJ49" s="23" t="s">
        <v>71</v>
      </c>
      <c r="AK49" s="24"/>
      <c r="AL49" s="24">
        <v>1</v>
      </c>
      <c r="AM49" s="24"/>
      <c r="AN49" s="24"/>
      <c r="AO49" s="24"/>
      <c r="AP49" s="24"/>
      <c r="AQ49" s="24"/>
      <c r="AR49" s="16" t="s">
        <v>175</v>
      </c>
    </row>
    <row r="50" spans="1:44" ht="10.5" customHeight="1" x14ac:dyDescent="0.15">
      <c r="A50" s="25" t="s">
        <v>46</v>
      </c>
      <c r="B50" s="26" t="s">
        <v>47</v>
      </c>
      <c r="C50" s="27">
        <v>45962</v>
      </c>
      <c r="D50" s="25" t="s">
        <v>176</v>
      </c>
      <c r="E50" s="26">
        <v>1</v>
      </c>
      <c r="F50" s="26" t="s">
        <v>139</v>
      </c>
      <c r="G50" s="25" t="s">
        <v>50</v>
      </c>
      <c r="H50" s="26" t="s">
        <v>78</v>
      </c>
      <c r="I50" s="26">
        <v>605141</v>
      </c>
      <c r="J50" s="26" t="s">
        <v>55</v>
      </c>
      <c r="K50" s="26"/>
      <c r="L50" s="26"/>
      <c r="M50" s="26"/>
      <c r="N50" s="25" t="s">
        <v>53</v>
      </c>
      <c r="O50" s="26" t="s">
        <v>177</v>
      </c>
      <c r="P50" s="26">
        <v>605135</v>
      </c>
      <c r="Q50" s="26" t="s">
        <v>55</v>
      </c>
      <c r="R50" s="26" t="s">
        <v>56</v>
      </c>
      <c r="S50" s="26" t="s">
        <v>57</v>
      </c>
      <c r="T50" s="26" t="s">
        <v>58</v>
      </c>
      <c r="U50" s="26" t="s">
        <v>59</v>
      </c>
      <c r="V50" s="26" t="s">
        <v>60</v>
      </c>
      <c r="W50" s="26" t="s">
        <v>61</v>
      </c>
      <c r="X50" s="26" t="s">
        <v>62</v>
      </c>
      <c r="Y50" s="26" t="s">
        <v>63</v>
      </c>
      <c r="Z50" s="28">
        <v>6</v>
      </c>
      <c r="AA50" s="29" t="s">
        <v>178</v>
      </c>
      <c r="AB50" s="30" t="s">
        <v>65</v>
      </c>
      <c r="AC50" s="31" t="s">
        <v>65</v>
      </c>
      <c r="AD50" s="31" t="s">
        <v>65</v>
      </c>
      <c r="AE50" s="32" t="s">
        <v>65</v>
      </c>
      <c r="AF50" s="33" t="s">
        <v>65</v>
      </c>
      <c r="AG50" s="34" t="s">
        <v>65</v>
      </c>
      <c r="AH50" s="35"/>
      <c r="AI50" s="25"/>
      <c r="AJ50" s="23" t="s">
        <v>104</v>
      </c>
      <c r="AK50" s="36"/>
      <c r="AL50" s="36"/>
      <c r="AM50" s="36"/>
      <c r="AN50" s="36"/>
      <c r="AO50" s="36"/>
      <c r="AP50" s="36"/>
      <c r="AQ50" s="36"/>
      <c r="AR50" s="29" t="s">
        <v>179</v>
      </c>
    </row>
    <row r="51" spans="1:44" ht="10.5" customHeight="1" x14ac:dyDescent="0.15">
      <c r="A51" s="12" t="s">
        <v>46</v>
      </c>
      <c r="B51" s="13" t="s">
        <v>47</v>
      </c>
      <c r="C51" s="14">
        <v>45962</v>
      </c>
      <c r="D51" s="12" t="s">
        <v>176</v>
      </c>
      <c r="E51" s="13">
        <v>1</v>
      </c>
      <c r="F51" s="13" t="s">
        <v>139</v>
      </c>
      <c r="G51" s="12" t="s">
        <v>50</v>
      </c>
      <c r="H51" s="13" t="s">
        <v>83</v>
      </c>
      <c r="I51" s="13">
        <v>571970</v>
      </c>
      <c r="J51" s="13" t="s">
        <v>52</v>
      </c>
      <c r="K51" s="13" t="s">
        <v>78</v>
      </c>
      <c r="L51" s="13"/>
      <c r="M51" s="13"/>
      <c r="N51" s="12" t="s">
        <v>53</v>
      </c>
      <c r="O51" s="13" t="s">
        <v>177</v>
      </c>
      <c r="P51" s="13">
        <v>605135</v>
      </c>
      <c r="Q51" s="13" t="s">
        <v>55</v>
      </c>
      <c r="R51" s="13" t="s">
        <v>56</v>
      </c>
      <c r="S51" s="13" t="s">
        <v>57</v>
      </c>
      <c r="T51" s="13" t="s">
        <v>58</v>
      </c>
      <c r="U51" s="13" t="s">
        <v>59</v>
      </c>
      <c r="V51" s="13" t="s">
        <v>60</v>
      </c>
      <c r="W51" s="13" t="s">
        <v>61</v>
      </c>
      <c r="X51" s="13" t="s">
        <v>62</v>
      </c>
      <c r="Y51" s="13" t="s">
        <v>63</v>
      </c>
      <c r="Z51" s="15">
        <v>2</v>
      </c>
      <c r="AA51" s="16" t="s">
        <v>113</v>
      </c>
      <c r="AB51" s="17"/>
      <c r="AC51" s="18"/>
      <c r="AD51" s="18"/>
      <c r="AE51" s="19"/>
      <c r="AF51" s="20" t="s">
        <v>65</v>
      </c>
      <c r="AG51" s="21"/>
      <c r="AH51" s="22"/>
      <c r="AI51" s="12" t="s">
        <v>66</v>
      </c>
      <c r="AJ51" s="23" t="s">
        <v>67</v>
      </c>
      <c r="AK51" s="24"/>
      <c r="AL51" s="24"/>
      <c r="AM51" s="24"/>
      <c r="AN51" s="24"/>
      <c r="AO51" s="24"/>
      <c r="AP51" s="24"/>
      <c r="AQ51" s="24"/>
      <c r="AR51" s="16" t="s">
        <v>180</v>
      </c>
    </row>
    <row r="52" spans="1:44" ht="10.5" customHeight="1" x14ac:dyDescent="0.15">
      <c r="A52" s="25" t="s">
        <v>46</v>
      </c>
      <c r="B52" s="26" t="s">
        <v>47</v>
      </c>
      <c r="C52" s="27">
        <v>45962</v>
      </c>
      <c r="D52" s="25" t="s">
        <v>176</v>
      </c>
      <c r="E52" s="26">
        <v>1</v>
      </c>
      <c r="F52" s="26" t="s">
        <v>139</v>
      </c>
      <c r="G52" s="25" t="s">
        <v>50</v>
      </c>
      <c r="H52" s="26" t="s">
        <v>86</v>
      </c>
      <c r="I52" s="26">
        <v>606192</v>
      </c>
      <c r="J52" s="26" t="s">
        <v>55</v>
      </c>
      <c r="K52" s="26" t="s">
        <v>83</v>
      </c>
      <c r="L52" s="26" t="s">
        <v>78</v>
      </c>
      <c r="M52" s="26"/>
      <c r="N52" s="25" t="s">
        <v>53</v>
      </c>
      <c r="O52" s="26" t="s">
        <v>177</v>
      </c>
      <c r="P52" s="26">
        <v>605135</v>
      </c>
      <c r="Q52" s="26" t="s">
        <v>55</v>
      </c>
      <c r="R52" s="26" t="s">
        <v>56</v>
      </c>
      <c r="S52" s="26" t="s">
        <v>57</v>
      </c>
      <c r="T52" s="26" t="s">
        <v>58</v>
      </c>
      <c r="U52" s="26" t="s">
        <v>59</v>
      </c>
      <c r="V52" s="26" t="s">
        <v>60</v>
      </c>
      <c r="W52" s="26" t="s">
        <v>61</v>
      </c>
      <c r="X52" s="26" t="s">
        <v>62</v>
      </c>
      <c r="Y52" s="26" t="s">
        <v>63</v>
      </c>
      <c r="Z52" s="28">
        <v>5</v>
      </c>
      <c r="AA52" s="29" t="s">
        <v>181</v>
      </c>
      <c r="AB52" s="30" t="s">
        <v>65</v>
      </c>
      <c r="AC52" s="31" t="s">
        <v>65</v>
      </c>
      <c r="AD52" s="31"/>
      <c r="AE52" s="32"/>
      <c r="AF52" s="33" t="s">
        <v>65</v>
      </c>
      <c r="AG52" s="34" t="s">
        <v>65</v>
      </c>
      <c r="AH52" s="35"/>
      <c r="AI52" s="25"/>
      <c r="AJ52" s="23" t="s">
        <v>182</v>
      </c>
      <c r="AK52" s="36"/>
      <c r="AL52" s="36">
        <v>1</v>
      </c>
      <c r="AM52" s="36"/>
      <c r="AN52" s="36"/>
      <c r="AO52" s="36"/>
      <c r="AP52" s="36"/>
      <c r="AQ52" s="36"/>
      <c r="AR52" s="29" t="s">
        <v>183</v>
      </c>
    </row>
    <row r="53" spans="1:44" ht="10.5" customHeight="1" x14ac:dyDescent="0.15">
      <c r="A53" s="12" t="s">
        <v>46</v>
      </c>
      <c r="B53" s="13" t="s">
        <v>47</v>
      </c>
      <c r="C53" s="14">
        <v>45962</v>
      </c>
      <c r="D53" s="12" t="s">
        <v>176</v>
      </c>
      <c r="E53" s="13">
        <v>1</v>
      </c>
      <c r="F53" s="13" t="s">
        <v>139</v>
      </c>
      <c r="G53" s="12" t="s">
        <v>50</v>
      </c>
      <c r="H53" s="13" t="s">
        <v>85</v>
      </c>
      <c r="I53" s="13">
        <v>669242</v>
      </c>
      <c r="J53" s="13" t="s">
        <v>100</v>
      </c>
      <c r="K53" s="13" t="s">
        <v>86</v>
      </c>
      <c r="L53" s="13"/>
      <c r="M53" s="13" t="s">
        <v>78</v>
      </c>
      <c r="N53" s="12" t="s">
        <v>53</v>
      </c>
      <c r="O53" s="13" t="s">
        <v>177</v>
      </c>
      <c r="P53" s="13">
        <v>605135</v>
      </c>
      <c r="Q53" s="13" t="s">
        <v>55</v>
      </c>
      <c r="R53" s="13" t="s">
        <v>56</v>
      </c>
      <c r="S53" s="13" t="s">
        <v>57</v>
      </c>
      <c r="T53" s="13" t="s">
        <v>58</v>
      </c>
      <c r="U53" s="13" t="s">
        <v>59</v>
      </c>
      <c r="V53" s="13" t="s">
        <v>60</v>
      </c>
      <c r="W53" s="13" t="s">
        <v>61</v>
      </c>
      <c r="X53" s="13" t="s">
        <v>62</v>
      </c>
      <c r="Y53" s="13" t="s">
        <v>63</v>
      </c>
      <c r="Z53" s="15">
        <v>3</v>
      </c>
      <c r="AA53" s="16" t="s">
        <v>184</v>
      </c>
      <c r="AB53" s="17" t="s">
        <v>65</v>
      </c>
      <c r="AC53" s="18"/>
      <c r="AD53" s="18"/>
      <c r="AE53" s="19"/>
      <c r="AF53" s="20" t="s">
        <v>65</v>
      </c>
      <c r="AG53" s="21"/>
      <c r="AH53" s="22"/>
      <c r="AI53" s="12" t="s">
        <v>75</v>
      </c>
      <c r="AJ53" s="23" t="s">
        <v>147</v>
      </c>
      <c r="AK53" s="24">
        <v>1</v>
      </c>
      <c r="AL53" s="24">
        <v>1</v>
      </c>
      <c r="AM53" s="24"/>
      <c r="AN53" s="24"/>
      <c r="AO53" s="24"/>
      <c r="AP53" s="24"/>
      <c r="AQ53" s="24"/>
      <c r="AR53" s="16" t="s">
        <v>185</v>
      </c>
    </row>
    <row r="54" spans="1:44" ht="10.5" customHeight="1" x14ac:dyDescent="0.15">
      <c r="A54" s="25" t="s">
        <v>46</v>
      </c>
      <c r="B54" s="26" t="s">
        <v>47</v>
      </c>
      <c r="C54" s="27">
        <v>45962</v>
      </c>
      <c r="D54" s="25" t="s">
        <v>176</v>
      </c>
      <c r="E54" s="26">
        <v>2</v>
      </c>
      <c r="F54" s="26" t="s">
        <v>139</v>
      </c>
      <c r="G54" s="25" t="s">
        <v>50</v>
      </c>
      <c r="H54" s="26" t="s">
        <v>84</v>
      </c>
      <c r="I54" s="26">
        <v>571771</v>
      </c>
      <c r="J54" s="26" t="s">
        <v>55</v>
      </c>
      <c r="K54" s="26" t="s">
        <v>86</v>
      </c>
      <c r="L54" s="26"/>
      <c r="M54" s="26"/>
      <c r="N54" s="25" t="s">
        <v>53</v>
      </c>
      <c r="O54" s="26" t="s">
        <v>177</v>
      </c>
      <c r="P54" s="26">
        <v>605135</v>
      </c>
      <c r="Q54" s="26" t="s">
        <v>55</v>
      </c>
      <c r="R54" s="26" t="s">
        <v>56</v>
      </c>
      <c r="S54" s="26" t="s">
        <v>57</v>
      </c>
      <c r="T54" s="26" t="s">
        <v>58</v>
      </c>
      <c r="U54" s="26" t="s">
        <v>59</v>
      </c>
      <c r="V54" s="26" t="s">
        <v>60</v>
      </c>
      <c r="W54" s="26" t="s">
        <v>61</v>
      </c>
      <c r="X54" s="26" t="s">
        <v>62</v>
      </c>
      <c r="Y54" s="26" t="s">
        <v>63</v>
      </c>
      <c r="Z54" s="28">
        <v>3</v>
      </c>
      <c r="AA54" s="29" t="s">
        <v>186</v>
      </c>
      <c r="AB54" s="30"/>
      <c r="AC54" s="31"/>
      <c r="AD54" s="31"/>
      <c r="AE54" s="32"/>
      <c r="AF54" s="33" t="s">
        <v>65</v>
      </c>
      <c r="AG54" s="34" t="s">
        <v>65</v>
      </c>
      <c r="AH54" s="35"/>
      <c r="AI54" s="25" t="s">
        <v>166</v>
      </c>
      <c r="AJ54" s="23" t="s">
        <v>67</v>
      </c>
      <c r="AK54" s="36"/>
      <c r="AL54" s="36"/>
      <c r="AM54" s="36"/>
      <c r="AN54" s="36"/>
      <c r="AO54" s="36"/>
      <c r="AP54" s="36"/>
      <c r="AQ54" s="36"/>
      <c r="AR54" s="29" t="s">
        <v>187</v>
      </c>
    </row>
    <row r="55" spans="1:44" ht="10.5" customHeight="1" x14ac:dyDescent="0.15">
      <c r="A55" s="12" t="s">
        <v>46</v>
      </c>
      <c r="B55" s="13" t="s">
        <v>47</v>
      </c>
      <c r="C55" s="14">
        <v>45962</v>
      </c>
      <c r="D55" s="12" t="s">
        <v>176</v>
      </c>
      <c r="E55" s="13">
        <v>2</v>
      </c>
      <c r="F55" s="13" t="s">
        <v>139</v>
      </c>
      <c r="G55" s="12" t="s">
        <v>50</v>
      </c>
      <c r="H55" s="13" t="s">
        <v>82</v>
      </c>
      <c r="I55" s="13">
        <v>500743</v>
      </c>
      <c r="J55" s="13" t="s">
        <v>55</v>
      </c>
      <c r="K55" s="13" t="s">
        <v>84</v>
      </c>
      <c r="L55" s="13" t="s">
        <v>86</v>
      </c>
      <c r="M55" s="13"/>
      <c r="N55" s="12" t="s">
        <v>53</v>
      </c>
      <c r="O55" s="13" t="s">
        <v>177</v>
      </c>
      <c r="P55" s="13">
        <v>605135</v>
      </c>
      <c r="Q55" s="13" t="s">
        <v>55</v>
      </c>
      <c r="R55" s="13" t="s">
        <v>56</v>
      </c>
      <c r="S55" s="13" t="s">
        <v>57</v>
      </c>
      <c r="T55" s="13" t="s">
        <v>58</v>
      </c>
      <c r="U55" s="13" t="s">
        <v>59</v>
      </c>
      <c r="V55" s="13" t="s">
        <v>60</v>
      </c>
      <c r="W55" s="13" t="s">
        <v>61</v>
      </c>
      <c r="X55" s="13" t="s">
        <v>62</v>
      </c>
      <c r="Y55" s="13" t="s">
        <v>63</v>
      </c>
      <c r="Z55" s="15">
        <v>7</v>
      </c>
      <c r="AA55" s="16" t="s">
        <v>188</v>
      </c>
      <c r="AB55" s="17" t="s">
        <v>65</v>
      </c>
      <c r="AC55" s="18" t="s">
        <v>65</v>
      </c>
      <c r="AD55" s="18" t="s">
        <v>65</v>
      </c>
      <c r="AE55" s="19"/>
      <c r="AF55" s="20" t="s">
        <v>65</v>
      </c>
      <c r="AG55" s="21" t="s">
        <v>65</v>
      </c>
      <c r="AH55" s="22"/>
      <c r="AI55" s="12"/>
      <c r="AJ55" s="23" t="s">
        <v>71</v>
      </c>
      <c r="AK55" s="24"/>
      <c r="AL55" s="24">
        <v>1</v>
      </c>
      <c r="AM55" s="24"/>
      <c r="AN55" s="24"/>
      <c r="AO55" s="24"/>
      <c r="AP55" s="24"/>
      <c r="AQ55" s="24"/>
      <c r="AR55" s="16" t="s">
        <v>189</v>
      </c>
    </row>
    <row r="56" spans="1:44" ht="10.5" customHeight="1" x14ac:dyDescent="0.15">
      <c r="A56" s="25" t="s">
        <v>46</v>
      </c>
      <c r="B56" s="26" t="s">
        <v>47</v>
      </c>
      <c r="C56" s="27">
        <v>45962</v>
      </c>
      <c r="D56" s="25" t="s">
        <v>190</v>
      </c>
      <c r="E56" s="26" t="s">
        <v>191</v>
      </c>
      <c r="F56" s="26">
        <v>3</v>
      </c>
      <c r="G56" s="25" t="s">
        <v>53</v>
      </c>
      <c r="H56" s="26" t="s">
        <v>59</v>
      </c>
      <c r="I56" s="26">
        <v>676391</v>
      </c>
      <c r="J56" s="26" t="s">
        <v>55</v>
      </c>
      <c r="K56" s="26"/>
      <c r="L56" s="26"/>
      <c r="M56" s="26"/>
      <c r="N56" s="25" t="s">
        <v>50</v>
      </c>
      <c r="O56" s="26" t="s">
        <v>158</v>
      </c>
      <c r="P56" s="26">
        <v>607192</v>
      </c>
      <c r="Q56" s="26" t="s">
        <v>55</v>
      </c>
      <c r="R56" s="26" t="s">
        <v>69</v>
      </c>
      <c r="S56" s="26" t="s">
        <v>73</v>
      </c>
      <c r="T56" s="26" t="s">
        <v>82</v>
      </c>
      <c r="U56" s="26" t="s">
        <v>83</v>
      </c>
      <c r="V56" s="26" t="s">
        <v>78</v>
      </c>
      <c r="W56" s="26" t="s">
        <v>84</v>
      </c>
      <c r="X56" s="26" t="s">
        <v>85</v>
      </c>
      <c r="Y56" s="26" t="s">
        <v>86</v>
      </c>
      <c r="Z56" s="28">
        <v>5</v>
      </c>
      <c r="AA56" s="29" t="s">
        <v>159</v>
      </c>
      <c r="AB56" s="30" t="s">
        <v>65</v>
      </c>
      <c r="AC56" s="31" t="s">
        <v>65</v>
      </c>
      <c r="AD56" s="31" t="s">
        <v>65</v>
      </c>
      <c r="AE56" s="32"/>
      <c r="AF56" s="33" t="s">
        <v>65</v>
      </c>
      <c r="AG56" s="34"/>
      <c r="AH56" s="35"/>
      <c r="AI56" s="25" t="s">
        <v>66</v>
      </c>
      <c r="AJ56" s="23" t="s">
        <v>67</v>
      </c>
      <c r="AK56" s="36"/>
      <c r="AL56" s="36"/>
      <c r="AM56" s="36"/>
      <c r="AN56" s="36"/>
      <c r="AO56" s="36"/>
      <c r="AP56" s="36"/>
      <c r="AQ56" s="36"/>
      <c r="AR56" s="29" t="s">
        <v>88</v>
      </c>
    </row>
    <row r="57" spans="1:44" ht="10.5" customHeight="1" x14ac:dyDescent="0.15">
      <c r="A57" s="12" t="s">
        <v>46</v>
      </c>
      <c r="B57" s="13" t="s">
        <v>47</v>
      </c>
      <c r="C57" s="14">
        <v>45962</v>
      </c>
      <c r="D57" s="12" t="s">
        <v>190</v>
      </c>
      <c r="E57" s="13" t="s">
        <v>191</v>
      </c>
      <c r="F57" s="13">
        <v>3</v>
      </c>
      <c r="G57" s="12" t="s">
        <v>53</v>
      </c>
      <c r="H57" s="13" t="s">
        <v>60</v>
      </c>
      <c r="I57" s="13">
        <v>665926</v>
      </c>
      <c r="J57" s="13" t="s">
        <v>52</v>
      </c>
      <c r="K57" s="13" t="s">
        <v>59</v>
      </c>
      <c r="L57" s="13"/>
      <c r="M57" s="13"/>
      <c r="N57" s="12" t="s">
        <v>50</v>
      </c>
      <c r="O57" s="13" t="s">
        <v>158</v>
      </c>
      <c r="P57" s="13">
        <v>607192</v>
      </c>
      <c r="Q57" s="13" t="s">
        <v>55</v>
      </c>
      <c r="R57" s="13" t="s">
        <v>69</v>
      </c>
      <c r="S57" s="13" t="s">
        <v>73</v>
      </c>
      <c r="T57" s="13" t="s">
        <v>82</v>
      </c>
      <c r="U57" s="13" t="s">
        <v>83</v>
      </c>
      <c r="V57" s="13" t="s">
        <v>78</v>
      </c>
      <c r="W57" s="13" t="s">
        <v>84</v>
      </c>
      <c r="X57" s="13" t="s">
        <v>85</v>
      </c>
      <c r="Y57" s="13" t="s">
        <v>86</v>
      </c>
      <c r="Z57" s="15">
        <v>5</v>
      </c>
      <c r="AA57" s="16" t="s">
        <v>192</v>
      </c>
      <c r="AB57" s="17" t="s">
        <v>65</v>
      </c>
      <c r="AC57" s="18" t="s">
        <v>65</v>
      </c>
      <c r="AD57" s="18" t="s">
        <v>65</v>
      </c>
      <c r="AE57" s="19"/>
      <c r="AF57" s="20" t="s">
        <v>65</v>
      </c>
      <c r="AG57" s="21"/>
      <c r="AH57" s="22"/>
      <c r="AI57" s="12"/>
      <c r="AJ57" s="23"/>
      <c r="AK57" s="24"/>
      <c r="AL57" s="24"/>
      <c r="AM57" s="24">
        <v>1</v>
      </c>
      <c r="AN57" s="24"/>
      <c r="AO57" s="24"/>
      <c r="AP57" s="24"/>
      <c r="AQ57" s="24"/>
      <c r="AR57" s="16" t="s">
        <v>193</v>
      </c>
    </row>
    <row r="58" spans="1:44" ht="10.5" customHeight="1" x14ac:dyDescent="0.15">
      <c r="A58" s="25" t="s">
        <v>46</v>
      </c>
      <c r="B58" s="26" t="s">
        <v>47</v>
      </c>
      <c r="C58" s="27">
        <v>45962</v>
      </c>
      <c r="D58" s="25" t="s">
        <v>190</v>
      </c>
      <c r="E58" s="26" t="s">
        <v>191</v>
      </c>
      <c r="F58" s="26">
        <v>3</v>
      </c>
      <c r="G58" s="25" t="s">
        <v>53</v>
      </c>
      <c r="H58" s="26" t="s">
        <v>60</v>
      </c>
      <c r="I58" s="26">
        <v>665926</v>
      </c>
      <c r="J58" s="26" t="s">
        <v>52</v>
      </c>
      <c r="K58" s="26"/>
      <c r="L58" s="26" t="s">
        <v>59</v>
      </c>
      <c r="M58" s="26"/>
      <c r="N58" s="25" t="s">
        <v>50</v>
      </c>
      <c r="O58" s="26" t="s">
        <v>158</v>
      </c>
      <c r="P58" s="26">
        <v>607192</v>
      </c>
      <c r="Q58" s="26" t="s">
        <v>55</v>
      </c>
      <c r="R58" s="26" t="s">
        <v>69</v>
      </c>
      <c r="S58" s="26" t="s">
        <v>73</v>
      </c>
      <c r="T58" s="26" t="s">
        <v>82</v>
      </c>
      <c r="U58" s="26" t="s">
        <v>83</v>
      </c>
      <c r="V58" s="26" t="s">
        <v>78</v>
      </c>
      <c r="W58" s="26" t="s">
        <v>84</v>
      </c>
      <c r="X58" s="26" t="s">
        <v>85</v>
      </c>
      <c r="Y58" s="26" t="s">
        <v>86</v>
      </c>
      <c r="Z58" s="28">
        <v>6</v>
      </c>
      <c r="AA58" s="29" t="s">
        <v>194</v>
      </c>
      <c r="AB58" s="30" t="s">
        <v>65</v>
      </c>
      <c r="AC58" s="31" t="s">
        <v>65</v>
      </c>
      <c r="AD58" s="31" t="s">
        <v>65</v>
      </c>
      <c r="AE58" s="32"/>
      <c r="AF58" s="33" t="s">
        <v>65</v>
      </c>
      <c r="AG58" s="34" t="s">
        <v>65</v>
      </c>
      <c r="AH58" s="35"/>
      <c r="AI58" s="25" t="s">
        <v>66</v>
      </c>
      <c r="AJ58" s="23" t="s">
        <v>140</v>
      </c>
      <c r="AK58" s="36">
        <v>1</v>
      </c>
      <c r="AL58" s="36"/>
      <c r="AM58" s="36"/>
      <c r="AN58" s="36"/>
      <c r="AO58" s="36"/>
      <c r="AP58" s="36"/>
      <c r="AQ58" s="36"/>
      <c r="AR58" s="29" t="s">
        <v>195</v>
      </c>
    </row>
    <row r="59" spans="1:44" ht="10.5" customHeight="1" x14ac:dyDescent="0.15">
      <c r="A59" s="12" t="s">
        <v>46</v>
      </c>
      <c r="B59" s="13" t="s">
        <v>47</v>
      </c>
      <c r="C59" s="14">
        <v>45962</v>
      </c>
      <c r="D59" s="12" t="s">
        <v>190</v>
      </c>
      <c r="E59" s="13" t="s">
        <v>191</v>
      </c>
      <c r="F59" s="13">
        <v>4</v>
      </c>
      <c r="G59" s="12" t="s">
        <v>53</v>
      </c>
      <c r="H59" s="13" t="s">
        <v>81</v>
      </c>
      <c r="I59" s="13">
        <v>543807</v>
      </c>
      <c r="J59" s="13" t="s">
        <v>55</v>
      </c>
      <c r="K59" s="13"/>
      <c r="L59" s="13" t="s">
        <v>60</v>
      </c>
      <c r="M59" s="13"/>
      <c r="N59" s="12" t="s">
        <v>50</v>
      </c>
      <c r="O59" s="13" t="s">
        <v>158</v>
      </c>
      <c r="P59" s="13">
        <v>607192</v>
      </c>
      <c r="Q59" s="13" t="s">
        <v>55</v>
      </c>
      <c r="R59" s="13" t="s">
        <v>69</v>
      </c>
      <c r="S59" s="13" t="s">
        <v>73</v>
      </c>
      <c r="T59" s="13" t="s">
        <v>82</v>
      </c>
      <c r="U59" s="13" t="s">
        <v>83</v>
      </c>
      <c r="V59" s="13" t="s">
        <v>78</v>
      </c>
      <c r="W59" s="13" t="s">
        <v>84</v>
      </c>
      <c r="X59" s="13" t="s">
        <v>85</v>
      </c>
      <c r="Y59" s="13" t="s">
        <v>86</v>
      </c>
      <c r="Z59" s="15">
        <v>4</v>
      </c>
      <c r="AA59" s="16" t="s">
        <v>196</v>
      </c>
      <c r="AB59" s="17" t="s">
        <v>65</v>
      </c>
      <c r="AC59" s="18"/>
      <c r="AD59" s="18"/>
      <c r="AE59" s="19"/>
      <c r="AF59" s="20" t="s">
        <v>65</v>
      </c>
      <c r="AG59" s="21" t="s">
        <v>65</v>
      </c>
      <c r="AH59" s="22" t="s">
        <v>65</v>
      </c>
      <c r="AI59" s="12"/>
      <c r="AJ59" s="23" t="s">
        <v>90</v>
      </c>
      <c r="AK59" s="24"/>
      <c r="AL59" s="24">
        <v>1</v>
      </c>
      <c r="AM59" s="24"/>
      <c r="AN59" s="24"/>
      <c r="AO59" s="24"/>
      <c r="AP59" s="24"/>
      <c r="AQ59" s="24"/>
      <c r="AR59" s="16" t="s">
        <v>197</v>
      </c>
    </row>
    <row r="60" spans="1:44" ht="10.5" customHeight="1" x14ac:dyDescent="0.15">
      <c r="A60" s="25" t="s">
        <v>46</v>
      </c>
      <c r="B60" s="26" t="s">
        <v>47</v>
      </c>
      <c r="C60" s="27">
        <v>45962</v>
      </c>
      <c r="D60" s="25" t="s">
        <v>190</v>
      </c>
      <c r="E60" s="26" t="s">
        <v>191</v>
      </c>
      <c r="F60" s="26">
        <v>4</v>
      </c>
      <c r="G60" s="25" t="s">
        <v>53</v>
      </c>
      <c r="H60" s="26" t="s">
        <v>61</v>
      </c>
      <c r="I60" s="26">
        <v>664770</v>
      </c>
      <c r="J60" s="26" t="s">
        <v>52</v>
      </c>
      <c r="K60" s="26"/>
      <c r="L60" s="26" t="s">
        <v>60</v>
      </c>
      <c r="M60" s="26"/>
      <c r="N60" s="25" t="s">
        <v>50</v>
      </c>
      <c r="O60" s="26" t="s">
        <v>158</v>
      </c>
      <c r="P60" s="26">
        <v>607192</v>
      </c>
      <c r="Q60" s="26" t="s">
        <v>55</v>
      </c>
      <c r="R60" s="26" t="s">
        <v>69</v>
      </c>
      <c r="S60" s="26" t="s">
        <v>73</v>
      </c>
      <c r="T60" s="26" t="s">
        <v>82</v>
      </c>
      <c r="U60" s="26" t="s">
        <v>83</v>
      </c>
      <c r="V60" s="26" t="s">
        <v>78</v>
      </c>
      <c r="W60" s="26" t="s">
        <v>84</v>
      </c>
      <c r="X60" s="26" t="s">
        <v>85</v>
      </c>
      <c r="Y60" s="26" t="s">
        <v>86</v>
      </c>
      <c r="Z60" s="28">
        <v>2</v>
      </c>
      <c r="AA60" s="29" t="s">
        <v>98</v>
      </c>
      <c r="AB60" s="30"/>
      <c r="AC60" s="31"/>
      <c r="AD60" s="31"/>
      <c r="AE60" s="32"/>
      <c r="AF60" s="33" t="s">
        <v>65</v>
      </c>
      <c r="AG60" s="34"/>
      <c r="AH60" s="35"/>
      <c r="AI60" s="25"/>
      <c r="AJ60" s="23" t="s">
        <v>122</v>
      </c>
      <c r="AK60" s="36"/>
      <c r="AL60" s="36">
        <v>1</v>
      </c>
      <c r="AM60" s="36"/>
      <c r="AN60" s="36"/>
      <c r="AO60" s="36"/>
      <c r="AP60" s="36"/>
      <c r="AQ60" s="36"/>
      <c r="AR60" s="29" t="s">
        <v>198</v>
      </c>
    </row>
    <row r="61" spans="1:44" ht="10.5" customHeight="1" x14ac:dyDescent="0.15">
      <c r="A61" s="12" t="s">
        <v>46</v>
      </c>
      <c r="B61" s="13" t="s">
        <v>47</v>
      </c>
      <c r="C61" s="14">
        <v>45962</v>
      </c>
      <c r="D61" s="12" t="s">
        <v>190</v>
      </c>
      <c r="E61" s="13" t="s">
        <v>191</v>
      </c>
      <c r="F61" s="13">
        <v>4</v>
      </c>
      <c r="G61" s="12" t="s">
        <v>53</v>
      </c>
      <c r="H61" s="13" t="s">
        <v>57</v>
      </c>
      <c r="I61" s="13">
        <v>665489</v>
      </c>
      <c r="J61" s="13" t="s">
        <v>55</v>
      </c>
      <c r="K61" s="13"/>
      <c r="L61" s="13"/>
      <c r="M61" s="13" t="s">
        <v>60</v>
      </c>
      <c r="N61" s="12" t="s">
        <v>50</v>
      </c>
      <c r="O61" s="13" t="s">
        <v>158</v>
      </c>
      <c r="P61" s="13">
        <v>607192</v>
      </c>
      <c r="Q61" s="13" t="s">
        <v>55</v>
      </c>
      <c r="R61" s="13" t="s">
        <v>69</v>
      </c>
      <c r="S61" s="13" t="s">
        <v>73</v>
      </c>
      <c r="T61" s="13" t="s">
        <v>82</v>
      </c>
      <c r="U61" s="13" t="s">
        <v>83</v>
      </c>
      <c r="V61" s="13" t="s">
        <v>78</v>
      </c>
      <c r="W61" s="13" t="s">
        <v>84</v>
      </c>
      <c r="X61" s="13" t="s">
        <v>85</v>
      </c>
      <c r="Y61" s="13" t="s">
        <v>86</v>
      </c>
      <c r="Z61" s="15">
        <v>2</v>
      </c>
      <c r="AA61" s="16" t="s">
        <v>79</v>
      </c>
      <c r="AB61" s="17" t="s">
        <v>65</v>
      </c>
      <c r="AC61" s="18"/>
      <c r="AD61" s="18"/>
      <c r="AE61" s="19"/>
      <c r="AF61" s="20"/>
      <c r="AG61" s="21"/>
      <c r="AH61" s="22"/>
      <c r="AI61" s="12"/>
      <c r="AJ61" s="23" t="s">
        <v>71</v>
      </c>
      <c r="AK61" s="24"/>
      <c r="AL61" s="24">
        <v>1</v>
      </c>
      <c r="AM61" s="24"/>
      <c r="AN61" s="24"/>
      <c r="AO61" s="24"/>
      <c r="AP61" s="24"/>
      <c r="AQ61" s="24"/>
      <c r="AR61" s="16" t="s">
        <v>199</v>
      </c>
    </row>
    <row r="62" spans="1:44" ht="10.5" customHeight="1" x14ac:dyDescent="0.15">
      <c r="A62" s="25" t="s">
        <v>46</v>
      </c>
      <c r="B62" s="26" t="s">
        <v>47</v>
      </c>
      <c r="C62" s="27">
        <v>45962</v>
      </c>
      <c r="D62" s="25" t="s">
        <v>200</v>
      </c>
      <c r="E62" s="26">
        <v>2</v>
      </c>
      <c r="F62" s="26" t="s">
        <v>201</v>
      </c>
      <c r="G62" s="25" t="s">
        <v>50</v>
      </c>
      <c r="H62" s="26" t="s">
        <v>51</v>
      </c>
      <c r="I62" s="26">
        <v>660271</v>
      </c>
      <c r="J62" s="26" t="s">
        <v>52</v>
      </c>
      <c r="K62" s="26"/>
      <c r="L62" s="26"/>
      <c r="M62" s="26"/>
      <c r="N62" s="25" t="s">
        <v>53</v>
      </c>
      <c r="O62" s="26" t="s">
        <v>202</v>
      </c>
      <c r="P62" s="26">
        <v>702056</v>
      </c>
      <c r="Q62" s="26" t="s">
        <v>55</v>
      </c>
      <c r="R62" s="26" t="s">
        <v>56</v>
      </c>
      <c r="S62" s="26" t="s">
        <v>57</v>
      </c>
      <c r="T62" s="26" t="s">
        <v>58</v>
      </c>
      <c r="U62" s="26" t="s">
        <v>59</v>
      </c>
      <c r="V62" s="26" t="s">
        <v>60</v>
      </c>
      <c r="W62" s="26" t="s">
        <v>61</v>
      </c>
      <c r="X62" s="26" t="s">
        <v>62</v>
      </c>
      <c r="Y62" s="26" t="s">
        <v>63</v>
      </c>
      <c r="Z62" s="28">
        <v>5</v>
      </c>
      <c r="AA62" s="29" t="s">
        <v>203</v>
      </c>
      <c r="AB62" s="30" t="s">
        <v>65</v>
      </c>
      <c r="AC62" s="31" t="s">
        <v>65</v>
      </c>
      <c r="AD62" s="31" t="s">
        <v>65</v>
      </c>
      <c r="AE62" s="32" t="s">
        <v>65</v>
      </c>
      <c r="AF62" s="33" t="s">
        <v>65</v>
      </c>
      <c r="AG62" s="34"/>
      <c r="AH62" s="35"/>
      <c r="AI62" s="25"/>
      <c r="AJ62" s="23" t="s">
        <v>104</v>
      </c>
      <c r="AK62" s="36"/>
      <c r="AL62" s="36"/>
      <c r="AM62" s="36"/>
      <c r="AN62" s="36"/>
      <c r="AO62" s="36"/>
      <c r="AP62" s="36"/>
      <c r="AQ62" s="36"/>
      <c r="AR62" s="29" t="s">
        <v>204</v>
      </c>
    </row>
    <row r="63" spans="1:44" ht="10.5" customHeight="1" x14ac:dyDescent="0.15">
      <c r="A63" s="12" t="s">
        <v>46</v>
      </c>
      <c r="B63" s="13" t="s">
        <v>47</v>
      </c>
      <c r="C63" s="14">
        <v>45962</v>
      </c>
      <c r="D63" s="12" t="s">
        <v>200</v>
      </c>
      <c r="E63" s="13">
        <v>2</v>
      </c>
      <c r="F63" s="13" t="s">
        <v>201</v>
      </c>
      <c r="G63" s="12" t="s">
        <v>50</v>
      </c>
      <c r="H63" s="13" t="s">
        <v>69</v>
      </c>
      <c r="I63" s="13">
        <v>669257</v>
      </c>
      <c r="J63" s="13" t="s">
        <v>55</v>
      </c>
      <c r="K63" s="13" t="s">
        <v>51</v>
      </c>
      <c r="L63" s="13"/>
      <c r="M63" s="13"/>
      <c r="N63" s="12" t="s">
        <v>53</v>
      </c>
      <c r="O63" s="13" t="s">
        <v>202</v>
      </c>
      <c r="P63" s="13">
        <v>702056</v>
      </c>
      <c r="Q63" s="13" t="s">
        <v>55</v>
      </c>
      <c r="R63" s="13" t="s">
        <v>56</v>
      </c>
      <c r="S63" s="13" t="s">
        <v>57</v>
      </c>
      <c r="T63" s="13" t="s">
        <v>58</v>
      </c>
      <c r="U63" s="13" t="s">
        <v>59</v>
      </c>
      <c r="V63" s="13" t="s">
        <v>60</v>
      </c>
      <c r="W63" s="13" t="s">
        <v>61</v>
      </c>
      <c r="X63" s="13" t="s">
        <v>62</v>
      </c>
      <c r="Y63" s="13" t="s">
        <v>63</v>
      </c>
      <c r="Z63" s="15">
        <v>3</v>
      </c>
      <c r="AA63" s="16" t="s">
        <v>143</v>
      </c>
      <c r="AB63" s="17" t="s">
        <v>65</v>
      </c>
      <c r="AC63" s="18"/>
      <c r="AD63" s="18"/>
      <c r="AE63" s="19"/>
      <c r="AF63" s="20" t="s">
        <v>65</v>
      </c>
      <c r="AG63" s="21"/>
      <c r="AH63" s="22"/>
      <c r="AI63" s="12" t="s">
        <v>75</v>
      </c>
      <c r="AJ63" s="23" t="s">
        <v>76</v>
      </c>
      <c r="AK63" s="24"/>
      <c r="AL63" s="24">
        <v>1</v>
      </c>
      <c r="AM63" s="24"/>
      <c r="AN63" s="24"/>
      <c r="AO63" s="24"/>
      <c r="AP63" s="24"/>
      <c r="AQ63" s="24"/>
      <c r="AR63" s="16" t="s">
        <v>168</v>
      </c>
    </row>
    <row r="64" spans="1:44" ht="10.5" customHeight="1" x14ac:dyDescent="0.15">
      <c r="A64" s="25" t="s">
        <v>46</v>
      </c>
      <c r="B64" s="26" t="s">
        <v>47</v>
      </c>
      <c r="C64" s="27">
        <v>45962</v>
      </c>
      <c r="D64" s="25" t="s">
        <v>200</v>
      </c>
      <c r="E64" s="26">
        <v>2</v>
      </c>
      <c r="F64" s="26" t="s">
        <v>201</v>
      </c>
      <c r="G64" s="25" t="s">
        <v>50</v>
      </c>
      <c r="H64" s="26" t="s">
        <v>73</v>
      </c>
      <c r="I64" s="26">
        <v>518692</v>
      </c>
      <c r="J64" s="26" t="s">
        <v>52</v>
      </c>
      <c r="K64" s="26" t="s">
        <v>51</v>
      </c>
      <c r="L64" s="26"/>
      <c r="M64" s="26"/>
      <c r="N64" s="25" t="s">
        <v>53</v>
      </c>
      <c r="O64" s="26" t="s">
        <v>202</v>
      </c>
      <c r="P64" s="26">
        <v>702056</v>
      </c>
      <c r="Q64" s="26" t="s">
        <v>55</v>
      </c>
      <c r="R64" s="26" t="s">
        <v>56</v>
      </c>
      <c r="S64" s="26" t="s">
        <v>57</v>
      </c>
      <c r="T64" s="26" t="s">
        <v>58</v>
      </c>
      <c r="U64" s="26" t="s">
        <v>59</v>
      </c>
      <c r="V64" s="26" t="s">
        <v>60</v>
      </c>
      <c r="W64" s="26" t="s">
        <v>61</v>
      </c>
      <c r="X64" s="26" t="s">
        <v>62</v>
      </c>
      <c r="Y64" s="26" t="s">
        <v>63</v>
      </c>
      <c r="Z64" s="28">
        <v>4</v>
      </c>
      <c r="AA64" s="29" t="s">
        <v>205</v>
      </c>
      <c r="AB64" s="30" t="s">
        <v>65</v>
      </c>
      <c r="AC64" s="31" t="s">
        <v>65</v>
      </c>
      <c r="AD64" s="31"/>
      <c r="AE64" s="32"/>
      <c r="AF64" s="33" t="s">
        <v>65</v>
      </c>
      <c r="AG64" s="34"/>
      <c r="AH64" s="35"/>
      <c r="AI64" s="25"/>
      <c r="AJ64" s="23" t="s">
        <v>206</v>
      </c>
      <c r="AK64" s="36"/>
      <c r="AL64" s="36">
        <v>2</v>
      </c>
      <c r="AM64" s="36"/>
      <c r="AN64" s="36"/>
      <c r="AO64" s="36"/>
      <c r="AP64" s="36"/>
      <c r="AQ64" s="36"/>
      <c r="AR64" s="29" t="s">
        <v>207</v>
      </c>
    </row>
    <row r="65" spans="1:44" ht="10.5" customHeight="1" x14ac:dyDescent="0.15">
      <c r="A65" s="12" t="s">
        <v>46</v>
      </c>
      <c r="B65" s="13" t="s">
        <v>47</v>
      </c>
      <c r="C65" s="14">
        <v>45962</v>
      </c>
      <c r="D65" s="12" t="s">
        <v>208</v>
      </c>
      <c r="E65" s="13" t="s">
        <v>191</v>
      </c>
      <c r="F65" s="13">
        <v>4</v>
      </c>
      <c r="G65" s="12" t="s">
        <v>53</v>
      </c>
      <c r="H65" s="13" t="s">
        <v>58</v>
      </c>
      <c r="I65" s="13">
        <v>666182</v>
      </c>
      <c r="J65" s="13" t="s">
        <v>55</v>
      </c>
      <c r="K65" s="13"/>
      <c r="L65" s="13"/>
      <c r="M65" s="13"/>
      <c r="N65" s="12" t="s">
        <v>50</v>
      </c>
      <c r="O65" s="13" t="s">
        <v>209</v>
      </c>
      <c r="P65" s="13">
        <v>686218</v>
      </c>
      <c r="Q65" s="13" t="s">
        <v>55</v>
      </c>
      <c r="R65" s="13" t="s">
        <v>69</v>
      </c>
      <c r="S65" s="13" t="s">
        <v>73</v>
      </c>
      <c r="T65" s="13" t="s">
        <v>82</v>
      </c>
      <c r="U65" s="13" t="s">
        <v>83</v>
      </c>
      <c r="V65" s="13" t="s">
        <v>78</v>
      </c>
      <c r="W65" s="13" t="s">
        <v>84</v>
      </c>
      <c r="X65" s="13" t="s">
        <v>85</v>
      </c>
      <c r="Y65" s="13" t="s">
        <v>86</v>
      </c>
      <c r="Z65" s="15">
        <v>5</v>
      </c>
      <c r="AA65" s="16" t="s">
        <v>210</v>
      </c>
      <c r="AB65" s="17" t="s">
        <v>65</v>
      </c>
      <c r="AC65" s="18"/>
      <c r="AD65" s="18"/>
      <c r="AE65" s="19"/>
      <c r="AF65" s="20" t="s">
        <v>65</v>
      </c>
      <c r="AG65" s="21" t="s">
        <v>65</v>
      </c>
      <c r="AH65" s="22" t="s">
        <v>65</v>
      </c>
      <c r="AI65" s="12"/>
      <c r="AJ65" s="23" t="s">
        <v>90</v>
      </c>
      <c r="AK65" s="24"/>
      <c r="AL65" s="24">
        <v>1</v>
      </c>
      <c r="AM65" s="24"/>
      <c r="AN65" s="24"/>
      <c r="AO65" s="24"/>
      <c r="AP65" s="24"/>
      <c r="AQ65" s="24"/>
      <c r="AR65" s="16" t="s">
        <v>211</v>
      </c>
    </row>
    <row r="66" spans="1:44" ht="10.5" customHeight="1" x14ac:dyDescent="0.15">
      <c r="A66" s="25" t="s">
        <v>46</v>
      </c>
      <c r="B66" s="26" t="s">
        <v>47</v>
      </c>
      <c r="C66" s="27">
        <v>45962</v>
      </c>
      <c r="D66" s="25" t="s">
        <v>208</v>
      </c>
      <c r="E66" s="26" t="s">
        <v>191</v>
      </c>
      <c r="F66" s="26">
        <v>4</v>
      </c>
      <c r="G66" s="25" t="s">
        <v>53</v>
      </c>
      <c r="H66" s="26" t="s">
        <v>63</v>
      </c>
      <c r="I66" s="26">
        <v>680718</v>
      </c>
      <c r="J66" s="26" t="s">
        <v>52</v>
      </c>
      <c r="K66" s="26"/>
      <c r="L66" s="26"/>
      <c r="M66" s="26"/>
      <c r="N66" s="25" t="s">
        <v>50</v>
      </c>
      <c r="O66" s="26" t="s">
        <v>209</v>
      </c>
      <c r="P66" s="26">
        <v>686218</v>
      </c>
      <c r="Q66" s="26" t="s">
        <v>55</v>
      </c>
      <c r="R66" s="26" t="s">
        <v>69</v>
      </c>
      <c r="S66" s="26" t="s">
        <v>73</v>
      </c>
      <c r="T66" s="26" t="s">
        <v>82</v>
      </c>
      <c r="U66" s="26" t="s">
        <v>83</v>
      </c>
      <c r="V66" s="26" t="s">
        <v>78</v>
      </c>
      <c r="W66" s="26" t="s">
        <v>84</v>
      </c>
      <c r="X66" s="26" t="s">
        <v>85</v>
      </c>
      <c r="Y66" s="26" t="s">
        <v>86</v>
      </c>
      <c r="Z66" s="28">
        <v>4</v>
      </c>
      <c r="AA66" s="29" t="s">
        <v>205</v>
      </c>
      <c r="AB66" s="30" t="s">
        <v>65</v>
      </c>
      <c r="AC66" s="31" t="s">
        <v>65</v>
      </c>
      <c r="AD66" s="31"/>
      <c r="AE66" s="32"/>
      <c r="AF66" s="33" t="s">
        <v>65</v>
      </c>
      <c r="AG66" s="34"/>
      <c r="AH66" s="35"/>
      <c r="AI66" s="25"/>
      <c r="AJ66" s="23" t="s">
        <v>71</v>
      </c>
      <c r="AK66" s="36"/>
      <c r="AL66" s="36">
        <v>1</v>
      </c>
      <c r="AM66" s="36"/>
      <c r="AN66" s="36"/>
      <c r="AO66" s="36"/>
      <c r="AP66" s="36"/>
      <c r="AQ66" s="36"/>
      <c r="AR66" s="29" t="s">
        <v>212</v>
      </c>
    </row>
    <row r="67" spans="1:44" ht="10.5" customHeight="1" x14ac:dyDescent="0.15">
      <c r="A67" s="12" t="s">
        <v>46</v>
      </c>
      <c r="B67" s="13" t="s">
        <v>47</v>
      </c>
      <c r="C67" s="14">
        <v>45962</v>
      </c>
      <c r="D67" s="12" t="s">
        <v>208</v>
      </c>
      <c r="E67" s="13" t="s">
        <v>191</v>
      </c>
      <c r="F67" s="13">
        <v>4</v>
      </c>
      <c r="G67" s="12" t="s">
        <v>53</v>
      </c>
      <c r="H67" s="13" t="s">
        <v>56</v>
      </c>
      <c r="I67" s="13">
        <v>672386</v>
      </c>
      <c r="J67" s="13" t="s">
        <v>55</v>
      </c>
      <c r="K67" s="13"/>
      <c r="L67" s="13"/>
      <c r="M67" s="13"/>
      <c r="N67" s="12" t="s">
        <v>50</v>
      </c>
      <c r="O67" s="13" t="s">
        <v>209</v>
      </c>
      <c r="P67" s="13">
        <v>686218</v>
      </c>
      <c r="Q67" s="13" t="s">
        <v>55</v>
      </c>
      <c r="R67" s="13" t="s">
        <v>69</v>
      </c>
      <c r="S67" s="13" t="s">
        <v>73</v>
      </c>
      <c r="T67" s="13" t="s">
        <v>82</v>
      </c>
      <c r="U67" s="13" t="s">
        <v>83</v>
      </c>
      <c r="V67" s="13" t="s">
        <v>78</v>
      </c>
      <c r="W67" s="13" t="s">
        <v>84</v>
      </c>
      <c r="X67" s="13" t="s">
        <v>85</v>
      </c>
      <c r="Y67" s="13" t="s">
        <v>86</v>
      </c>
      <c r="Z67" s="15">
        <v>1</v>
      </c>
      <c r="AA67" s="16" t="s">
        <v>74</v>
      </c>
      <c r="AB67" s="17"/>
      <c r="AC67" s="18"/>
      <c r="AD67" s="18"/>
      <c r="AE67" s="19"/>
      <c r="AF67" s="20"/>
      <c r="AG67" s="21"/>
      <c r="AH67" s="22"/>
      <c r="AI67" s="12" t="s">
        <v>66</v>
      </c>
      <c r="AJ67" s="23" t="s">
        <v>67</v>
      </c>
      <c r="AK67" s="24"/>
      <c r="AL67" s="24"/>
      <c r="AM67" s="24"/>
      <c r="AN67" s="24"/>
      <c r="AO67" s="24"/>
      <c r="AP67" s="24"/>
      <c r="AQ67" s="24"/>
      <c r="AR67" s="16" t="s">
        <v>213</v>
      </c>
    </row>
    <row r="68" spans="1:44" ht="10.5" customHeight="1" x14ac:dyDescent="0.15">
      <c r="A68" s="25" t="s">
        <v>46</v>
      </c>
      <c r="B68" s="26" t="s">
        <v>47</v>
      </c>
      <c r="C68" s="27">
        <v>45962</v>
      </c>
      <c r="D68" s="25" t="s">
        <v>208</v>
      </c>
      <c r="E68" s="26" t="s">
        <v>191</v>
      </c>
      <c r="F68" s="26">
        <v>4</v>
      </c>
      <c r="G68" s="25" t="s">
        <v>53</v>
      </c>
      <c r="H68" s="26" t="s">
        <v>62</v>
      </c>
      <c r="I68" s="26">
        <v>662139</v>
      </c>
      <c r="J68" s="26" t="s">
        <v>52</v>
      </c>
      <c r="K68" s="26" t="s">
        <v>56</v>
      </c>
      <c r="L68" s="26"/>
      <c r="M68" s="26"/>
      <c r="N68" s="25" t="s">
        <v>50</v>
      </c>
      <c r="O68" s="26" t="s">
        <v>209</v>
      </c>
      <c r="P68" s="26">
        <v>686218</v>
      </c>
      <c r="Q68" s="26" t="s">
        <v>55</v>
      </c>
      <c r="R68" s="26" t="s">
        <v>69</v>
      </c>
      <c r="S68" s="26" t="s">
        <v>73</v>
      </c>
      <c r="T68" s="26" t="s">
        <v>82</v>
      </c>
      <c r="U68" s="26" t="s">
        <v>83</v>
      </c>
      <c r="V68" s="26" t="s">
        <v>78</v>
      </c>
      <c r="W68" s="26" t="s">
        <v>84</v>
      </c>
      <c r="X68" s="26" t="s">
        <v>85</v>
      </c>
      <c r="Y68" s="26" t="s">
        <v>86</v>
      </c>
      <c r="Z68" s="28">
        <v>5</v>
      </c>
      <c r="AA68" s="29" t="s">
        <v>214</v>
      </c>
      <c r="AB68" s="30" t="s">
        <v>65</v>
      </c>
      <c r="AC68" s="31"/>
      <c r="AD68" s="31"/>
      <c r="AE68" s="32"/>
      <c r="AF68" s="33" t="s">
        <v>65</v>
      </c>
      <c r="AG68" s="34" t="s">
        <v>65</v>
      </c>
      <c r="AH68" s="35" t="s">
        <v>65</v>
      </c>
      <c r="AI68" s="25"/>
      <c r="AJ68" s="23" t="s">
        <v>90</v>
      </c>
      <c r="AK68" s="36"/>
      <c r="AL68" s="36">
        <v>1</v>
      </c>
      <c r="AM68" s="36"/>
      <c r="AN68" s="36"/>
      <c r="AO68" s="36"/>
      <c r="AP68" s="36"/>
      <c r="AQ68" s="36"/>
      <c r="AR68" s="29" t="s">
        <v>137</v>
      </c>
    </row>
    <row r="69" spans="1:44" ht="10.5" customHeight="1" x14ac:dyDescent="0.15">
      <c r="A69" s="12" t="s">
        <v>46</v>
      </c>
      <c r="B69" s="13" t="s">
        <v>47</v>
      </c>
      <c r="C69" s="14">
        <v>45962</v>
      </c>
      <c r="D69" s="12" t="s">
        <v>215</v>
      </c>
      <c r="E69" s="13">
        <v>2</v>
      </c>
      <c r="F69" s="13" t="s">
        <v>201</v>
      </c>
      <c r="G69" s="12" t="s">
        <v>50</v>
      </c>
      <c r="H69" s="13" t="s">
        <v>78</v>
      </c>
      <c r="I69" s="13">
        <v>605141</v>
      </c>
      <c r="J69" s="13" t="s">
        <v>55</v>
      </c>
      <c r="K69" s="13"/>
      <c r="L69" s="13"/>
      <c r="M69" s="13"/>
      <c r="N69" s="12" t="s">
        <v>53</v>
      </c>
      <c r="O69" s="13" t="s">
        <v>202</v>
      </c>
      <c r="P69" s="13">
        <v>702056</v>
      </c>
      <c r="Q69" s="13" t="s">
        <v>55</v>
      </c>
      <c r="R69" s="13" t="s">
        <v>56</v>
      </c>
      <c r="S69" s="13" t="s">
        <v>57</v>
      </c>
      <c r="T69" s="13" t="s">
        <v>58</v>
      </c>
      <c r="U69" s="13" t="s">
        <v>59</v>
      </c>
      <c r="V69" s="13" t="s">
        <v>60</v>
      </c>
      <c r="W69" s="13" t="s">
        <v>61</v>
      </c>
      <c r="X69" s="13" t="s">
        <v>62</v>
      </c>
      <c r="Y69" s="13" t="s">
        <v>63</v>
      </c>
      <c r="Z69" s="15">
        <v>4</v>
      </c>
      <c r="AA69" s="16" t="s">
        <v>216</v>
      </c>
      <c r="AB69" s="17"/>
      <c r="AC69" s="18"/>
      <c r="AD69" s="18"/>
      <c r="AE69" s="19"/>
      <c r="AF69" s="20" t="s">
        <v>65</v>
      </c>
      <c r="AG69" s="21" t="s">
        <v>65</v>
      </c>
      <c r="AH69" s="22"/>
      <c r="AI69" s="12"/>
      <c r="AJ69" s="23" t="s">
        <v>71</v>
      </c>
      <c r="AK69" s="24"/>
      <c r="AL69" s="24">
        <v>1</v>
      </c>
      <c r="AM69" s="24"/>
      <c r="AN69" s="24"/>
      <c r="AO69" s="24"/>
      <c r="AP69" s="24"/>
      <c r="AQ69" s="24"/>
      <c r="AR69" s="16" t="s">
        <v>80</v>
      </c>
    </row>
    <row r="70" spans="1:44" ht="10.5" customHeight="1" x14ac:dyDescent="0.15">
      <c r="A70" s="25" t="s">
        <v>46</v>
      </c>
      <c r="B70" s="26" t="s">
        <v>47</v>
      </c>
      <c r="C70" s="27">
        <v>45962</v>
      </c>
      <c r="D70" s="25" t="s">
        <v>215</v>
      </c>
      <c r="E70" s="26">
        <v>2</v>
      </c>
      <c r="F70" s="26" t="s">
        <v>201</v>
      </c>
      <c r="G70" s="25" t="s">
        <v>50</v>
      </c>
      <c r="H70" s="26" t="s">
        <v>83</v>
      </c>
      <c r="I70" s="26">
        <v>571970</v>
      </c>
      <c r="J70" s="26" t="s">
        <v>52</v>
      </c>
      <c r="K70" s="26"/>
      <c r="L70" s="26"/>
      <c r="M70" s="26"/>
      <c r="N70" s="25" t="s">
        <v>53</v>
      </c>
      <c r="O70" s="26" t="s">
        <v>202</v>
      </c>
      <c r="P70" s="26">
        <v>702056</v>
      </c>
      <c r="Q70" s="26" t="s">
        <v>55</v>
      </c>
      <c r="R70" s="26" t="s">
        <v>56</v>
      </c>
      <c r="S70" s="26" t="s">
        <v>57</v>
      </c>
      <c r="T70" s="26" t="s">
        <v>58</v>
      </c>
      <c r="U70" s="26" t="s">
        <v>59</v>
      </c>
      <c r="V70" s="26" t="s">
        <v>60</v>
      </c>
      <c r="W70" s="26" t="s">
        <v>61</v>
      </c>
      <c r="X70" s="26" t="s">
        <v>62</v>
      </c>
      <c r="Y70" s="26" t="s">
        <v>63</v>
      </c>
      <c r="Z70" s="28">
        <v>3</v>
      </c>
      <c r="AA70" s="29" t="s">
        <v>118</v>
      </c>
      <c r="AB70" s="30" t="s">
        <v>65</v>
      </c>
      <c r="AC70" s="31"/>
      <c r="AD70" s="31"/>
      <c r="AE70" s="32"/>
      <c r="AF70" s="33" t="s">
        <v>65</v>
      </c>
      <c r="AG70" s="34"/>
      <c r="AH70" s="35"/>
      <c r="AI70" s="25" t="s">
        <v>75</v>
      </c>
      <c r="AJ70" s="23" t="s">
        <v>132</v>
      </c>
      <c r="AK70" s="36">
        <v>1</v>
      </c>
      <c r="AL70" s="36"/>
      <c r="AM70" s="36"/>
      <c r="AN70" s="36"/>
      <c r="AO70" s="36"/>
      <c r="AP70" s="36"/>
      <c r="AQ70" s="36"/>
      <c r="AR70" s="29" t="s">
        <v>217</v>
      </c>
    </row>
    <row r="71" spans="1:44" ht="10.5" customHeight="1" x14ac:dyDescent="0.15">
      <c r="A71" s="12" t="s">
        <v>46</v>
      </c>
      <c r="B71" s="13" t="s">
        <v>47</v>
      </c>
      <c r="C71" s="14">
        <v>45962</v>
      </c>
      <c r="D71" s="12" t="s">
        <v>215</v>
      </c>
      <c r="E71" s="13">
        <v>3</v>
      </c>
      <c r="F71" s="13" t="s">
        <v>201</v>
      </c>
      <c r="G71" s="12" t="s">
        <v>50</v>
      </c>
      <c r="H71" s="13" t="s">
        <v>86</v>
      </c>
      <c r="I71" s="13">
        <v>606192</v>
      </c>
      <c r="J71" s="13" t="s">
        <v>55</v>
      </c>
      <c r="K71" s="13"/>
      <c r="L71" s="13"/>
      <c r="M71" s="13"/>
      <c r="N71" s="12" t="s">
        <v>53</v>
      </c>
      <c r="O71" s="13" t="s">
        <v>202</v>
      </c>
      <c r="P71" s="13">
        <v>702056</v>
      </c>
      <c r="Q71" s="13" t="s">
        <v>55</v>
      </c>
      <c r="R71" s="13" t="s">
        <v>56</v>
      </c>
      <c r="S71" s="13" t="s">
        <v>57</v>
      </c>
      <c r="T71" s="13" t="s">
        <v>58</v>
      </c>
      <c r="U71" s="13" t="s">
        <v>59</v>
      </c>
      <c r="V71" s="13" t="s">
        <v>60</v>
      </c>
      <c r="W71" s="13" t="s">
        <v>61</v>
      </c>
      <c r="X71" s="13" t="s">
        <v>62</v>
      </c>
      <c r="Y71" s="13" t="s">
        <v>63</v>
      </c>
      <c r="Z71" s="15">
        <v>2</v>
      </c>
      <c r="AA71" s="16" t="s">
        <v>98</v>
      </c>
      <c r="AB71" s="17"/>
      <c r="AC71" s="18"/>
      <c r="AD71" s="18"/>
      <c r="AE71" s="19"/>
      <c r="AF71" s="20" t="s">
        <v>65</v>
      </c>
      <c r="AG71" s="21"/>
      <c r="AH71" s="22"/>
      <c r="AI71" s="12"/>
      <c r="AJ71" s="23" t="s">
        <v>71</v>
      </c>
      <c r="AK71" s="24"/>
      <c r="AL71" s="24">
        <v>1</v>
      </c>
      <c r="AM71" s="24"/>
      <c r="AN71" s="24"/>
      <c r="AO71" s="24"/>
      <c r="AP71" s="24"/>
      <c r="AQ71" s="24"/>
      <c r="AR71" s="16" t="s">
        <v>218</v>
      </c>
    </row>
    <row r="72" spans="1:44" ht="10.5" customHeight="1" x14ac:dyDescent="0.15">
      <c r="A72" s="25" t="s">
        <v>46</v>
      </c>
      <c r="B72" s="26" t="s">
        <v>47</v>
      </c>
      <c r="C72" s="27">
        <v>45962</v>
      </c>
      <c r="D72" s="25" t="s">
        <v>215</v>
      </c>
      <c r="E72" s="26">
        <v>3</v>
      </c>
      <c r="F72" s="26" t="s">
        <v>201</v>
      </c>
      <c r="G72" s="25" t="s">
        <v>50</v>
      </c>
      <c r="H72" s="26" t="s">
        <v>85</v>
      </c>
      <c r="I72" s="26">
        <v>669242</v>
      </c>
      <c r="J72" s="26" t="s">
        <v>100</v>
      </c>
      <c r="K72" s="26"/>
      <c r="L72" s="26"/>
      <c r="M72" s="26"/>
      <c r="N72" s="25" t="s">
        <v>53</v>
      </c>
      <c r="O72" s="26" t="s">
        <v>219</v>
      </c>
      <c r="P72" s="26">
        <v>656546</v>
      </c>
      <c r="Q72" s="26" t="s">
        <v>55</v>
      </c>
      <c r="R72" s="26" t="s">
        <v>56</v>
      </c>
      <c r="S72" s="26" t="s">
        <v>57</v>
      </c>
      <c r="T72" s="26" t="s">
        <v>58</v>
      </c>
      <c r="U72" s="26" t="s">
        <v>59</v>
      </c>
      <c r="V72" s="26" t="s">
        <v>60</v>
      </c>
      <c r="W72" s="26" t="s">
        <v>61</v>
      </c>
      <c r="X72" s="26" t="s">
        <v>62</v>
      </c>
      <c r="Y72" s="26" t="s">
        <v>63</v>
      </c>
      <c r="Z72" s="28">
        <v>4</v>
      </c>
      <c r="AA72" s="29" t="s">
        <v>220</v>
      </c>
      <c r="AB72" s="30" t="s">
        <v>65</v>
      </c>
      <c r="AC72" s="31" t="s">
        <v>65</v>
      </c>
      <c r="AD72" s="31"/>
      <c r="AE72" s="32"/>
      <c r="AF72" s="33" t="s">
        <v>65</v>
      </c>
      <c r="AG72" s="34"/>
      <c r="AH72" s="35"/>
      <c r="AI72" s="25"/>
      <c r="AJ72" s="23" t="s">
        <v>71</v>
      </c>
      <c r="AK72" s="36"/>
      <c r="AL72" s="36">
        <v>1</v>
      </c>
      <c r="AM72" s="36"/>
      <c r="AN72" s="36"/>
      <c r="AO72" s="36"/>
      <c r="AP72" s="36"/>
      <c r="AQ72" s="36"/>
      <c r="AR72" s="29" t="s">
        <v>221</v>
      </c>
    </row>
    <row r="73" spans="1:44" ht="10.5" customHeight="1" x14ac:dyDescent="0.15">
      <c r="A73" s="12" t="s">
        <v>46</v>
      </c>
      <c r="B73" s="13" t="s">
        <v>47</v>
      </c>
      <c r="C73" s="14">
        <v>45962</v>
      </c>
      <c r="D73" s="12" t="s">
        <v>222</v>
      </c>
      <c r="E73" s="13" t="s">
        <v>139</v>
      </c>
      <c r="F73" s="13">
        <v>4</v>
      </c>
      <c r="G73" s="12" t="s">
        <v>53</v>
      </c>
      <c r="H73" s="13" t="s">
        <v>59</v>
      </c>
      <c r="I73" s="13">
        <v>676391</v>
      </c>
      <c r="J73" s="13" t="s">
        <v>55</v>
      </c>
      <c r="K73" s="13"/>
      <c r="L73" s="13"/>
      <c r="M73" s="13"/>
      <c r="N73" s="12" t="s">
        <v>50</v>
      </c>
      <c r="O73" s="13" t="s">
        <v>209</v>
      </c>
      <c r="P73" s="13">
        <v>686218</v>
      </c>
      <c r="Q73" s="13" t="s">
        <v>55</v>
      </c>
      <c r="R73" s="13" t="s">
        <v>69</v>
      </c>
      <c r="S73" s="13" t="s">
        <v>73</v>
      </c>
      <c r="T73" s="13" t="s">
        <v>82</v>
      </c>
      <c r="U73" s="13" t="s">
        <v>83</v>
      </c>
      <c r="V73" s="13" t="s">
        <v>78</v>
      </c>
      <c r="W73" s="13" t="s">
        <v>84</v>
      </c>
      <c r="X73" s="13" t="s">
        <v>85</v>
      </c>
      <c r="Y73" s="13" t="s">
        <v>86</v>
      </c>
      <c r="Z73" s="15">
        <v>5</v>
      </c>
      <c r="AA73" s="16" t="s">
        <v>223</v>
      </c>
      <c r="AB73" s="17" t="s">
        <v>65</v>
      </c>
      <c r="AC73" s="18" t="s">
        <v>65</v>
      </c>
      <c r="AD73" s="18"/>
      <c r="AE73" s="19"/>
      <c r="AF73" s="20" t="s">
        <v>65</v>
      </c>
      <c r="AG73" s="21" t="s">
        <v>65</v>
      </c>
      <c r="AH73" s="22"/>
      <c r="AI73" s="12" t="s">
        <v>66</v>
      </c>
      <c r="AJ73" s="23" t="s">
        <v>140</v>
      </c>
      <c r="AK73" s="24"/>
      <c r="AL73" s="24"/>
      <c r="AM73" s="24"/>
      <c r="AN73" s="24"/>
      <c r="AO73" s="24"/>
      <c r="AP73" s="24"/>
      <c r="AQ73" s="24"/>
      <c r="AR73" s="16" t="s">
        <v>224</v>
      </c>
    </row>
    <row r="74" spans="1:44" ht="10.5" customHeight="1" x14ac:dyDescent="0.15">
      <c r="A74" s="25" t="s">
        <v>46</v>
      </c>
      <c r="B74" s="26" t="s">
        <v>47</v>
      </c>
      <c r="C74" s="27">
        <v>45962</v>
      </c>
      <c r="D74" s="25" t="s">
        <v>222</v>
      </c>
      <c r="E74" s="26" t="s">
        <v>139</v>
      </c>
      <c r="F74" s="26">
        <v>4</v>
      </c>
      <c r="G74" s="25" t="s">
        <v>53</v>
      </c>
      <c r="H74" s="26" t="s">
        <v>60</v>
      </c>
      <c r="I74" s="26">
        <v>665926</v>
      </c>
      <c r="J74" s="26" t="s">
        <v>52</v>
      </c>
      <c r="K74" s="26"/>
      <c r="L74" s="26" t="s">
        <v>59</v>
      </c>
      <c r="M74" s="26"/>
      <c r="N74" s="25" t="s">
        <v>50</v>
      </c>
      <c r="O74" s="26" t="s">
        <v>225</v>
      </c>
      <c r="P74" s="26">
        <v>605483</v>
      </c>
      <c r="Q74" s="26" t="s">
        <v>52</v>
      </c>
      <c r="R74" s="26" t="s">
        <v>69</v>
      </c>
      <c r="S74" s="26" t="s">
        <v>73</v>
      </c>
      <c r="T74" s="26" t="s">
        <v>82</v>
      </c>
      <c r="U74" s="26" t="s">
        <v>83</v>
      </c>
      <c r="V74" s="26" t="s">
        <v>78</v>
      </c>
      <c r="W74" s="26" t="s">
        <v>84</v>
      </c>
      <c r="X74" s="26" t="s">
        <v>85</v>
      </c>
      <c r="Y74" s="26" t="s">
        <v>86</v>
      </c>
      <c r="Z74" s="28">
        <v>3</v>
      </c>
      <c r="AA74" s="29" t="s">
        <v>226</v>
      </c>
      <c r="AB74" s="30" t="s">
        <v>65</v>
      </c>
      <c r="AC74" s="31"/>
      <c r="AD74" s="31"/>
      <c r="AE74" s="32"/>
      <c r="AF74" s="33" t="s">
        <v>65</v>
      </c>
      <c r="AG74" s="34"/>
      <c r="AH74" s="35"/>
      <c r="AI74" s="25"/>
      <c r="AJ74" s="23" t="s">
        <v>122</v>
      </c>
      <c r="AK74" s="36"/>
      <c r="AL74" s="36">
        <v>1</v>
      </c>
      <c r="AM74" s="36"/>
      <c r="AN74" s="36"/>
      <c r="AO74" s="36"/>
      <c r="AP74" s="36"/>
      <c r="AQ74" s="36"/>
      <c r="AR74" s="29" t="s">
        <v>227</v>
      </c>
    </row>
    <row r="75" spans="1:44" ht="10.5" customHeight="1" x14ac:dyDescent="0.15">
      <c r="A75" s="12" t="s">
        <v>46</v>
      </c>
      <c r="B75" s="13" t="s">
        <v>47</v>
      </c>
      <c r="C75" s="14">
        <v>45962</v>
      </c>
      <c r="D75" s="12" t="s">
        <v>222</v>
      </c>
      <c r="E75" s="13" t="s">
        <v>139</v>
      </c>
      <c r="F75" s="13">
        <v>4</v>
      </c>
      <c r="G75" s="12" t="s">
        <v>53</v>
      </c>
      <c r="H75" s="13" t="s">
        <v>81</v>
      </c>
      <c r="I75" s="13">
        <v>543807</v>
      </c>
      <c r="J75" s="13" t="s">
        <v>55</v>
      </c>
      <c r="K75" s="13"/>
      <c r="L75" s="13" t="s">
        <v>59</v>
      </c>
      <c r="M75" s="13"/>
      <c r="N75" s="12" t="s">
        <v>50</v>
      </c>
      <c r="O75" s="13" t="s">
        <v>225</v>
      </c>
      <c r="P75" s="13">
        <v>605483</v>
      </c>
      <c r="Q75" s="13" t="s">
        <v>52</v>
      </c>
      <c r="R75" s="13" t="s">
        <v>69</v>
      </c>
      <c r="S75" s="13" t="s">
        <v>73</v>
      </c>
      <c r="T75" s="13" t="s">
        <v>82</v>
      </c>
      <c r="U75" s="13" t="s">
        <v>83</v>
      </c>
      <c r="V75" s="13" t="s">
        <v>78</v>
      </c>
      <c r="W75" s="13" t="s">
        <v>84</v>
      </c>
      <c r="X75" s="13" t="s">
        <v>85</v>
      </c>
      <c r="Y75" s="13" t="s">
        <v>86</v>
      </c>
      <c r="Z75" s="15">
        <v>3</v>
      </c>
      <c r="AA75" s="16" t="s">
        <v>228</v>
      </c>
      <c r="AB75" s="17"/>
      <c r="AC75" s="18"/>
      <c r="AD75" s="18"/>
      <c r="AE75" s="19"/>
      <c r="AF75" s="20" t="s">
        <v>65</v>
      </c>
      <c r="AG75" s="21" t="s">
        <v>65</v>
      </c>
      <c r="AH75" s="22" t="s">
        <v>65</v>
      </c>
      <c r="AI75" s="12"/>
      <c r="AJ75" s="23" t="s">
        <v>90</v>
      </c>
      <c r="AK75" s="24"/>
      <c r="AL75" s="24">
        <v>1</v>
      </c>
      <c r="AM75" s="24"/>
      <c r="AN75" s="24"/>
      <c r="AO75" s="24"/>
      <c r="AP75" s="24"/>
      <c r="AQ75" s="24"/>
      <c r="AR75" s="16" t="s">
        <v>197</v>
      </c>
    </row>
    <row r="76" spans="1:44" ht="10.5" customHeight="1" x14ac:dyDescent="0.15">
      <c r="A76" s="25" t="s">
        <v>46</v>
      </c>
      <c r="B76" s="26" t="s">
        <v>47</v>
      </c>
      <c r="C76" s="27">
        <v>45962</v>
      </c>
      <c r="D76" s="25" t="s">
        <v>222</v>
      </c>
      <c r="E76" s="26" t="s">
        <v>139</v>
      </c>
      <c r="F76" s="26">
        <v>4</v>
      </c>
      <c r="G76" s="25" t="s">
        <v>53</v>
      </c>
      <c r="H76" s="26" t="s">
        <v>229</v>
      </c>
      <c r="I76" s="26">
        <v>676914</v>
      </c>
      <c r="J76" s="26" t="s">
        <v>55</v>
      </c>
      <c r="K76" s="26"/>
      <c r="L76" s="26" t="s">
        <v>59</v>
      </c>
      <c r="M76" s="26"/>
      <c r="N76" s="25" t="s">
        <v>50</v>
      </c>
      <c r="O76" s="26" t="s">
        <v>225</v>
      </c>
      <c r="P76" s="26">
        <v>605483</v>
      </c>
      <c r="Q76" s="26" t="s">
        <v>52</v>
      </c>
      <c r="R76" s="26" t="s">
        <v>69</v>
      </c>
      <c r="S76" s="26" t="s">
        <v>73</v>
      </c>
      <c r="T76" s="26" t="s">
        <v>82</v>
      </c>
      <c r="U76" s="26" t="s">
        <v>83</v>
      </c>
      <c r="V76" s="26" t="s">
        <v>78</v>
      </c>
      <c r="W76" s="26" t="s">
        <v>84</v>
      </c>
      <c r="X76" s="26" t="s">
        <v>85</v>
      </c>
      <c r="Y76" s="26" t="s">
        <v>86</v>
      </c>
      <c r="Z76" s="28">
        <v>5</v>
      </c>
      <c r="AA76" s="29" t="s">
        <v>230</v>
      </c>
      <c r="AB76" s="30" t="s">
        <v>65</v>
      </c>
      <c r="AC76" s="31" t="s">
        <v>65</v>
      </c>
      <c r="AD76" s="31"/>
      <c r="AE76" s="32"/>
      <c r="AF76" s="33" t="s">
        <v>65</v>
      </c>
      <c r="AG76" s="34" t="s">
        <v>65</v>
      </c>
      <c r="AH76" s="35" t="s">
        <v>65</v>
      </c>
      <c r="AI76" s="25"/>
      <c r="AJ76" s="23" t="s">
        <v>90</v>
      </c>
      <c r="AK76" s="36"/>
      <c r="AL76" s="36">
        <v>1</v>
      </c>
      <c r="AM76" s="36"/>
      <c r="AN76" s="36"/>
      <c r="AO76" s="36"/>
      <c r="AP76" s="36"/>
      <c r="AQ76" s="36"/>
      <c r="AR76" s="29" t="s">
        <v>231</v>
      </c>
    </row>
    <row r="77" spans="1:44" ht="10.5" customHeight="1" x14ac:dyDescent="0.15">
      <c r="A77" s="12" t="s">
        <v>46</v>
      </c>
      <c r="B77" s="13" t="s">
        <v>47</v>
      </c>
      <c r="C77" s="14">
        <v>45962</v>
      </c>
      <c r="D77" s="12" t="s">
        <v>232</v>
      </c>
      <c r="E77" s="13">
        <v>3</v>
      </c>
      <c r="F77" s="13" t="s">
        <v>201</v>
      </c>
      <c r="G77" s="12" t="s">
        <v>50</v>
      </c>
      <c r="H77" s="13" t="s">
        <v>84</v>
      </c>
      <c r="I77" s="13">
        <v>571771</v>
      </c>
      <c r="J77" s="13" t="s">
        <v>55</v>
      </c>
      <c r="K77" s="13"/>
      <c r="L77" s="13"/>
      <c r="M77" s="13"/>
      <c r="N77" s="12" t="s">
        <v>53</v>
      </c>
      <c r="O77" s="13" t="s">
        <v>219</v>
      </c>
      <c r="P77" s="13">
        <v>656546</v>
      </c>
      <c r="Q77" s="13" t="s">
        <v>55</v>
      </c>
      <c r="R77" s="13" t="s">
        <v>56</v>
      </c>
      <c r="S77" s="13" t="s">
        <v>57</v>
      </c>
      <c r="T77" s="13" t="s">
        <v>58</v>
      </c>
      <c r="U77" s="13" t="s">
        <v>59</v>
      </c>
      <c r="V77" s="13" t="s">
        <v>60</v>
      </c>
      <c r="W77" s="13" t="s">
        <v>233</v>
      </c>
      <c r="X77" s="13" t="s">
        <v>62</v>
      </c>
      <c r="Y77" s="13" t="s">
        <v>63</v>
      </c>
      <c r="Z77" s="15">
        <v>4</v>
      </c>
      <c r="AA77" s="16" t="s">
        <v>234</v>
      </c>
      <c r="AB77" s="17" t="s">
        <v>65</v>
      </c>
      <c r="AC77" s="18"/>
      <c r="AD77" s="18"/>
      <c r="AE77" s="19"/>
      <c r="AF77" s="20" t="s">
        <v>65</v>
      </c>
      <c r="AG77" s="21" t="s">
        <v>65</v>
      </c>
      <c r="AH77" s="22" t="s">
        <v>65</v>
      </c>
      <c r="AI77" s="12"/>
      <c r="AJ77" s="23" t="s">
        <v>90</v>
      </c>
      <c r="AK77" s="24"/>
      <c r="AL77" s="24">
        <v>1</v>
      </c>
      <c r="AM77" s="24"/>
      <c r="AN77" s="24"/>
      <c r="AO77" s="24"/>
      <c r="AP77" s="24"/>
      <c r="AQ77" s="24"/>
      <c r="AR77" s="16" t="s">
        <v>163</v>
      </c>
    </row>
    <row r="78" spans="1:44" ht="10.5" customHeight="1" x14ac:dyDescent="0.15">
      <c r="A78" s="25" t="s">
        <v>46</v>
      </c>
      <c r="B78" s="26" t="s">
        <v>47</v>
      </c>
      <c r="C78" s="27">
        <v>45962</v>
      </c>
      <c r="D78" s="25" t="s">
        <v>232</v>
      </c>
      <c r="E78" s="26">
        <v>3</v>
      </c>
      <c r="F78" s="26" t="s">
        <v>201</v>
      </c>
      <c r="G78" s="25" t="s">
        <v>50</v>
      </c>
      <c r="H78" s="26" t="s">
        <v>82</v>
      </c>
      <c r="I78" s="26">
        <v>500743</v>
      </c>
      <c r="J78" s="26" t="s">
        <v>55</v>
      </c>
      <c r="K78" s="26"/>
      <c r="L78" s="26"/>
      <c r="M78" s="26"/>
      <c r="N78" s="25" t="s">
        <v>53</v>
      </c>
      <c r="O78" s="26" t="s">
        <v>219</v>
      </c>
      <c r="P78" s="26">
        <v>656546</v>
      </c>
      <c r="Q78" s="26" t="s">
        <v>55</v>
      </c>
      <c r="R78" s="26" t="s">
        <v>56</v>
      </c>
      <c r="S78" s="26" t="s">
        <v>57</v>
      </c>
      <c r="T78" s="26" t="s">
        <v>58</v>
      </c>
      <c r="U78" s="26" t="s">
        <v>59</v>
      </c>
      <c r="V78" s="26" t="s">
        <v>60</v>
      </c>
      <c r="W78" s="26" t="s">
        <v>233</v>
      </c>
      <c r="X78" s="26" t="s">
        <v>62</v>
      </c>
      <c r="Y78" s="26" t="s">
        <v>63</v>
      </c>
      <c r="Z78" s="28">
        <v>7</v>
      </c>
      <c r="AA78" s="29" t="s">
        <v>235</v>
      </c>
      <c r="AB78" s="30" t="s">
        <v>65</v>
      </c>
      <c r="AC78" s="31" t="s">
        <v>65</v>
      </c>
      <c r="AD78" s="31" t="s">
        <v>65</v>
      </c>
      <c r="AE78" s="32"/>
      <c r="AF78" s="33" t="s">
        <v>65</v>
      </c>
      <c r="AG78" s="34" t="s">
        <v>65</v>
      </c>
      <c r="AH78" s="35"/>
      <c r="AI78" s="25" t="s">
        <v>75</v>
      </c>
      <c r="AJ78" s="23" t="s">
        <v>132</v>
      </c>
      <c r="AK78" s="36">
        <v>1</v>
      </c>
      <c r="AL78" s="36"/>
      <c r="AM78" s="36"/>
      <c r="AN78" s="36"/>
      <c r="AO78" s="36"/>
      <c r="AP78" s="36"/>
      <c r="AQ78" s="36"/>
      <c r="AR78" s="29" t="s">
        <v>217</v>
      </c>
    </row>
    <row r="79" spans="1:44" ht="10.5" customHeight="1" x14ac:dyDescent="0.15">
      <c r="A79" s="12" t="s">
        <v>46</v>
      </c>
      <c r="B79" s="13" t="s">
        <v>47</v>
      </c>
      <c r="C79" s="14">
        <v>45962</v>
      </c>
      <c r="D79" s="12" t="s">
        <v>232</v>
      </c>
      <c r="E79" s="13">
        <v>4</v>
      </c>
      <c r="F79" s="13" t="s">
        <v>201</v>
      </c>
      <c r="G79" s="12" t="s">
        <v>50</v>
      </c>
      <c r="H79" s="13" t="s">
        <v>51</v>
      </c>
      <c r="I79" s="13">
        <v>660271</v>
      </c>
      <c r="J79" s="13" t="s">
        <v>52</v>
      </c>
      <c r="K79" s="13"/>
      <c r="L79" s="13"/>
      <c r="M79" s="13"/>
      <c r="N79" s="12" t="s">
        <v>53</v>
      </c>
      <c r="O79" s="13" t="s">
        <v>219</v>
      </c>
      <c r="P79" s="13">
        <v>656546</v>
      </c>
      <c r="Q79" s="13" t="s">
        <v>55</v>
      </c>
      <c r="R79" s="13" t="s">
        <v>56</v>
      </c>
      <c r="S79" s="13" t="s">
        <v>57</v>
      </c>
      <c r="T79" s="13" t="s">
        <v>58</v>
      </c>
      <c r="U79" s="13" t="s">
        <v>59</v>
      </c>
      <c r="V79" s="13" t="s">
        <v>60</v>
      </c>
      <c r="W79" s="13" t="s">
        <v>233</v>
      </c>
      <c r="X79" s="13" t="s">
        <v>62</v>
      </c>
      <c r="Y79" s="13" t="s">
        <v>63</v>
      </c>
      <c r="Z79" s="15">
        <v>1</v>
      </c>
      <c r="AA79" s="16" t="s">
        <v>74</v>
      </c>
      <c r="AB79" s="17"/>
      <c r="AC79" s="18"/>
      <c r="AD79" s="18"/>
      <c r="AE79" s="19"/>
      <c r="AF79" s="20"/>
      <c r="AG79" s="21"/>
      <c r="AH79" s="22"/>
      <c r="AI79" s="12" t="s">
        <v>75</v>
      </c>
      <c r="AJ79" s="23" t="s">
        <v>76</v>
      </c>
      <c r="AK79" s="24"/>
      <c r="AL79" s="24">
        <v>1</v>
      </c>
      <c r="AM79" s="24"/>
      <c r="AN79" s="24"/>
      <c r="AO79" s="24"/>
      <c r="AP79" s="24"/>
      <c r="AQ79" s="24"/>
      <c r="AR79" s="16" t="s">
        <v>236</v>
      </c>
    </row>
    <row r="80" spans="1:44" ht="10.5" customHeight="1" x14ac:dyDescent="0.15">
      <c r="A80" s="25" t="s">
        <v>46</v>
      </c>
      <c r="B80" s="26" t="s">
        <v>47</v>
      </c>
      <c r="C80" s="27">
        <v>45962</v>
      </c>
      <c r="D80" s="25" t="s">
        <v>232</v>
      </c>
      <c r="E80" s="26">
        <v>4</v>
      </c>
      <c r="F80" s="26" t="s">
        <v>201</v>
      </c>
      <c r="G80" s="25" t="s">
        <v>50</v>
      </c>
      <c r="H80" s="26" t="s">
        <v>69</v>
      </c>
      <c r="I80" s="26">
        <v>669257</v>
      </c>
      <c r="J80" s="26" t="s">
        <v>55</v>
      </c>
      <c r="K80" s="26"/>
      <c r="L80" s="26"/>
      <c r="M80" s="26"/>
      <c r="N80" s="25" t="s">
        <v>53</v>
      </c>
      <c r="O80" s="26" t="s">
        <v>219</v>
      </c>
      <c r="P80" s="26">
        <v>656546</v>
      </c>
      <c r="Q80" s="26" t="s">
        <v>55</v>
      </c>
      <c r="R80" s="26" t="s">
        <v>56</v>
      </c>
      <c r="S80" s="26" t="s">
        <v>57</v>
      </c>
      <c r="T80" s="26" t="s">
        <v>58</v>
      </c>
      <c r="U80" s="26" t="s">
        <v>59</v>
      </c>
      <c r="V80" s="26" t="s">
        <v>60</v>
      </c>
      <c r="W80" s="26" t="s">
        <v>233</v>
      </c>
      <c r="X80" s="26" t="s">
        <v>62</v>
      </c>
      <c r="Y80" s="26" t="s">
        <v>63</v>
      </c>
      <c r="Z80" s="28">
        <v>6</v>
      </c>
      <c r="AA80" s="29" t="s">
        <v>237</v>
      </c>
      <c r="AB80" s="30" t="s">
        <v>65</v>
      </c>
      <c r="AC80" s="31" t="s">
        <v>65</v>
      </c>
      <c r="AD80" s="31" t="s">
        <v>65</v>
      </c>
      <c r="AE80" s="32"/>
      <c r="AF80" s="33" t="s">
        <v>65</v>
      </c>
      <c r="AG80" s="34" t="s">
        <v>65</v>
      </c>
      <c r="AH80" s="35" t="s">
        <v>65</v>
      </c>
      <c r="AI80" s="25"/>
      <c r="AJ80" s="23" t="s">
        <v>90</v>
      </c>
      <c r="AK80" s="36"/>
      <c r="AL80" s="36">
        <v>1</v>
      </c>
      <c r="AM80" s="36"/>
      <c r="AN80" s="36"/>
      <c r="AO80" s="36"/>
      <c r="AP80" s="36"/>
      <c r="AQ80" s="36"/>
      <c r="AR80" s="29" t="s">
        <v>238</v>
      </c>
    </row>
    <row r="81" spans="1:44" ht="10.5" customHeight="1" x14ac:dyDescent="0.15">
      <c r="A81" s="12" t="s">
        <v>46</v>
      </c>
      <c r="B81" s="13" t="s">
        <v>47</v>
      </c>
      <c r="C81" s="14">
        <v>45962</v>
      </c>
      <c r="D81" s="12" t="s">
        <v>239</v>
      </c>
      <c r="E81" s="13" t="s">
        <v>201</v>
      </c>
      <c r="F81" s="13">
        <v>4</v>
      </c>
      <c r="G81" s="12" t="s">
        <v>53</v>
      </c>
      <c r="H81" s="13" t="s">
        <v>57</v>
      </c>
      <c r="I81" s="13">
        <v>665489</v>
      </c>
      <c r="J81" s="13" t="s">
        <v>55</v>
      </c>
      <c r="K81" s="13"/>
      <c r="L81" s="13"/>
      <c r="M81" s="13"/>
      <c r="N81" s="12" t="s">
        <v>50</v>
      </c>
      <c r="O81" s="13" t="s">
        <v>225</v>
      </c>
      <c r="P81" s="13">
        <v>605483</v>
      </c>
      <c r="Q81" s="13" t="s">
        <v>52</v>
      </c>
      <c r="R81" s="13" t="s">
        <v>69</v>
      </c>
      <c r="S81" s="13" t="s">
        <v>73</v>
      </c>
      <c r="T81" s="13" t="s">
        <v>82</v>
      </c>
      <c r="U81" s="13" t="s">
        <v>83</v>
      </c>
      <c r="V81" s="13" t="s">
        <v>78</v>
      </c>
      <c r="W81" s="13" t="s">
        <v>84</v>
      </c>
      <c r="X81" s="13" t="s">
        <v>85</v>
      </c>
      <c r="Y81" s="13" t="s">
        <v>86</v>
      </c>
      <c r="Z81" s="15">
        <v>4</v>
      </c>
      <c r="AA81" s="16" t="s">
        <v>240</v>
      </c>
      <c r="AB81" s="17" t="s">
        <v>65</v>
      </c>
      <c r="AC81" s="18" t="s">
        <v>65</v>
      </c>
      <c r="AD81" s="18" t="s">
        <v>65</v>
      </c>
      <c r="AE81" s="19"/>
      <c r="AF81" s="20"/>
      <c r="AG81" s="21"/>
      <c r="AH81" s="22"/>
      <c r="AI81" s="12" t="s">
        <v>75</v>
      </c>
      <c r="AJ81" s="23" t="s">
        <v>76</v>
      </c>
      <c r="AK81" s="24"/>
      <c r="AL81" s="24">
        <v>1</v>
      </c>
      <c r="AM81" s="24"/>
      <c r="AN81" s="24"/>
      <c r="AO81" s="24"/>
      <c r="AP81" s="24"/>
      <c r="AQ81" s="24"/>
      <c r="AR81" s="16" t="s">
        <v>241</v>
      </c>
    </row>
    <row r="82" spans="1:44" ht="10.5" customHeight="1" x14ac:dyDescent="0.15">
      <c r="A82" s="25" t="s">
        <v>46</v>
      </c>
      <c r="B82" s="26" t="s">
        <v>47</v>
      </c>
      <c r="C82" s="27">
        <v>45962</v>
      </c>
      <c r="D82" s="25" t="s">
        <v>239</v>
      </c>
      <c r="E82" s="26" t="s">
        <v>201</v>
      </c>
      <c r="F82" s="26">
        <v>4</v>
      </c>
      <c r="G82" s="25" t="s">
        <v>53</v>
      </c>
      <c r="H82" s="26" t="s">
        <v>58</v>
      </c>
      <c r="I82" s="26">
        <v>666182</v>
      </c>
      <c r="J82" s="26" t="s">
        <v>55</v>
      </c>
      <c r="K82" s="26"/>
      <c r="L82" s="26"/>
      <c r="M82" s="26"/>
      <c r="N82" s="25" t="s">
        <v>50</v>
      </c>
      <c r="O82" s="26" t="s">
        <v>225</v>
      </c>
      <c r="P82" s="26">
        <v>605483</v>
      </c>
      <c r="Q82" s="26" t="s">
        <v>52</v>
      </c>
      <c r="R82" s="26" t="s">
        <v>69</v>
      </c>
      <c r="S82" s="26" t="s">
        <v>73</v>
      </c>
      <c r="T82" s="26" t="s">
        <v>82</v>
      </c>
      <c r="U82" s="26" t="s">
        <v>83</v>
      </c>
      <c r="V82" s="26" t="s">
        <v>78</v>
      </c>
      <c r="W82" s="26" t="s">
        <v>84</v>
      </c>
      <c r="X82" s="26" t="s">
        <v>85</v>
      </c>
      <c r="Y82" s="26" t="s">
        <v>86</v>
      </c>
      <c r="Z82" s="28">
        <v>4</v>
      </c>
      <c r="AA82" s="29" t="s">
        <v>242</v>
      </c>
      <c r="AB82" s="30" t="s">
        <v>65</v>
      </c>
      <c r="AC82" s="31" t="s">
        <v>65</v>
      </c>
      <c r="AD82" s="31"/>
      <c r="AE82" s="32"/>
      <c r="AF82" s="33" t="s">
        <v>65</v>
      </c>
      <c r="AG82" s="34"/>
      <c r="AH82" s="35"/>
      <c r="AI82" s="25" t="s">
        <v>66</v>
      </c>
      <c r="AJ82" s="23" t="s">
        <v>67</v>
      </c>
      <c r="AK82" s="36"/>
      <c r="AL82" s="36"/>
      <c r="AM82" s="36"/>
      <c r="AN82" s="36"/>
      <c r="AO82" s="36"/>
      <c r="AP82" s="36"/>
      <c r="AQ82" s="36"/>
      <c r="AR82" s="29" t="s">
        <v>88</v>
      </c>
    </row>
    <row r="83" spans="1:44" ht="10.5" customHeight="1" x14ac:dyDescent="0.15">
      <c r="A83" s="12" t="s">
        <v>46</v>
      </c>
      <c r="B83" s="13" t="s">
        <v>47</v>
      </c>
      <c r="C83" s="14">
        <v>45962</v>
      </c>
      <c r="D83" s="12" t="s">
        <v>239</v>
      </c>
      <c r="E83" s="13" t="s">
        <v>201</v>
      </c>
      <c r="F83" s="13">
        <v>4</v>
      </c>
      <c r="G83" s="12" t="s">
        <v>53</v>
      </c>
      <c r="H83" s="13" t="s">
        <v>63</v>
      </c>
      <c r="I83" s="13">
        <v>680718</v>
      </c>
      <c r="J83" s="13" t="s">
        <v>52</v>
      </c>
      <c r="K83" s="13" t="s">
        <v>243</v>
      </c>
      <c r="L83" s="13"/>
      <c r="M83" s="13"/>
      <c r="N83" s="12" t="s">
        <v>50</v>
      </c>
      <c r="O83" s="13" t="s">
        <v>225</v>
      </c>
      <c r="P83" s="13">
        <v>605483</v>
      </c>
      <c r="Q83" s="13" t="s">
        <v>52</v>
      </c>
      <c r="R83" s="13" t="s">
        <v>69</v>
      </c>
      <c r="S83" s="13" t="s">
        <v>73</v>
      </c>
      <c r="T83" s="13" t="s">
        <v>82</v>
      </c>
      <c r="U83" s="13" t="s">
        <v>83</v>
      </c>
      <c r="V83" s="13" t="s">
        <v>78</v>
      </c>
      <c r="W83" s="13" t="s">
        <v>84</v>
      </c>
      <c r="X83" s="13" t="s">
        <v>85</v>
      </c>
      <c r="Y83" s="13" t="s">
        <v>86</v>
      </c>
      <c r="Z83" s="15">
        <v>9</v>
      </c>
      <c r="AA83" s="16" t="s">
        <v>244</v>
      </c>
      <c r="AB83" s="17" t="s">
        <v>65</v>
      </c>
      <c r="AC83" s="18" t="s">
        <v>65</v>
      </c>
      <c r="AD83" s="18" t="s">
        <v>65</v>
      </c>
      <c r="AE83" s="19" t="s">
        <v>65</v>
      </c>
      <c r="AF83" s="20" t="s">
        <v>65</v>
      </c>
      <c r="AG83" s="21" t="s">
        <v>65</v>
      </c>
      <c r="AH83" s="22"/>
      <c r="AI83" s="12"/>
      <c r="AJ83" s="23" t="s">
        <v>104</v>
      </c>
      <c r="AK83" s="24"/>
      <c r="AL83" s="24"/>
      <c r="AM83" s="24"/>
      <c r="AN83" s="24"/>
      <c r="AO83" s="24"/>
      <c r="AP83" s="24"/>
      <c r="AQ83" s="24"/>
      <c r="AR83" s="16" t="s">
        <v>245</v>
      </c>
    </row>
    <row r="84" spans="1:44" ht="10.5" customHeight="1" x14ac:dyDescent="0.15">
      <c r="A84" s="25" t="s">
        <v>46</v>
      </c>
      <c r="B84" s="26" t="s">
        <v>47</v>
      </c>
      <c r="C84" s="27">
        <v>45962</v>
      </c>
      <c r="D84" s="25" t="s">
        <v>239</v>
      </c>
      <c r="E84" s="26" t="s">
        <v>201</v>
      </c>
      <c r="F84" s="26">
        <v>4</v>
      </c>
      <c r="G84" s="25" t="s">
        <v>53</v>
      </c>
      <c r="H84" s="26" t="s">
        <v>56</v>
      </c>
      <c r="I84" s="26">
        <v>672386</v>
      </c>
      <c r="J84" s="26" t="s">
        <v>55</v>
      </c>
      <c r="K84" s="26" t="s">
        <v>63</v>
      </c>
      <c r="L84" s="26" t="s">
        <v>243</v>
      </c>
      <c r="M84" s="26"/>
      <c r="N84" s="25" t="s">
        <v>50</v>
      </c>
      <c r="O84" s="26" t="s">
        <v>246</v>
      </c>
      <c r="P84" s="26">
        <v>808967</v>
      </c>
      <c r="Q84" s="26" t="s">
        <v>55</v>
      </c>
      <c r="R84" s="26" t="s">
        <v>69</v>
      </c>
      <c r="S84" s="26" t="s">
        <v>73</v>
      </c>
      <c r="T84" s="26" t="s">
        <v>82</v>
      </c>
      <c r="U84" s="26" t="s">
        <v>83</v>
      </c>
      <c r="V84" s="26" t="s">
        <v>78</v>
      </c>
      <c r="W84" s="26" t="s">
        <v>84</v>
      </c>
      <c r="X84" s="26" t="s">
        <v>85</v>
      </c>
      <c r="Y84" s="26" t="s">
        <v>86</v>
      </c>
      <c r="Z84" s="28">
        <v>2</v>
      </c>
      <c r="AA84" s="29" t="s">
        <v>247</v>
      </c>
      <c r="AB84" s="30"/>
      <c r="AC84" s="31"/>
      <c r="AD84" s="31"/>
      <c r="AE84" s="32"/>
      <c r="AF84" s="33" t="s">
        <v>65</v>
      </c>
      <c r="AG84" s="34"/>
      <c r="AH84" s="35"/>
      <c r="AI84" s="25"/>
      <c r="AJ84" s="23" t="s">
        <v>154</v>
      </c>
      <c r="AK84" s="36"/>
      <c r="AL84" s="36"/>
      <c r="AM84" s="36"/>
      <c r="AN84" s="36"/>
      <c r="AO84" s="36"/>
      <c r="AP84" s="36"/>
      <c r="AQ84" s="36"/>
      <c r="AR84" s="29" t="s">
        <v>248</v>
      </c>
    </row>
    <row r="85" spans="1:44" ht="10.5" customHeight="1" x14ac:dyDescent="0.15">
      <c r="A85" s="12" t="s">
        <v>46</v>
      </c>
      <c r="B85" s="13" t="s">
        <v>47</v>
      </c>
      <c r="C85" s="14">
        <v>45962</v>
      </c>
      <c r="D85" s="12" t="s">
        <v>239</v>
      </c>
      <c r="E85" s="13" t="s">
        <v>201</v>
      </c>
      <c r="F85" s="13">
        <v>4</v>
      </c>
      <c r="G85" s="12" t="s">
        <v>53</v>
      </c>
      <c r="H85" s="13" t="s">
        <v>62</v>
      </c>
      <c r="I85" s="13">
        <v>662139</v>
      </c>
      <c r="J85" s="13" t="s">
        <v>52</v>
      </c>
      <c r="K85" s="13" t="s">
        <v>56</v>
      </c>
      <c r="L85" s="13" t="s">
        <v>63</v>
      </c>
      <c r="M85" s="13" t="s">
        <v>243</v>
      </c>
      <c r="N85" s="12" t="s">
        <v>50</v>
      </c>
      <c r="O85" s="13" t="s">
        <v>246</v>
      </c>
      <c r="P85" s="13">
        <v>808967</v>
      </c>
      <c r="Q85" s="13" t="s">
        <v>55</v>
      </c>
      <c r="R85" s="13" t="s">
        <v>69</v>
      </c>
      <c r="S85" s="13" t="s">
        <v>73</v>
      </c>
      <c r="T85" s="13" t="s">
        <v>82</v>
      </c>
      <c r="U85" s="13" t="s">
        <v>83</v>
      </c>
      <c r="V85" s="13" t="s">
        <v>78</v>
      </c>
      <c r="W85" s="13" t="s">
        <v>84</v>
      </c>
      <c r="X85" s="13" t="s">
        <v>249</v>
      </c>
      <c r="Y85" s="13" t="s">
        <v>86</v>
      </c>
      <c r="Z85" s="15">
        <v>4</v>
      </c>
      <c r="AA85" s="16" t="s">
        <v>250</v>
      </c>
      <c r="AB85" s="17" t="s">
        <v>65</v>
      </c>
      <c r="AC85" s="18"/>
      <c r="AD85" s="18"/>
      <c r="AE85" s="19"/>
      <c r="AF85" s="20" t="s">
        <v>65</v>
      </c>
      <c r="AG85" s="21" t="s">
        <v>65</v>
      </c>
      <c r="AH85" s="22"/>
      <c r="AI85" s="12"/>
      <c r="AJ85" s="23" t="s">
        <v>182</v>
      </c>
      <c r="AK85" s="24"/>
      <c r="AL85" s="24">
        <v>1</v>
      </c>
      <c r="AM85" s="24"/>
      <c r="AN85" s="24"/>
      <c r="AO85" s="24"/>
      <c r="AP85" s="24"/>
      <c r="AQ85" s="24"/>
      <c r="AR85" s="16" t="s">
        <v>251</v>
      </c>
    </row>
    <row r="86" spans="1:44" ht="10.5" customHeight="1" x14ac:dyDescent="0.15">
      <c r="A86" s="25" t="s">
        <v>46</v>
      </c>
      <c r="B86" s="26" t="s">
        <v>47</v>
      </c>
      <c r="C86" s="27">
        <v>45962</v>
      </c>
      <c r="D86" s="25" t="s">
        <v>239</v>
      </c>
      <c r="E86" s="26" t="s">
        <v>201</v>
      </c>
      <c r="F86" s="26">
        <v>4</v>
      </c>
      <c r="G86" s="25" t="s">
        <v>53</v>
      </c>
      <c r="H86" s="26" t="s">
        <v>59</v>
      </c>
      <c r="I86" s="26">
        <v>676391</v>
      </c>
      <c r="J86" s="26" t="s">
        <v>55</v>
      </c>
      <c r="K86" s="26" t="s">
        <v>62</v>
      </c>
      <c r="L86" s="26" t="s">
        <v>56</v>
      </c>
      <c r="M86" s="26" t="s">
        <v>63</v>
      </c>
      <c r="N86" s="25" t="s">
        <v>50</v>
      </c>
      <c r="O86" s="26" t="s">
        <v>246</v>
      </c>
      <c r="P86" s="26">
        <v>808967</v>
      </c>
      <c r="Q86" s="26" t="s">
        <v>55</v>
      </c>
      <c r="R86" s="26" t="s">
        <v>69</v>
      </c>
      <c r="S86" s="26" t="s">
        <v>73</v>
      </c>
      <c r="T86" s="26" t="s">
        <v>82</v>
      </c>
      <c r="U86" s="26" t="s">
        <v>83</v>
      </c>
      <c r="V86" s="26" t="s">
        <v>78</v>
      </c>
      <c r="W86" s="26" t="s">
        <v>84</v>
      </c>
      <c r="X86" s="26" t="s">
        <v>249</v>
      </c>
      <c r="Y86" s="26" t="s">
        <v>86</v>
      </c>
      <c r="Z86" s="28">
        <v>1</v>
      </c>
      <c r="AA86" s="29" t="s">
        <v>74</v>
      </c>
      <c r="AB86" s="30"/>
      <c r="AC86" s="31"/>
      <c r="AD86" s="31"/>
      <c r="AE86" s="32"/>
      <c r="AF86" s="33"/>
      <c r="AG86" s="34"/>
      <c r="AH86" s="35"/>
      <c r="AI86" s="25" t="s">
        <v>75</v>
      </c>
      <c r="AJ86" s="23" t="s">
        <v>76</v>
      </c>
      <c r="AK86" s="36"/>
      <c r="AL86" s="36">
        <v>1</v>
      </c>
      <c r="AM86" s="36"/>
      <c r="AN86" s="36"/>
      <c r="AO86" s="36"/>
      <c r="AP86" s="36"/>
      <c r="AQ86" s="36"/>
      <c r="AR86" s="29" t="s">
        <v>252</v>
      </c>
    </row>
    <row r="87" spans="1:44" ht="10.5" customHeight="1" x14ac:dyDescent="0.15">
      <c r="A87" s="12" t="s">
        <v>46</v>
      </c>
      <c r="B87" s="13" t="s">
        <v>47</v>
      </c>
      <c r="C87" s="14">
        <v>45962</v>
      </c>
      <c r="D87" s="12" t="s">
        <v>253</v>
      </c>
      <c r="E87" s="13">
        <v>4</v>
      </c>
      <c r="F87" s="13" t="s">
        <v>201</v>
      </c>
      <c r="G87" s="12" t="s">
        <v>50</v>
      </c>
      <c r="H87" s="13" t="s">
        <v>73</v>
      </c>
      <c r="I87" s="13">
        <v>518692</v>
      </c>
      <c r="J87" s="13" t="s">
        <v>52</v>
      </c>
      <c r="K87" s="13"/>
      <c r="L87" s="13"/>
      <c r="M87" s="13"/>
      <c r="N87" s="12" t="s">
        <v>53</v>
      </c>
      <c r="O87" s="13" t="s">
        <v>254</v>
      </c>
      <c r="P87" s="13">
        <v>622554</v>
      </c>
      <c r="Q87" s="13" t="s">
        <v>55</v>
      </c>
      <c r="R87" s="13" t="s">
        <v>56</v>
      </c>
      <c r="S87" s="13" t="s">
        <v>57</v>
      </c>
      <c r="T87" s="13" t="s">
        <v>243</v>
      </c>
      <c r="U87" s="13" t="s">
        <v>59</v>
      </c>
      <c r="V87" s="13" t="s">
        <v>60</v>
      </c>
      <c r="W87" s="13" t="s">
        <v>233</v>
      </c>
      <c r="X87" s="13" t="s">
        <v>62</v>
      </c>
      <c r="Y87" s="13" t="s">
        <v>63</v>
      </c>
      <c r="Z87" s="15">
        <v>3</v>
      </c>
      <c r="AA87" s="16" t="s">
        <v>169</v>
      </c>
      <c r="AB87" s="17" t="s">
        <v>65</v>
      </c>
      <c r="AC87" s="18"/>
      <c r="AD87" s="18"/>
      <c r="AE87" s="19"/>
      <c r="AF87" s="20" t="s">
        <v>65</v>
      </c>
      <c r="AG87" s="21"/>
      <c r="AH87" s="22"/>
      <c r="AI87" s="12" t="s">
        <v>75</v>
      </c>
      <c r="AJ87" s="23" t="s">
        <v>76</v>
      </c>
      <c r="AK87" s="24"/>
      <c r="AL87" s="24">
        <v>1</v>
      </c>
      <c r="AM87" s="24"/>
      <c r="AN87" s="24"/>
      <c r="AO87" s="24"/>
      <c r="AP87" s="24"/>
      <c r="AQ87" s="24"/>
      <c r="AR87" s="16" t="s">
        <v>255</v>
      </c>
    </row>
    <row r="88" spans="1:44" ht="10.5" customHeight="1" x14ac:dyDescent="0.15">
      <c r="A88" s="25" t="s">
        <v>46</v>
      </c>
      <c r="B88" s="26" t="s">
        <v>47</v>
      </c>
      <c r="C88" s="27">
        <v>45962</v>
      </c>
      <c r="D88" s="25" t="s">
        <v>253</v>
      </c>
      <c r="E88" s="26">
        <v>4</v>
      </c>
      <c r="F88" s="26" t="s">
        <v>201</v>
      </c>
      <c r="G88" s="25" t="s">
        <v>50</v>
      </c>
      <c r="H88" s="26" t="s">
        <v>78</v>
      </c>
      <c r="I88" s="26">
        <v>605141</v>
      </c>
      <c r="J88" s="26" t="s">
        <v>55</v>
      </c>
      <c r="K88" s="26"/>
      <c r="L88" s="26"/>
      <c r="M88" s="26"/>
      <c r="N88" s="25" t="s">
        <v>53</v>
      </c>
      <c r="O88" s="26" t="s">
        <v>254</v>
      </c>
      <c r="P88" s="26">
        <v>622554</v>
      </c>
      <c r="Q88" s="26" t="s">
        <v>55</v>
      </c>
      <c r="R88" s="26" t="s">
        <v>56</v>
      </c>
      <c r="S88" s="26" t="s">
        <v>57</v>
      </c>
      <c r="T88" s="26" t="s">
        <v>243</v>
      </c>
      <c r="U88" s="26" t="s">
        <v>59</v>
      </c>
      <c r="V88" s="26" t="s">
        <v>60</v>
      </c>
      <c r="W88" s="26" t="s">
        <v>233</v>
      </c>
      <c r="X88" s="26" t="s">
        <v>62</v>
      </c>
      <c r="Y88" s="26" t="s">
        <v>63</v>
      </c>
      <c r="Z88" s="28">
        <v>5</v>
      </c>
      <c r="AA88" s="29" t="s">
        <v>256</v>
      </c>
      <c r="AB88" s="30" t="s">
        <v>65</v>
      </c>
      <c r="AC88" s="31" t="s">
        <v>65</v>
      </c>
      <c r="AD88" s="31" t="s">
        <v>65</v>
      </c>
      <c r="AE88" s="32" t="s">
        <v>65</v>
      </c>
      <c r="AF88" s="33" t="s">
        <v>65</v>
      </c>
      <c r="AG88" s="34"/>
      <c r="AH88" s="35"/>
      <c r="AI88" s="25"/>
      <c r="AJ88" s="23" t="s">
        <v>104</v>
      </c>
      <c r="AK88" s="36"/>
      <c r="AL88" s="36"/>
      <c r="AM88" s="36"/>
      <c r="AN88" s="36"/>
      <c r="AO88" s="36"/>
      <c r="AP88" s="36"/>
      <c r="AQ88" s="36"/>
      <c r="AR88" s="29" t="s">
        <v>179</v>
      </c>
    </row>
    <row r="89" spans="1:44" ht="10.5" customHeight="1" x14ac:dyDescent="0.15">
      <c r="A89" s="12" t="s">
        <v>46</v>
      </c>
      <c r="B89" s="13" t="s">
        <v>47</v>
      </c>
      <c r="C89" s="14">
        <v>45962</v>
      </c>
      <c r="D89" s="12" t="s">
        <v>253</v>
      </c>
      <c r="E89" s="13">
        <v>4</v>
      </c>
      <c r="F89" s="13" t="s">
        <v>201</v>
      </c>
      <c r="G89" s="12" t="s">
        <v>50</v>
      </c>
      <c r="H89" s="13" t="s">
        <v>83</v>
      </c>
      <c r="I89" s="13">
        <v>571970</v>
      </c>
      <c r="J89" s="13" t="s">
        <v>52</v>
      </c>
      <c r="K89" s="13" t="s">
        <v>78</v>
      </c>
      <c r="L89" s="13"/>
      <c r="M89" s="13"/>
      <c r="N89" s="12" t="s">
        <v>53</v>
      </c>
      <c r="O89" s="13" t="s">
        <v>254</v>
      </c>
      <c r="P89" s="13">
        <v>622554</v>
      </c>
      <c r="Q89" s="13" t="s">
        <v>55</v>
      </c>
      <c r="R89" s="13" t="s">
        <v>56</v>
      </c>
      <c r="S89" s="13" t="s">
        <v>57</v>
      </c>
      <c r="T89" s="13" t="s">
        <v>243</v>
      </c>
      <c r="U89" s="13" t="s">
        <v>59</v>
      </c>
      <c r="V89" s="13" t="s">
        <v>60</v>
      </c>
      <c r="W89" s="13" t="s">
        <v>233</v>
      </c>
      <c r="X89" s="13" t="s">
        <v>62</v>
      </c>
      <c r="Y89" s="13" t="s">
        <v>63</v>
      </c>
      <c r="Z89" s="15">
        <v>5</v>
      </c>
      <c r="AA89" s="16" t="s">
        <v>181</v>
      </c>
      <c r="AB89" s="17" t="s">
        <v>65</v>
      </c>
      <c r="AC89" s="18" t="s">
        <v>65</v>
      </c>
      <c r="AD89" s="18"/>
      <c r="AE89" s="19"/>
      <c r="AF89" s="20" t="s">
        <v>65</v>
      </c>
      <c r="AG89" s="21" t="s">
        <v>65</v>
      </c>
      <c r="AH89" s="22"/>
      <c r="AI89" s="12" t="s">
        <v>166</v>
      </c>
      <c r="AJ89" s="23" t="s">
        <v>67</v>
      </c>
      <c r="AK89" s="24"/>
      <c r="AL89" s="24"/>
      <c r="AM89" s="24"/>
      <c r="AN89" s="24"/>
      <c r="AO89" s="24"/>
      <c r="AP89" s="24"/>
      <c r="AQ89" s="24"/>
      <c r="AR89" s="16" t="s">
        <v>257</v>
      </c>
    </row>
    <row r="90" spans="1:44" ht="10.5" customHeight="1" x14ac:dyDescent="0.15">
      <c r="A90" s="25" t="s">
        <v>46</v>
      </c>
      <c r="B90" s="26" t="s">
        <v>47</v>
      </c>
      <c r="C90" s="27">
        <v>45962</v>
      </c>
      <c r="D90" s="25" t="s">
        <v>253</v>
      </c>
      <c r="E90" s="26">
        <v>4</v>
      </c>
      <c r="F90" s="26" t="s">
        <v>201</v>
      </c>
      <c r="G90" s="25" t="s">
        <v>50</v>
      </c>
      <c r="H90" s="26" t="s">
        <v>86</v>
      </c>
      <c r="I90" s="26">
        <v>606192</v>
      </c>
      <c r="J90" s="26" t="s">
        <v>55</v>
      </c>
      <c r="K90" s="26" t="s">
        <v>83</v>
      </c>
      <c r="L90" s="26" t="s">
        <v>78</v>
      </c>
      <c r="M90" s="26"/>
      <c r="N90" s="25" t="s">
        <v>53</v>
      </c>
      <c r="O90" s="26" t="s">
        <v>254</v>
      </c>
      <c r="P90" s="26">
        <v>622554</v>
      </c>
      <c r="Q90" s="26" t="s">
        <v>55</v>
      </c>
      <c r="R90" s="26" t="s">
        <v>56</v>
      </c>
      <c r="S90" s="26" t="s">
        <v>57</v>
      </c>
      <c r="T90" s="26" t="s">
        <v>243</v>
      </c>
      <c r="U90" s="26" t="s">
        <v>59</v>
      </c>
      <c r="V90" s="26" t="s">
        <v>60</v>
      </c>
      <c r="W90" s="26" t="s">
        <v>233</v>
      </c>
      <c r="X90" s="26" t="s">
        <v>62</v>
      </c>
      <c r="Y90" s="26" t="s">
        <v>63</v>
      </c>
      <c r="Z90" s="28">
        <v>7</v>
      </c>
      <c r="AA90" s="29" t="s">
        <v>258</v>
      </c>
      <c r="AB90" s="30" t="s">
        <v>65</v>
      </c>
      <c r="AC90" s="31" t="s">
        <v>65</v>
      </c>
      <c r="AD90" s="31" t="s">
        <v>65</v>
      </c>
      <c r="AE90" s="32" t="s">
        <v>65</v>
      </c>
      <c r="AF90" s="33" t="s">
        <v>65</v>
      </c>
      <c r="AG90" s="34" t="s">
        <v>65</v>
      </c>
      <c r="AH90" s="35"/>
      <c r="AI90" s="25"/>
      <c r="AJ90" s="23" t="s">
        <v>104</v>
      </c>
      <c r="AK90" s="36"/>
      <c r="AL90" s="36"/>
      <c r="AM90" s="36"/>
      <c r="AN90" s="36"/>
      <c r="AO90" s="36"/>
      <c r="AP90" s="36"/>
      <c r="AQ90" s="36"/>
      <c r="AR90" s="29" t="s">
        <v>259</v>
      </c>
    </row>
    <row r="91" spans="1:44" ht="10.5" customHeight="1" x14ac:dyDescent="0.15">
      <c r="A91" s="12" t="s">
        <v>46</v>
      </c>
      <c r="B91" s="13" t="s">
        <v>47</v>
      </c>
      <c r="C91" s="14">
        <v>45962</v>
      </c>
      <c r="D91" s="12" t="s">
        <v>253</v>
      </c>
      <c r="E91" s="13">
        <v>4</v>
      </c>
      <c r="F91" s="13" t="s">
        <v>201</v>
      </c>
      <c r="G91" s="12" t="s">
        <v>50</v>
      </c>
      <c r="H91" s="13" t="s">
        <v>249</v>
      </c>
      <c r="I91" s="13">
        <v>681624</v>
      </c>
      <c r="J91" s="13" t="s">
        <v>55</v>
      </c>
      <c r="K91" s="13" t="s">
        <v>86</v>
      </c>
      <c r="L91" s="13" t="s">
        <v>83</v>
      </c>
      <c r="M91" s="13" t="s">
        <v>78</v>
      </c>
      <c r="N91" s="12" t="s">
        <v>53</v>
      </c>
      <c r="O91" s="13" t="s">
        <v>254</v>
      </c>
      <c r="P91" s="13">
        <v>622554</v>
      </c>
      <c r="Q91" s="13" t="s">
        <v>55</v>
      </c>
      <c r="R91" s="13" t="s">
        <v>56</v>
      </c>
      <c r="S91" s="13" t="s">
        <v>57</v>
      </c>
      <c r="T91" s="13" t="s">
        <v>243</v>
      </c>
      <c r="U91" s="13" t="s">
        <v>59</v>
      </c>
      <c r="V91" s="13" t="s">
        <v>60</v>
      </c>
      <c r="W91" s="13" t="s">
        <v>233</v>
      </c>
      <c r="X91" s="13" t="s">
        <v>62</v>
      </c>
      <c r="Y91" s="13" t="s">
        <v>63</v>
      </c>
      <c r="Z91" s="15">
        <v>4</v>
      </c>
      <c r="AA91" s="16" t="s">
        <v>242</v>
      </c>
      <c r="AB91" s="17" t="s">
        <v>65</v>
      </c>
      <c r="AC91" s="18" t="s">
        <v>65</v>
      </c>
      <c r="AD91" s="18"/>
      <c r="AE91" s="19"/>
      <c r="AF91" s="20" t="s">
        <v>65</v>
      </c>
      <c r="AG91" s="21"/>
      <c r="AH91" s="22"/>
      <c r="AI91" s="12"/>
      <c r="AJ91" s="23" t="s">
        <v>182</v>
      </c>
      <c r="AK91" s="24"/>
      <c r="AL91" s="24">
        <v>1</v>
      </c>
      <c r="AM91" s="24"/>
      <c r="AN91" s="24"/>
      <c r="AO91" s="24"/>
      <c r="AP91" s="24"/>
      <c r="AQ91" s="24"/>
      <c r="AR91" s="16" t="s">
        <v>260</v>
      </c>
    </row>
    <row r="92" spans="1:44" ht="10.5" customHeight="1" x14ac:dyDescent="0.15">
      <c r="A92" s="25" t="s">
        <v>46</v>
      </c>
      <c r="B92" s="26" t="s">
        <v>47</v>
      </c>
      <c r="C92" s="27">
        <v>45962</v>
      </c>
      <c r="D92" s="25" t="s">
        <v>253</v>
      </c>
      <c r="E92" s="26">
        <v>4</v>
      </c>
      <c r="F92" s="26" t="s">
        <v>201</v>
      </c>
      <c r="G92" s="25" t="s">
        <v>50</v>
      </c>
      <c r="H92" s="26" t="s">
        <v>84</v>
      </c>
      <c r="I92" s="26">
        <v>571771</v>
      </c>
      <c r="J92" s="26" t="s">
        <v>55</v>
      </c>
      <c r="K92" s="26" t="s">
        <v>249</v>
      </c>
      <c r="L92" s="26" t="s">
        <v>86</v>
      </c>
      <c r="M92" s="26" t="s">
        <v>83</v>
      </c>
      <c r="N92" s="25" t="s">
        <v>53</v>
      </c>
      <c r="O92" s="26" t="s">
        <v>254</v>
      </c>
      <c r="P92" s="26">
        <v>622554</v>
      </c>
      <c r="Q92" s="26" t="s">
        <v>55</v>
      </c>
      <c r="R92" s="26" t="s">
        <v>56</v>
      </c>
      <c r="S92" s="26" t="s">
        <v>57</v>
      </c>
      <c r="T92" s="26" t="s">
        <v>243</v>
      </c>
      <c r="U92" s="26" t="s">
        <v>59</v>
      </c>
      <c r="V92" s="26" t="s">
        <v>60</v>
      </c>
      <c r="W92" s="26" t="s">
        <v>233</v>
      </c>
      <c r="X92" s="26" t="s">
        <v>62</v>
      </c>
      <c r="Y92" s="26" t="s">
        <v>63</v>
      </c>
      <c r="Z92" s="28">
        <v>3</v>
      </c>
      <c r="AA92" s="29" t="s">
        <v>143</v>
      </c>
      <c r="AB92" s="30" t="s">
        <v>65</v>
      </c>
      <c r="AC92" s="31"/>
      <c r="AD92" s="31"/>
      <c r="AE92" s="32"/>
      <c r="AF92" s="33" t="s">
        <v>65</v>
      </c>
      <c r="AG92" s="34"/>
      <c r="AH92" s="35"/>
      <c r="AI92" s="25"/>
      <c r="AJ92" s="23" t="s">
        <v>71</v>
      </c>
      <c r="AK92" s="36"/>
      <c r="AL92" s="36">
        <v>1</v>
      </c>
      <c r="AM92" s="36"/>
      <c r="AN92" s="36"/>
      <c r="AO92" s="36"/>
      <c r="AP92" s="36"/>
      <c r="AQ92" s="36"/>
      <c r="AR92" s="29" t="s">
        <v>261</v>
      </c>
    </row>
    <row r="93" spans="1:44" ht="10.5" customHeight="1" x14ac:dyDescent="0.15">
      <c r="A93" s="12" t="s">
        <v>46</v>
      </c>
      <c r="B93" s="13" t="s">
        <v>47</v>
      </c>
      <c r="C93" s="14">
        <v>45962</v>
      </c>
      <c r="D93" s="12" t="s">
        <v>262</v>
      </c>
      <c r="E93" s="13" t="s">
        <v>201</v>
      </c>
      <c r="F93" s="13">
        <v>4</v>
      </c>
      <c r="G93" s="12" t="s">
        <v>53</v>
      </c>
      <c r="H93" s="13" t="s">
        <v>60</v>
      </c>
      <c r="I93" s="13">
        <v>665926</v>
      </c>
      <c r="J93" s="13" t="s">
        <v>52</v>
      </c>
      <c r="K93" s="13"/>
      <c r="L93" s="13"/>
      <c r="M93" s="13"/>
      <c r="N93" s="12" t="s">
        <v>50</v>
      </c>
      <c r="O93" s="13" t="s">
        <v>246</v>
      </c>
      <c r="P93" s="13">
        <v>808967</v>
      </c>
      <c r="Q93" s="13" t="s">
        <v>55</v>
      </c>
      <c r="R93" s="13" t="s">
        <v>69</v>
      </c>
      <c r="S93" s="13" t="s">
        <v>73</v>
      </c>
      <c r="T93" s="13" t="s">
        <v>82</v>
      </c>
      <c r="U93" s="13" t="s">
        <v>83</v>
      </c>
      <c r="V93" s="13" t="s">
        <v>78</v>
      </c>
      <c r="W93" s="13" t="s">
        <v>84</v>
      </c>
      <c r="X93" s="13" t="s">
        <v>249</v>
      </c>
      <c r="Y93" s="13" t="s">
        <v>86</v>
      </c>
      <c r="Z93" s="15">
        <v>3</v>
      </c>
      <c r="AA93" s="16" t="s">
        <v>186</v>
      </c>
      <c r="AB93" s="17"/>
      <c r="AC93" s="18"/>
      <c r="AD93" s="18"/>
      <c r="AE93" s="19"/>
      <c r="AF93" s="20" t="s">
        <v>65</v>
      </c>
      <c r="AG93" s="21" t="s">
        <v>65</v>
      </c>
      <c r="AH93" s="22"/>
      <c r="AI93" s="12"/>
      <c r="AJ93" s="23" t="s">
        <v>71</v>
      </c>
      <c r="AK93" s="24"/>
      <c r="AL93" s="24">
        <v>1</v>
      </c>
      <c r="AM93" s="24"/>
      <c r="AN93" s="24"/>
      <c r="AO93" s="24"/>
      <c r="AP93" s="24"/>
      <c r="AQ93" s="24"/>
      <c r="AR93" s="16" t="s">
        <v>263</v>
      </c>
    </row>
    <row r="94" spans="1:44" ht="10.5" customHeight="1" x14ac:dyDescent="0.15">
      <c r="A94" s="25" t="s">
        <v>46</v>
      </c>
      <c r="B94" s="26" t="s">
        <v>47</v>
      </c>
      <c r="C94" s="27">
        <v>45962</v>
      </c>
      <c r="D94" s="25" t="s">
        <v>262</v>
      </c>
      <c r="E94" s="26" t="s">
        <v>201</v>
      </c>
      <c r="F94" s="26">
        <v>4</v>
      </c>
      <c r="G94" s="25" t="s">
        <v>53</v>
      </c>
      <c r="H94" s="26" t="s">
        <v>81</v>
      </c>
      <c r="I94" s="26">
        <v>543807</v>
      </c>
      <c r="J94" s="26" t="s">
        <v>55</v>
      </c>
      <c r="K94" s="26"/>
      <c r="L94" s="26"/>
      <c r="M94" s="26"/>
      <c r="N94" s="25" t="s">
        <v>50</v>
      </c>
      <c r="O94" s="26" t="s">
        <v>246</v>
      </c>
      <c r="P94" s="26">
        <v>808967</v>
      </c>
      <c r="Q94" s="26" t="s">
        <v>55</v>
      </c>
      <c r="R94" s="26" t="s">
        <v>69</v>
      </c>
      <c r="S94" s="26" t="s">
        <v>73</v>
      </c>
      <c r="T94" s="26" t="s">
        <v>82</v>
      </c>
      <c r="U94" s="26" t="s">
        <v>83</v>
      </c>
      <c r="V94" s="26" t="s">
        <v>78</v>
      </c>
      <c r="W94" s="26" t="s">
        <v>84</v>
      </c>
      <c r="X94" s="26" t="s">
        <v>249</v>
      </c>
      <c r="Y94" s="26" t="s">
        <v>86</v>
      </c>
      <c r="Z94" s="28">
        <v>7</v>
      </c>
      <c r="AA94" s="29" t="s">
        <v>264</v>
      </c>
      <c r="AB94" s="30" t="s">
        <v>65</v>
      </c>
      <c r="AC94" s="31" t="s">
        <v>65</v>
      </c>
      <c r="AD94" s="31" t="s">
        <v>65</v>
      </c>
      <c r="AE94" s="32"/>
      <c r="AF94" s="33" t="s">
        <v>65</v>
      </c>
      <c r="AG94" s="34" t="s">
        <v>65</v>
      </c>
      <c r="AH94" s="35" t="s">
        <v>65</v>
      </c>
      <c r="AI94" s="25"/>
      <c r="AJ94" s="23" t="s">
        <v>90</v>
      </c>
      <c r="AK94" s="36"/>
      <c r="AL94" s="36">
        <v>1</v>
      </c>
      <c r="AM94" s="36"/>
      <c r="AN94" s="36"/>
      <c r="AO94" s="36"/>
      <c r="AP94" s="36"/>
      <c r="AQ94" s="36"/>
      <c r="AR94" s="29" t="s">
        <v>197</v>
      </c>
    </row>
    <row r="95" spans="1:44" ht="10.5" customHeight="1" x14ac:dyDescent="0.15">
      <c r="A95" s="12" t="s">
        <v>46</v>
      </c>
      <c r="B95" s="13" t="s">
        <v>47</v>
      </c>
      <c r="C95" s="14">
        <v>45962</v>
      </c>
      <c r="D95" s="12" t="s">
        <v>262</v>
      </c>
      <c r="E95" s="13" t="s">
        <v>201</v>
      </c>
      <c r="F95" s="13">
        <v>4</v>
      </c>
      <c r="G95" s="12" t="s">
        <v>53</v>
      </c>
      <c r="H95" s="13" t="s">
        <v>233</v>
      </c>
      <c r="I95" s="13">
        <v>664702</v>
      </c>
      <c r="J95" s="13" t="s">
        <v>55</v>
      </c>
      <c r="K95" s="13"/>
      <c r="L95" s="13"/>
      <c r="M95" s="13"/>
      <c r="N95" s="12" t="s">
        <v>50</v>
      </c>
      <c r="O95" s="13" t="s">
        <v>246</v>
      </c>
      <c r="P95" s="13">
        <v>808967</v>
      </c>
      <c r="Q95" s="13" t="s">
        <v>55</v>
      </c>
      <c r="R95" s="13" t="s">
        <v>69</v>
      </c>
      <c r="S95" s="13" t="s">
        <v>73</v>
      </c>
      <c r="T95" s="13" t="s">
        <v>82</v>
      </c>
      <c r="U95" s="13" t="s">
        <v>83</v>
      </c>
      <c r="V95" s="13" t="s">
        <v>78</v>
      </c>
      <c r="W95" s="13" t="s">
        <v>84</v>
      </c>
      <c r="X95" s="13" t="s">
        <v>249</v>
      </c>
      <c r="Y95" s="13" t="s">
        <v>86</v>
      </c>
      <c r="Z95" s="15">
        <v>3</v>
      </c>
      <c r="AA95" s="16" t="s">
        <v>169</v>
      </c>
      <c r="AB95" s="17" t="s">
        <v>65</v>
      </c>
      <c r="AC95" s="18"/>
      <c r="AD95" s="18"/>
      <c r="AE95" s="19"/>
      <c r="AF95" s="20" t="s">
        <v>65</v>
      </c>
      <c r="AG95" s="21"/>
      <c r="AH95" s="22"/>
      <c r="AI95" s="12" t="s">
        <v>75</v>
      </c>
      <c r="AJ95" s="23" t="s">
        <v>76</v>
      </c>
      <c r="AK95" s="24"/>
      <c r="AL95" s="24">
        <v>1</v>
      </c>
      <c r="AM95" s="24"/>
      <c r="AN95" s="24"/>
      <c r="AO95" s="24"/>
      <c r="AP95" s="24"/>
      <c r="AQ95" s="24"/>
      <c r="AR95" s="16" t="s">
        <v>265</v>
      </c>
    </row>
    <row r="96" spans="1:44" ht="10.5" customHeight="1" x14ac:dyDescent="0.15">
      <c r="A96" s="25" t="s">
        <v>46</v>
      </c>
      <c r="B96" s="26" t="s">
        <v>47</v>
      </c>
      <c r="C96" s="27">
        <v>45962</v>
      </c>
      <c r="D96" s="25" t="s">
        <v>266</v>
      </c>
      <c r="E96" s="26">
        <v>4</v>
      </c>
      <c r="F96" s="26" t="s">
        <v>201</v>
      </c>
      <c r="G96" s="25" t="s">
        <v>50</v>
      </c>
      <c r="H96" s="26" t="s">
        <v>82</v>
      </c>
      <c r="I96" s="26">
        <v>500743</v>
      </c>
      <c r="J96" s="26" t="s">
        <v>55</v>
      </c>
      <c r="K96" s="26"/>
      <c r="L96" s="26"/>
      <c r="M96" s="26"/>
      <c r="N96" s="25" t="s">
        <v>53</v>
      </c>
      <c r="O96" s="26" t="s">
        <v>267</v>
      </c>
      <c r="P96" s="26">
        <v>669456</v>
      </c>
      <c r="Q96" s="26" t="s">
        <v>55</v>
      </c>
      <c r="R96" s="26" t="s">
        <v>56</v>
      </c>
      <c r="S96" s="26" t="s">
        <v>57</v>
      </c>
      <c r="T96" s="26" t="s">
        <v>243</v>
      </c>
      <c r="U96" s="26" t="s">
        <v>59</v>
      </c>
      <c r="V96" s="26" t="s">
        <v>60</v>
      </c>
      <c r="W96" s="26" t="s">
        <v>233</v>
      </c>
      <c r="X96" s="26" t="s">
        <v>62</v>
      </c>
      <c r="Y96" s="26" t="s">
        <v>63</v>
      </c>
      <c r="Z96" s="28">
        <v>2</v>
      </c>
      <c r="AA96" s="29" t="s">
        <v>98</v>
      </c>
      <c r="AB96" s="30"/>
      <c r="AC96" s="31"/>
      <c r="AD96" s="31"/>
      <c r="AE96" s="32"/>
      <c r="AF96" s="33" t="s">
        <v>65</v>
      </c>
      <c r="AG96" s="34"/>
      <c r="AH96" s="35"/>
      <c r="AI96" s="25"/>
      <c r="AJ96" s="23" t="s">
        <v>71</v>
      </c>
      <c r="AK96" s="36"/>
      <c r="AL96" s="36">
        <v>1</v>
      </c>
      <c r="AM96" s="36"/>
      <c r="AN96" s="36"/>
      <c r="AO96" s="36"/>
      <c r="AP96" s="36"/>
      <c r="AQ96" s="36"/>
      <c r="AR96" s="29" t="s">
        <v>268</v>
      </c>
    </row>
    <row r="97" spans="1:44" ht="10.5" customHeight="1" x14ac:dyDescent="0.15">
      <c r="A97" s="12" t="s">
        <v>46</v>
      </c>
      <c r="B97" s="13" t="s">
        <v>47</v>
      </c>
      <c r="C97" s="14">
        <v>45962</v>
      </c>
      <c r="D97" s="12" t="s">
        <v>266</v>
      </c>
      <c r="E97" s="13">
        <v>4</v>
      </c>
      <c r="F97" s="13" t="s">
        <v>201</v>
      </c>
      <c r="G97" s="12" t="s">
        <v>50</v>
      </c>
      <c r="H97" s="13" t="s">
        <v>51</v>
      </c>
      <c r="I97" s="13">
        <v>660271</v>
      </c>
      <c r="J97" s="13" t="s">
        <v>52</v>
      </c>
      <c r="K97" s="13"/>
      <c r="L97" s="13"/>
      <c r="M97" s="13"/>
      <c r="N97" s="12" t="s">
        <v>53</v>
      </c>
      <c r="O97" s="13" t="s">
        <v>267</v>
      </c>
      <c r="P97" s="13">
        <v>669456</v>
      </c>
      <c r="Q97" s="13" t="s">
        <v>55</v>
      </c>
      <c r="R97" s="13" t="s">
        <v>56</v>
      </c>
      <c r="S97" s="13" t="s">
        <v>57</v>
      </c>
      <c r="T97" s="13" t="s">
        <v>243</v>
      </c>
      <c r="U97" s="13" t="s">
        <v>59</v>
      </c>
      <c r="V97" s="13" t="s">
        <v>60</v>
      </c>
      <c r="W97" s="13" t="s">
        <v>233</v>
      </c>
      <c r="X97" s="13" t="s">
        <v>62</v>
      </c>
      <c r="Y97" s="13" t="s">
        <v>63</v>
      </c>
      <c r="Z97" s="15">
        <v>1</v>
      </c>
      <c r="AA97" s="16" t="s">
        <v>74</v>
      </c>
      <c r="AB97" s="17"/>
      <c r="AC97" s="18"/>
      <c r="AD97" s="18"/>
      <c r="AE97" s="19"/>
      <c r="AF97" s="20"/>
      <c r="AG97" s="21"/>
      <c r="AH97" s="22"/>
      <c r="AI97" s="12"/>
      <c r="AJ97" s="23" t="s">
        <v>71</v>
      </c>
      <c r="AK97" s="24"/>
      <c r="AL97" s="24">
        <v>1</v>
      </c>
      <c r="AM97" s="24"/>
      <c r="AN97" s="24"/>
      <c r="AO97" s="24"/>
      <c r="AP97" s="24"/>
      <c r="AQ97" s="24"/>
      <c r="AR97" s="16" t="s">
        <v>269</v>
      </c>
    </row>
    <row r="98" spans="1:44" ht="10.5" customHeight="1" x14ac:dyDescent="0.15">
      <c r="A98" s="25" t="s">
        <v>46</v>
      </c>
      <c r="B98" s="26" t="s">
        <v>47</v>
      </c>
      <c r="C98" s="27">
        <v>45962</v>
      </c>
      <c r="D98" s="25" t="s">
        <v>266</v>
      </c>
      <c r="E98" s="26">
        <v>4</v>
      </c>
      <c r="F98" s="26" t="s">
        <v>201</v>
      </c>
      <c r="G98" s="25" t="s">
        <v>50</v>
      </c>
      <c r="H98" s="26" t="s">
        <v>69</v>
      </c>
      <c r="I98" s="26">
        <v>669257</v>
      </c>
      <c r="J98" s="26" t="s">
        <v>55</v>
      </c>
      <c r="K98" s="26"/>
      <c r="L98" s="26"/>
      <c r="M98" s="26"/>
      <c r="N98" s="25" t="s">
        <v>53</v>
      </c>
      <c r="O98" s="26" t="s">
        <v>267</v>
      </c>
      <c r="P98" s="26">
        <v>669456</v>
      </c>
      <c r="Q98" s="26" t="s">
        <v>55</v>
      </c>
      <c r="R98" s="26" t="s">
        <v>56</v>
      </c>
      <c r="S98" s="26" t="s">
        <v>57</v>
      </c>
      <c r="T98" s="26" t="s">
        <v>243</v>
      </c>
      <c r="U98" s="26" t="s">
        <v>59</v>
      </c>
      <c r="V98" s="26" t="s">
        <v>60</v>
      </c>
      <c r="W98" s="26" t="s">
        <v>233</v>
      </c>
      <c r="X98" s="26" t="s">
        <v>62</v>
      </c>
      <c r="Y98" s="26" t="s">
        <v>63</v>
      </c>
      <c r="Z98" s="28">
        <v>3</v>
      </c>
      <c r="AA98" s="29" t="s">
        <v>101</v>
      </c>
      <c r="AB98" s="30" t="s">
        <v>65</v>
      </c>
      <c r="AC98" s="31" t="s">
        <v>65</v>
      </c>
      <c r="AD98" s="31"/>
      <c r="AE98" s="32"/>
      <c r="AF98" s="33"/>
      <c r="AG98" s="34"/>
      <c r="AH98" s="35"/>
      <c r="AI98" s="25" t="s">
        <v>75</v>
      </c>
      <c r="AJ98" s="23" t="s">
        <v>132</v>
      </c>
      <c r="AK98" s="36">
        <v>1</v>
      </c>
      <c r="AL98" s="36"/>
      <c r="AM98" s="36"/>
      <c r="AN98" s="36"/>
      <c r="AO98" s="36"/>
      <c r="AP98" s="36"/>
      <c r="AQ98" s="36"/>
      <c r="AR98" s="29" t="s">
        <v>217</v>
      </c>
    </row>
    <row r="99" spans="1:44" ht="10.5" customHeight="1" x14ac:dyDescent="0.15">
      <c r="A99" s="12" t="s">
        <v>46</v>
      </c>
      <c r="B99" s="13" t="s">
        <v>47</v>
      </c>
      <c r="C99" s="14">
        <v>45962</v>
      </c>
      <c r="D99" s="12" t="s">
        <v>266</v>
      </c>
      <c r="E99" s="13">
        <v>5</v>
      </c>
      <c r="F99" s="13" t="s">
        <v>201</v>
      </c>
      <c r="G99" s="12" t="s">
        <v>50</v>
      </c>
      <c r="H99" s="13" t="s">
        <v>73</v>
      </c>
      <c r="I99" s="13">
        <v>518692</v>
      </c>
      <c r="J99" s="13" t="s">
        <v>52</v>
      </c>
      <c r="K99" s="13"/>
      <c r="L99" s="13"/>
      <c r="M99" s="13"/>
      <c r="N99" s="12" t="s">
        <v>53</v>
      </c>
      <c r="O99" s="13" t="s">
        <v>267</v>
      </c>
      <c r="P99" s="13">
        <v>669456</v>
      </c>
      <c r="Q99" s="13" t="s">
        <v>55</v>
      </c>
      <c r="R99" s="13" t="s">
        <v>56</v>
      </c>
      <c r="S99" s="13" t="s">
        <v>57</v>
      </c>
      <c r="T99" s="13" t="s">
        <v>243</v>
      </c>
      <c r="U99" s="13" t="s">
        <v>59</v>
      </c>
      <c r="V99" s="13" t="s">
        <v>60</v>
      </c>
      <c r="W99" s="13" t="s">
        <v>233</v>
      </c>
      <c r="X99" s="13" t="s">
        <v>62</v>
      </c>
      <c r="Y99" s="13" t="s">
        <v>63</v>
      </c>
      <c r="Z99" s="15">
        <v>7</v>
      </c>
      <c r="AA99" s="16" t="s">
        <v>270</v>
      </c>
      <c r="AB99" s="17" t="s">
        <v>65</v>
      </c>
      <c r="AC99" s="18" t="s">
        <v>65</v>
      </c>
      <c r="AD99" s="18" t="s">
        <v>65</v>
      </c>
      <c r="AE99" s="19"/>
      <c r="AF99" s="20" t="s">
        <v>65</v>
      </c>
      <c r="AG99" s="21" t="s">
        <v>65</v>
      </c>
      <c r="AH99" s="22"/>
      <c r="AI99" s="12"/>
      <c r="AJ99" s="23" t="s">
        <v>71</v>
      </c>
      <c r="AK99" s="24"/>
      <c r="AL99" s="24">
        <v>1</v>
      </c>
      <c r="AM99" s="24"/>
      <c r="AN99" s="24"/>
      <c r="AO99" s="24"/>
      <c r="AP99" s="24"/>
      <c r="AQ99" s="24"/>
      <c r="AR99" s="16" t="s">
        <v>271</v>
      </c>
    </row>
    <row r="100" spans="1:44" ht="10.5" customHeight="1" x14ac:dyDescent="0.15">
      <c r="A100" s="25" t="s">
        <v>46</v>
      </c>
      <c r="B100" s="26" t="s">
        <v>47</v>
      </c>
      <c r="C100" s="27">
        <v>45962</v>
      </c>
      <c r="D100" s="25" t="s">
        <v>272</v>
      </c>
      <c r="E100" s="26" t="s">
        <v>273</v>
      </c>
      <c r="F100" s="26">
        <v>4</v>
      </c>
      <c r="G100" s="25" t="s">
        <v>53</v>
      </c>
      <c r="H100" s="26" t="s">
        <v>57</v>
      </c>
      <c r="I100" s="26">
        <v>665489</v>
      </c>
      <c r="J100" s="26" t="s">
        <v>55</v>
      </c>
      <c r="K100" s="26"/>
      <c r="L100" s="26"/>
      <c r="M100" s="26"/>
      <c r="N100" s="25" t="s">
        <v>50</v>
      </c>
      <c r="O100" s="26" t="s">
        <v>246</v>
      </c>
      <c r="P100" s="26">
        <v>808967</v>
      </c>
      <c r="Q100" s="26" t="s">
        <v>55</v>
      </c>
      <c r="R100" s="26" t="s">
        <v>69</v>
      </c>
      <c r="S100" s="26" t="s">
        <v>73</v>
      </c>
      <c r="T100" s="26" t="s">
        <v>274</v>
      </c>
      <c r="U100" s="26" t="s">
        <v>83</v>
      </c>
      <c r="V100" s="26" t="s">
        <v>78</v>
      </c>
      <c r="W100" s="26" t="s">
        <v>84</v>
      </c>
      <c r="X100" s="26" t="s">
        <v>275</v>
      </c>
      <c r="Y100" s="26" t="s">
        <v>249</v>
      </c>
      <c r="Z100" s="28">
        <v>6</v>
      </c>
      <c r="AA100" s="29" t="s">
        <v>276</v>
      </c>
      <c r="AB100" s="30" t="s">
        <v>65</v>
      </c>
      <c r="AC100" s="31" t="s">
        <v>65</v>
      </c>
      <c r="AD100" s="31" t="s">
        <v>65</v>
      </c>
      <c r="AE100" s="32"/>
      <c r="AF100" s="33" t="s">
        <v>65</v>
      </c>
      <c r="AG100" s="34" t="s">
        <v>65</v>
      </c>
      <c r="AH100" s="35"/>
      <c r="AI100" s="25" t="s">
        <v>66</v>
      </c>
      <c r="AJ100" s="23" t="s">
        <v>140</v>
      </c>
      <c r="AK100" s="36"/>
      <c r="AL100" s="36"/>
      <c r="AM100" s="36"/>
      <c r="AN100" s="36"/>
      <c r="AO100" s="36"/>
      <c r="AP100" s="36"/>
      <c r="AQ100" s="36"/>
      <c r="AR100" s="29" t="s">
        <v>224</v>
      </c>
    </row>
    <row r="101" spans="1:44" ht="10.5" customHeight="1" x14ac:dyDescent="0.15">
      <c r="A101" s="12" t="s">
        <v>46</v>
      </c>
      <c r="B101" s="13" t="s">
        <v>47</v>
      </c>
      <c r="C101" s="14">
        <v>45962</v>
      </c>
      <c r="D101" s="12" t="s">
        <v>272</v>
      </c>
      <c r="E101" s="13" t="s">
        <v>273</v>
      </c>
      <c r="F101" s="13">
        <v>4</v>
      </c>
      <c r="G101" s="12" t="s">
        <v>53</v>
      </c>
      <c r="H101" s="13" t="s">
        <v>243</v>
      </c>
      <c r="I101" s="13">
        <v>643396</v>
      </c>
      <c r="J101" s="13" t="s">
        <v>55</v>
      </c>
      <c r="K101" s="13"/>
      <c r="L101" s="13" t="s">
        <v>57</v>
      </c>
      <c r="M101" s="13"/>
      <c r="N101" s="12" t="s">
        <v>50</v>
      </c>
      <c r="O101" s="13" t="s">
        <v>246</v>
      </c>
      <c r="P101" s="13">
        <v>808967</v>
      </c>
      <c r="Q101" s="13" t="s">
        <v>55</v>
      </c>
      <c r="R101" s="13" t="s">
        <v>69</v>
      </c>
      <c r="S101" s="13" t="s">
        <v>73</v>
      </c>
      <c r="T101" s="13" t="s">
        <v>274</v>
      </c>
      <c r="U101" s="13" t="s">
        <v>83</v>
      </c>
      <c r="V101" s="13" t="s">
        <v>78</v>
      </c>
      <c r="W101" s="13" t="s">
        <v>84</v>
      </c>
      <c r="X101" s="13" t="s">
        <v>275</v>
      </c>
      <c r="Y101" s="13" t="s">
        <v>249</v>
      </c>
      <c r="Z101" s="15">
        <v>1</v>
      </c>
      <c r="AA101" s="16" t="s">
        <v>74</v>
      </c>
      <c r="AB101" s="17"/>
      <c r="AC101" s="18"/>
      <c r="AD101" s="18"/>
      <c r="AE101" s="19"/>
      <c r="AF101" s="20"/>
      <c r="AG101" s="21"/>
      <c r="AH101" s="22"/>
      <c r="AI101" s="12"/>
      <c r="AJ101" s="23" t="s">
        <v>125</v>
      </c>
      <c r="AK101" s="24"/>
      <c r="AL101" s="24">
        <v>1</v>
      </c>
      <c r="AM101" s="24"/>
      <c r="AN101" s="24"/>
      <c r="AO101" s="24"/>
      <c r="AP101" s="24"/>
      <c r="AQ101" s="24"/>
      <c r="AR101" s="16" t="s">
        <v>277</v>
      </c>
    </row>
    <row r="102" spans="1:44" ht="10.5" customHeight="1" x14ac:dyDescent="0.15">
      <c r="A102" s="25" t="s">
        <v>46</v>
      </c>
      <c r="B102" s="26" t="s">
        <v>47</v>
      </c>
      <c r="C102" s="27">
        <v>45962</v>
      </c>
      <c r="D102" s="25" t="s">
        <v>272</v>
      </c>
      <c r="E102" s="26" t="s">
        <v>273</v>
      </c>
      <c r="F102" s="26">
        <v>4</v>
      </c>
      <c r="G102" s="25" t="s">
        <v>53</v>
      </c>
      <c r="H102" s="26" t="s">
        <v>63</v>
      </c>
      <c r="I102" s="26">
        <v>680718</v>
      </c>
      <c r="J102" s="26" t="s">
        <v>52</v>
      </c>
      <c r="K102" s="26"/>
      <c r="L102" s="26"/>
      <c r="M102" s="26" t="s">
        <v>57</v>
      </c>
      <c r="N102" s="25" t="s">
        <v>50</v>
      </c>
      <c r="O102" s="26" t="s">
        <v>246</v>
      </c>
      <c r="P102" s="26">
        <v>808967</v>
      </c>
      <c r="Q102" s="26" t="s">
        <v>55</v>
      </c>
      <c r="R102" s="26" t="s">
        <v>69</v>
      </c>
      <c r="S102" s="26" t="s">
        <v>73</v>
      </c>
      <c r="T102" s="26" t="s">
        <v>274</v>
      </c>
      <c r="U102" s="26" t="s">
        <v>83</v>
      </c>
      <c r="V102" s="26" t="s">
        <v>78</v>
      </c>
      <c r="W102" s="26" t="s">
        <v>84</v>
      </c>
      <c r="X102" s="26" t="s">
        <v>275</v>
      </c>
      <c r="Y102" s="26" t="s">
        <v>249</v>
      </c>
      <c r="Z102" s="28">
        <v>4</v>
      </c>
      <c r="AA102" s="29" t="s">
        <v>129</v>
      </c>
      <c r="AB102" s="30" t="s">
        <v>65</v>
      </c>
      <c r="AC102" s="31" t="s">
        <v>65</v>
      </c>
      <c r="AD102" s="31" t="s">
        <v>65</v>
      </c>
      <c r="AE102" s="32" t="s">
        <v>65</v>
      </c>
      <c r="AF102" s="33"/>
      <c r="AG102" s="34"/>
      <c r="AH102" s="35"/>
      <c r="AI102" s="25"/>
      <c r="AJ102" s="23" t="s">
        <v>104</v>
      </c>
      <c r="AK102" s="36"/>
      <c r="AL102" s="36"/>
      <c r="AM102" s="36"/>
      <c r="AN102" s="36"/>
      <c r="AO102" s="36"/>
      <c r="AP102" s="36"/>
      <c r="AQ102" s="36"/>
      <c r="AR102" s="29" t="s">
        <v>278</v>
      </c>
    </row>
    <row r="103" spans="1:44" ht="10.5" customHeight="1" x14ac:dyDescent="0.15">
      <c r="A103" s="12" t="s">
        <v>46</v>
      </c>
      <c r="B103" s="13" t="s">
        <v>47</v>
      </c>
      <c r="C103" s="14">
        <v>45962</v>
      </c>
      <c r="D103" s="12" t="s">
        <v>272</v>
      </c>
      <c r="E103" s="13" t="s">
        <v>273</v>
      </c>
      <c r="F103" s="13">
        <v>4</v>
      </c>
      <c r="G103" s="12" t="s">
        <v>53</v>
      </c>
      <c r="H103" s="13" t="s">
        <v>56</v>
      </c>
      <c r="I103" s="13">
        <v>672386</v>
      </c>
      <c r="J103" s="13" t="s">
        <v>55</v>
      </c>
      <c r="K103" s="13" t="s">
        <v>63</v>
      </c>
      <c r="L103" s="13"/>
      <c r="M103" s="13" t="s">
        <v>57</v>
      </c>
      <c r="N103" s="12" t="s">
        <v>50</v>
      </c>
      <c r="O103" s="13" t="s">
        <v>246</v>
      </c>
      <c r="P103" s="13">
        <v>808967</v>
      </c>
      <c r="Q103" s="13" t="s">
        <v>55</v>
      </c>
      <c r="R103" s="13" t="s">
        <v>69</v>
      </c>
      <c r="S103" s="13" t="s">
        <v>73</v>
      </c>
      <c r="T103" s="13" t="s">
        <v>274</v>
      </c>
      <c r="U103" s="13" t="s">
        <v>83</v>
      </c>
      <c r="V103" s="13" t="s">
        <v>78</v>
      </c>
      <c r="W103" s="13" t="s">
        <v>84</v>
      </c>
      <c r="X103" s="13" t="s">
        <v>275</v>
      </c>
      <c r="Y103" s="13" t="s">
        <v>249</v>
      </c>
      <c r="Z103" s="15">
        <v>3</v>
      </c>
      <c r="AA103" s="16" t="s">
        <v>165</v>
      </c>
      <c r="AB103" s="17"/>
      <c r="AC103" s="18"/>
      <c r="AD103" s="18"/>
      <c r="AE103" s="19"/>
      <c r="AF103" s="20" t="s">
        <v>65</v>
      </c>
      <c r="AG103" s="21" t="s">
        <v>65</v>
      </c>
      <c r="AH103" s="22"/>
      <c r="AI103" s="12"/>
      <c r="AJ103" s="23" t="s">
        <v>206</v>
      </c>
      <c r="AK103" s="24"/>
      <c r="AL103" s="24">
        <v>2</v>
      </c>
      <c r="AM103" s="24"/>
      <c r="AN103" s="24"/>
      <c r="AO103" s="24"/>
      <c r="AP103" s="24"/>
      <c r="AQ103" s="24"/>
      <c r="AR103" s="16" t="s">
        <v>279</v>
      </c>
    </row>
  </sheetData>
  <mergeCells count="9">
    <mergeCell ref="AB1:AH1"/>
    <mergeCell ref="AI1:AR1"/>
    <mergeCell ref="AB2:AE2"/>
    <mergeCell ref="AF2:AH2"/>
    <mergeCell ref="A1:C1"/>
    <mergeCell ref="D1:F1"/>
    <mergeCell ref="G1:M1"/>
    <mergeCell ref="N1:Y1"/>
    <mergeCell ref="Z1:AA1"/>
  </mergeCells>
  <conditionalFormatting sqref="AJ1:AJ1048576">
    <cfRule type="expression" dxfId="7" priority="6">
      <formula>OR($AJ1="GROUNDOUT",$AJ1="LINEOUT",$AJ1="FOULOUT",$AJ1="FLYOUT",$AJ1="SAC BUNT",$AJ1="GROUNDED INTO DP",$AJ1="FORCEOUT",$AJ1="POP OUT",$AJ1="DOUBLE PLAY")</formula>
    </cfRule>
    <cfRule type="expression" dxfId="6" priority="7">
      <formula>OR($AJ1="HIT BY PITCH",$AJ1="WALK",$AJ1="INTENT WALK",$AJ1="ELSE2",$AJ1="ELSE3")</formula>
    </cfRule>
    <cfRule type="expression" dxfId="5" priority="8">
      <formula>OR($AJ1="FIELDERS CHOICE",$AJ1="HOME RUN",$AJ1="SINGLE",$AJ1="DOUBLE",$AJ1="TRIPLE",$AJ1="SAC FLY",$AJ1="FAN INTERFERENCE",$AJ1="CATCHER INTERFERENCE",$AJ1="FIELD ERROR")</formula>
    </cfRule>
    <cfRule type="cellIs" dxfId="4" priority="9" operator="equal">
      <formula>"STRIKEOUT"</formula>
    </cfRule>
  </conditionalFormatting>
  <conditionalFormatting sqref="AJ3 AJ5 AJ7 AJ9 AJ11 AJ13 AJ15 AJ17 AJ19 AJ21 AJ23 AJ25 AJ27 AJ29 AJ31 AJ33 AJ35 AJ37 AJ39 AJ41 AJ43 AJ45 AJ47 AJ49 AJ51 AJ53 AJ55 AJ57 AJ59 AJ61 AJ63 AJ65 AJ67 AJ69 AJ71 AJ73 AJ75 AJ77 AJ79 AJ81 AJ83 AJ85 AJ87 AJ89 AJ91 AJ93 AJ95 AJ97 AJ99 AJ101 AJ103">
    <cfRule type="expression" dxfId="3" priority="2">
      <formula>OR($AJ3="GROUNDOUT",$AJ3="LINEOUT",$AJ3="FOULOUT",$AJ3="FLYOUT",$AJ3="SAC BUNT",$AJ3="GROUNDED INTO DP",$AJ3="FORCEOUT",$AJ3="POP OUT",$AJ3="DOUBLE PLAY")</formula>
    </cfRule>
    <cfRule type="expression" dxfId="2" priority="3">
      <formula>OR($AJ3="HIT BY PITCH",$AJ3="WALK",$AJ3="INTENT WALK",$AJ3="ELSE2",$AJ3="ELSE3")</formula>
    </cfRule>
    <cfRule type="expression" dxfId="1" priority="4">
      <formula>OR($AJ3="HOME RUN",$AJ3="SINGLE",$AJ3="DOUBLE",$AJ3="TRIPLE",$AJ3="SAC FLY",$AJ3="FAN INTERFERENCE",$AJ3="CATCHER INTERFERENCE",$AJ3="FIELD ERROR")</formula>
    </cfRule>
    <cfRule type="cellIs" dxfId="0" priority="5" operator="equal">
      <formula>"STRIKEOUT"</formula>
    </cfRule>
  </conditionalFormatting>
  <hyperlinks>
    <hyperlink ref="A2" r:id="rId1" xr:uid="{00000000-0004-0000-0000-000000000000}"/>
  </hyperlink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B2:L37"/>
  <sheetViews>
    <sheetView showGridLines="0" zoomScaleNormal="100" workbookViewId="0"/>
  </sheetViews>
  <sheetFormatPr baseColWidth="10" defaultColWidth="8.6640625" defaultRowHeight="15" x14ac:dyDescent="0.2"/>
  <cols>
    <col min="1" max="1" width="3" customWidth="1"/>
    <col min="2" max="2" width="30" customWidth="1"/>
    <col min="3" max="5" width="20" customWidth="1"/>
    <col min="6" max="6" width="9" customWidth="1"/>
    <col min="7" max="7" width="4" customWidth="1"/>
    <col min="8" max="8" width="14" customWidth="1"/>
    <col min="9" max="9" width="22" customWidth="1"/>
    <col min="10" max="10" width="20" customWidth="1"/>
    <col min="11" max="12" width="14" customWidth="1"/>
  </cols>
  <sheetData>
    <row r="2" spans="2:5" ht="21" x14ac:dyDescent="0.25">
      <c r="B2" s="37" t="s">
        <v>280</v>
      </c>
    </row>
    <row r="3" spans="2:5" x14ac:dyDescent="0.2">
      <c r="B3" s="38" t="s">
        <v>281</v>
      </c>
    </row>
    <row r="5" spans="2:5" ht="16" x14ac:dyDescent="0.2">
      <c r="B5" s="39" t="s">
        <v>282</v>
      </c>
    </row>
    <row r="6" spans="2:5" x14ac:dyDescent="0.2">
      <c r="B6" s="40" t="s">
        <v>283</v>
      </c>
      <c r="C6" s="41">
        <f>Lists!C8</f>
        <v>101</v>
      </c>
    </row>
    <row r="7" spans="2:5" x14ac:dyDescent="0.2">
      <c r="B7" s="40" t="s">
        <v>284</v>
      </c>
      <c r="C7" s="41">
        <f>Lists!C7</f>
        <v>99</v>
      </c>
    </row>
    <row r="8" spans="2:5" x14ac:dyDescent="0.2">
      <c r="B8" s="40" t="s">
        <v>285</v>
      </c>
      <c r="C8" s="42">
        <f>SUMPRODUCT((pbp_GameID&lt;&gt;pbp_GameIDPrev)*1)</f>
        <v>1</v>
      </c>
    </row>
    <row r="9" spans="2:5" x14ac:dyDescent="0.2">
      <c r="B9" s="40" t="s">
        <v>286</v>
      </c>
      <c r="C9" s="41">
        <f>Lists!C9</f>
        <v>0</v>
      </c>
    </row>
    <row r="11" spans="2:5" ht="16" x14ac:dyDescent="0.2">
      <c r="B11" s="39" t="s">
        <v>287</v>
      </c>
    </row>
    <row r="12" spans="2:5" ht="31.5" customHeight="1" x14ac:dyDescent="0.2">
      <c r="B12" s="43" t="s">
        <v>288</v>
      </c>
      <c r="C12" s="43" t="s">
        <v>289</v>
      </c>
      <c r="D12" s="43" t="s">
        <v>290</v>
      </c>
      <c r="E12" s="43" t="s">
        <v>291</v>
      </c>
    </row>
    <row r="13" spans="2:5" x14ac:dyDescent="0.2">
      <c r="B13" s="44" t="s">
        <v>292</v>
      </c>
      <c r="C13" s="45" t="str">
        <f>'Team Offense'!B6</f>
        <v>Los Angeles Dodgers</v>
      </c>
      <c r="D13" s="45" t="str">
        <f>'Team Offense'!B7</f>
        <v>Toronto Blue Jays</v>
      </c>
    </row>
    <row r="14" spans="2:5" x14ac:dyDescent="0.2">
      <c r="B14" s="40" t="s">
        <v>293</v>
      </c>
      <c r="C14" s="46">
        <f>IFERROR(INDEX('Team Offense'!$F$6:$F$35,MATCH(C$13,'Team Offense'!$B$6:$B$35,0)),"")</f>
        <v>5</v>
      </c>
      <c r="D14" s="46">
        <f>IFERROR(INDEX('Team Offense'!$F$6:$F$35,MATCH(D$13,'Team Offense'!$B$6:$B$35,0)),"")</f>
        <v>4</v>
      </c>
      <c r="E14" s="47" t="str">
        <f t="shared" ref="E14:E22" si="0">IF(OR(C14="",D14=""),"",IF(C14=D14,"Even",IF(C14&gt;D14,$C$13,$D$13)))</f>
        <v>Los Angeles Dodgers</v>
      </c>
    </row>
    <row r="15" spans="2:5" x14ac:dyDescent="0.2">
      <c r="B15" s="48" t="s">
        <v>294</v>
      </c>
      <c r="C15" s="49">
        <f>IFERROR(INDEX('Team Offense'!$Y$6:$Y$35,MATCH(C$13,'Team Offense'!$B$6:$B$35,0)),"")</f>
        <v>0.84552845528455278</v>
      </c>
      <c r="D15" s="49">
        <f>IFERROR(INDEX('Team Offense'!$Y$6:$Y$35,MATCH(D$13,'Team Offense'!$B$6:$B$35,0)),"")</f>
        <v>0.87327954437588984</v>
      </c>
      <c r="E15" s="50" t="str">
        <f t="shared" si="0"/>
        <v>Toronto Blue Jays</v>
      </c>
    </row>
    <row r="16" spans="2:5" x14ac:dyDescent="0.2">
      <c r="B16" s="40" t="s">
        <v>295</v>
      </c>
      <c r="C16" s="51">
        <f>IFERROR(INDEX('Team Offense'!$V$6:$V$35,MATCH(C$13,'Team Offense'!$B$6:$B$35,0)),"")</f>
        <v>0.26829268292682928</v>
      </c>
      <c r="D16" s="51">
        <f>IFERROR(INDEX('Team Offense'!$V$6:$V$35,MATCH(D$13,'Team Offense'!$B$6:$B$35,0)),"")</f>
        <v>0.32558139534883723</v>
      </c>
      <c r="E16" s="47" t="str">
        <f t="shared" si="0"/>
        <v>Toronto Blue Jays</v>
      </c>
    </row>
    <row r="17" spans="2:12" x14ac:dyDescent="0.2">
      <c r="B17" s="48" t="s">
        <v>296</v>
      </c>
      <c r="C17" s="49">
        <f>IFERROR(INDEX('Team Offense'!$Z$6:$Z$35,MATCH(C$13,'Team Offense'!$B$6:$B$35,0)),"")</f>
        <v>0.24390243902439024</v>
      </c>
      <c r="D17" s="49">
        <f>IFERROR(INDEX('Team Offense'!$Z$6:$Z$35,MATCH(D$13,'Team Offense'!$B$6:$B$35,0)),"")</f>
        <v>0.1395348837209302</v>
      </c>
      <c r="E17" s="50" t="str">
        <f t="shared" si="0"/>
        <v>Los Angeles Dodgers</v>
      </c>
    </row>
    <row r="18" spans="2:12" x14ac:dyDescent="0.2">
      <c r="B18" s="40" t="s">
        <v>297</v>
      </c>
      <c r="C18" s="52">
        <f>IFERROR(INDEX('Team Offense'!$AD$6:$AD$35,MATCH(C$13,'Team Offense'!$B$6:$B$35,0)),"")</f>
        <v>1</v>
      </c>
      <c r="D18" s="52">
        <f>IFERROR(INDEX('Team Offense'!$AD$6:$AD$35,MATCH(D$13,'Team Offense'!$B$6:$B$35,0)),"")</f>
        <v>0.33333333333333331</v>
      </c>
      <c r="E18" s="47" t="str">
        <f t="shared" si="0"/>
        <v>Los Angeles Dodgers</v>
      </c>
    </row>
    <row r="19" spans="2:12" x14ac:dyDescent="0.2">
      <c r="B19" s="48" t="s">
        <v>298</v>
      </c>
      <c r="C19" s="53">
        <f>IFERROR(INDEX('Team Offense'!$AE$6:$AE$35,MATCH(C$13,'Team Offense'!$B$6:$B$35,0)),"")</f>
        <v>3.5833333333333335</v>
      </c>
      <c r="D19" s="53">
        <f>IFERROR(INDEX('Team Offense'!$AE$6:$AE$35,MATCH(D$13,'Team Offense'!$B$6:$B$35,0)),"")</f>
        <v>3.7647058823529411</v>
      </c>
      <c r="E19" s="50" t="str">
        <f t="shared" si="0"/>
        <v>Toronto Blue Jays</v>
      </c>
    </row>
    <row r="20" spans="2:12" x14ac:dyDescent="0.2">
      <c r="B20" s="40" t="s">
        <v>299</v>
      </c>
      <c r="C20" s="54">
        <f>IFERROR(INDEX('Team Pitching &amp; Defense'!$P$6:$P$35,MATCH(C$13,'Team Pitching &amp; Defense'!$B$6:$B$35,0)),"")</f>
        <v>0.61538461538461542</v>
      </c>
      <c r="D20" s="54">
        <f>IFERROR(INDEX('Team Pitching &amp; Defense'!$P$6:$P$35,MATCH(D$13,'Team Pitching &amp; Defense'!$B$6:$B$35,0)),"")</f>
        <v>0.60465116279069764</v>
      </c>
      <c r="E20" s="47" t="str">
        <f t="shared" si="0"/>
        <v>Los Angeles Dodgers</v>
      </c>
    </row>
    <row r="21" spans="2:12" x14ac:dyDescent="0.2">
      <c r="B21" s="48" t="s">
        <v>300</v>
      </c>
      <c r="C21" s="55">
        <f>IFERROR(INDEX('Team Pitching &amp; Defense'!$Q$6:$Q$35,MATCH(C$13,'Team Pitching &amp; Defense'!$B$6:$B$35,0)),"")</f>
        <v>0.5490196078431373</v>
      </c>
      <c r="D21" s="55">
        <f>IFERROR(INDEX('Team Pitching &amp; Defense'!$Q$6:$Q$35,MATCH(D$13,'Team Pitching &amp; Defense'!$B$6:$B$35,0)),"")</f>
        <v>0.625</v>
      </c>
      <c r="E21" s="50" t="str">
        <f t="shared" si="0"/>
        <v>Toronto Blue Jays</v>
      </c>
    </row>
    <row r="22" spans="2:12" x14ac:dyDescent="0.2">
      <c r="B22" s="40" t="s">
        <v>301</v>
      </c>
      <c r="C22" s="54">
        <f>IFERROR(INDEX('Team Pitching &amp; Defense'!$T$6:$T$35,MATCH(C$13,'Team Pitching &amp; Defense'!$B$6:$B$35,0)),"")</f>
        <v>0.15686274509803921</v>
      </c>
      <c r="D22" s="54">
        <f>IFERROR(INDEX('Team Pitching &amp; Defense'!$T$6:$T$35,MATCH(D$13,'Team Pitching &amp; Defense'!$B$6:$B$35,0)),"")</f>
        <v>0</v>
      </c>
      <c r="E22" s="47" t="str">
        <f t="shared" si="0"/>
        <v>Los Angeles Dodgers</v>
      </c>
    </row>
    <row r="23" spans="2:12" x14ac:dyDescent="0.2">
      <c r="B23" s="48" t="s">
        <v>302</v>
      </c>
      <c r="C23" s="53">
        <f>IFERROR(INDEX('Team Pitching &amp; Defense'!$V$6:$V$35,MATCH(C$13,'Team Pitching &amp; Defense'!$B$6:$B$35,0)),"")</f>
        <v>3.7363636363636363</v>
      </c>
      <c r="D23" s="53">
        <f>IFERROR(INDEX('Team Pitching &amp; Defense'!$V$6:$V$35,MATCH(D$13,'Team Pitching &amp; Defense'!$B$6:$B$35,0)),"")</f>
        <v>7.1</v>
      </c>
      <c r="E23" s="50" t="str">
        <f>IF(OR(C23="",D23=""),"",IF(C23=D23,"Even",IF(C23&lt;D23,$C$13,$D$13)))</f>
        <v>Los Angeles Dodgers</v>
      </c>
    </row>
    <row r="24" spans="2:12" x14ac:dyDescent="0.2">
      <c r="B24" s="40" t="s">
        <v>303</v>
      </c>
      <c r="C24" s="52">
        <f>IFERROR(INDEX('Team Pitching &amp; Defense'!$U$6:$U$35,MATCH(C$13,'Team Pitching &amp; Defense'!$B$6:$B$35,0)),"")</f>
        <v>1.6363636363636365</v>
      </c>
      <c r="D24" s="52">
        <f>IFERROR(INDEX('Team Pitching &amp; Defense'!$U$6:$U$35,MATCH(D$13,'Team Pitching &amp; Defense'!$B$6:$B$35,0)),"")</f>
        <v>1.4545454545454546</v>
      </c>
      <c r="E24" s="47" t="str">
        <f>IF(OR(C24="",D24=""),"",IF(C24=D24,"Even",IF(C24&lt;D24,$C$13,$D$13)))</f>
        <v>Toronto Blue Jays</v>
      </c>
    </row>
    <row r="25" spans="2:12" x14ac:dyDescent="0.2">
      <c r="B25" s="48" t="s">
        <v>304</v>
      </c>
      <c r="C25" s="49">
        <f>IFERROR(INDEX('Team Pitching &amp; Defense'!$Y$6:$Y$35,MATCH(C$13,'Team Pitching &amp; Defense'!$B$6:$B$35,0)),"")</f>
        <v>0.56666666666666665</v>
      </c>
      <c r="D25" s="49">
        <f>IFERROR(INDEX('Team Pitching &amp; Defense'!$Y$6:$Y$35,MATCH(D$13,'Team Pitching &amp; Defense'!$B$6:$B$35,0)),"")</f>
        <v>0.77142857142857146</v>
      </c>
      <c r="E25" s="50" t="str">
        <f>IF(OR(C25="",D25=""),"",IF(C25=D25,"Even",IF(C25&gt;D25,$C$13,$D$13)))</f>
        <v>Toronto Blue Jays</v>
      </c>
    </row>
    <row r="26" spans="2:12" x14ac:dyDescent="0.2">
      <c r="B26" s="40" t="s">
        <v>305</v>
      </c>
      <c r="C26" s="46">
        <f>IFERROR(INDEX('Team Pitching &amp; Defense'!$AB$6:$AB$35,MATCH(C$13,'Team Pitching &amp; Defense'!$B$6:$B$35,0)),"")</f>
        <v>2</v>
      </c>
      <c r="D26" s="46">
        <f>IFERROR(INDEX('Team Pitching &amp; Defense'!$AB$6:$AB$35,MATCH(D$13,'Team Pitching &amp; Defense'!$B$6:$B$35,0)),"")</f>
        <v>1</v>
      </c>
      <c r="E26" s="47" t="str">
        <f>IF(OR(C26="",D26=""),"",IF(C26=D26,"Even",IF(C26&gt;D26,$C$13,$D$13)))</f>
        <v>Los Angeles Dodgers</v>
      </c>
    </row>
    <row r="29" spans="2:12" ht="16" x14ac:dyDescent="0.2">
      <c r="B29" s="39" t="s">
        <v>306</v>
      </c>
      <c r="H29" s="39" t="s">
        <v>307</v>
      </c>
    </row>
    <row r="30" spans="2:12" ht="31.5" customHeight="1" x14ac:dyDescent="0.2">
      <c r="B30" s="43" t="s">
        <v>308</v>
      </c>
      <c r="C30" s="43" t="s">
        <v>309</v>
      </c>
      <c r="D30" s="43" t="s">
        <v>292</v>
      </c>
      <c r="E30" s="43" t="s">
        <v>310</v>
      </c>
      <c r="F30" s="43" t="s">
        <v>294</v>
      </c>
      <c r="H30" s="43" t="s">
        <v>308</v>
      </c>
      <c r="I30" s="43" t="s">
        <v>311</v>
      </c>
      <c r="J30" s="43" t="s">
        <v>292</v>
      </c>
      <c r="K30" s="43" t="s">
        <v>312</v>
      </c>
      <c r="L30" s="43" t="s">
        <v>302</v>
      </c>
    </row>
    <row r="31" spans="2:12" x14ac:dyDescent="0.2">
      <c r="B31" s="47">
        <v>1</v>
      </c>
      <c r="C31" s="56" t="str">
        <f>IFERROR(INDEX('Batter Leaders'!$B$6:$B$255,MATCH(B31,'Batter Leaders'!$AA$6:$AA$255,0)),"")</f>
        <v>Max Muncy</v>
      </c>
      <c r="D31" s="57" t="str">
        <f>IFERROR(INDEX('Batter Leaders'!$C$6:$C$255,MATCH(C31,'Batter Leaders'!$B$6:$B$255,0)),"")</f>
        <v>Los Angeles Dodgers</v>
      </c>
      <c r="E31" s="46">
        <f>IFERROR(INDEX('Batter Leaders'!$E$6:$E$255,MATCH(C31,'Batter Leaders'!$B$6:$B$255,0)),"")</f>
        <v>5</v>
      </c>
      <c r="F31" s="51">
        <f>IFERROR(INDEX('Batter Leaders'!$T$6:$T$255,MATCH(C31,'Batter Leaders'!$B$6:$B$255,0)),"")</f>
        <v>2.2999999999999998</v>
      </c>
      <c r="H31" s="47">
        <v>1</v>
      </c>
      <c r="I31" s="56" t="str">
        <f>IFERROR(INDEX('Pitcher Leaders'!$B$6:$B$255,MATCH(H31,'Pitcher Leaders'!$AA$6:$AA$255,0)),"")</f>
        <v>Emmet Sheehan</v>
      </c>
      <c r="J31" s="57" t="str">
        <f>IFERROR(INDEX('Pitcher Leaders'!$C$6:$C$255,MATCH(I31,'Pitcher Leaders'!$B$6:$B$255,0)),"")</f>
        <v>Los Angeles Dodgers</v>
      </c>
      <c r="K31" s="46">
        <f>IFERROR(INDEX('Pitcher Leaders'!$E$6:$E$255,MATCH(I31,'Pitcher Leaders'!$B$6:$B$255,0)),"")</f>
        <v>5</v>
      </c>
      <c r="L31" s="52">
        <f>IFERROR(INDEX('Pitcher Leaders'!$X$6:$X$255,MATCH(I31,'Pitcher Leaders'!$B$6:$B$255,0)),"")</f>
        <v>-0.89999999999999991</v>
      </c>
    </row>
    <row r="32" spans="2:12" x14ac:dyDescent="0.2">
      <c r="B32" s="47">
        <v>2</v>
      </c>
      <c r="C32" s="56" t="str">
        <f>IFERROR(INDEX('Batter Leaders'!$B$6:$B$255,MATCH(B32,'Batter Leaders'!$AA$6:$AA$255,0)),"")</f>
        <v>Bo Bichette</v>
      </c>
      <c r="D32" s="57" t="str">
        <f>IFERROR(INDEX('Batter Leaders'!$C$6:$C$255,MATCH(C32,'Batter Leaders'!$B$6:$B$255,0)),"")</f>
        <v>Toronto Blue Jays</v>
      </c>
      <c r="E32" s="46">
        <f>IFERROR(INDEX('Batter Leaders'!$E$6:$E$255,MATCH(C32,'Batter Leaders'!$B$6:$B$255,0)),"")</f>
        <v>5</v>
      </c>
      <c r="F32" s="51">
        <f>IFERROR(INDEX('Batter Leaders'!$T$6:$T$255,MATCH(C32,'Batter Leaders'!$B$6:$B$255,0)),"")</f>
        <v>1.85</v>
      </c>
      <c r="H32" s="47">
        <v>2</v>
      </c>
      <c r="I32" s="56" t="str">
        <f>IFERROR(INDEX('Pitcher Leaders'!$B$6:$B$255,MATCH(H32,'Pitcher Leaders'!$AA$6:$AA$255,0)),"")</f>
        <v>Tyler Glasnow</v>
      </c>
      <c r="J32" s="57" t="str">
        <f>IFERROR(INDEX('Pitcher Leaders'!$C$6:$C$255,MATCH(I32,'Pitcher Leaders'!$B$6:$B$255,0)),"")</f>
        <v>Los Angeles Dodgers</v>
      </c>
      <c r="K32" s="46">
        <f>IFERROR(INDEX('Pitcher Leaders'!$E$6:$E$255,MATCH(I32,'Pitcher Leaders'!$B$6:$B$255,0)),"")</f>
        <v>10</v>
      </c>
      <c r="L32" s="52">
        <f>IFERROR(INDEX('Pitcher Leaders'!$X$6:$X$255,MATCH(I32,'Pitcher Leaders'!$B$6:$B$255,0)),"")</f>
        <v>1.3857142857142859</v>
      </c>
    </row>
    <row r="33" spans="2:12" x14ac:dyDescent="0.2">
      <c r="B33" s="47">
        <v>3</v>
      </c>
      <c r="C33" s="56" t="str">
        <f>IFERROR(INDEX('Batter Leaders'!$B$6:$B$255,MATCH(B33,'Batter Leaders'!$AA$6:$AA$255,0)),"")</f>
        <v>Ernie Clement</v>
      </c>
      <c r="D33" s="57" t="str">
        <f>IFERROR(INDEX('Batter Leaders'!$C$6:$C$255,MATCH(C33,'Batter Leaders'!$B$6:$B$255,0)),"")</f>
        <v>Toronto Blue Jays</v>
      </c>
      <c r="E33" s="46">
        <f>IFERROR(INDEX('Batter Leaders'!$E$6:$E$255,MATCH(C33,'Batter Leaders'!$B$6:$B$255,0)),"")</f>
        <v>5</v>
      </c>
      <c r="F33" s="51">
        <f>IFERROR(INDEX('Batter Leaders'!$T$6:$T$255,MATCH(C33,'Batter Leaders'!$B$6:$B$255,0)),"")</f>
        <v>1.4</v>
      </c>
      <c r="H33" s="47">
        <v>3</v>
      </c>
      <c r="I33" s="56" t="str">
        <f>IFERROR(INDEX('Pitcher Leaders'!$B$6:$B$255,MATCH(H33,'Pitcher Leaders'!$AA$6:$AA$255,0)),"")</f>
        <v>Justin Wrobleski</v>
      </c>
      <c r="J33" s="57" t="str">
        <f>IFERROR(INDEX('Pitcher Leaders'!$C$6:$C$255,MATCH(I33,'Pitcher Leaders'!$B$6:$B$255,0)),"")</f>
        <v>Los Angeles Dodgers</v>
      </c>
      <c r="K33" s="46">
        <f>IFERROR(INDEX('Pitcher Leaders'!$E$6:$E$255,MATCH(I33,'Pitcher Leaders'!$B$6:$B$255,0)),"")</f>
        <v>7</v>
      </c>
      <c r="L33" s="52">
        <f>IFERROR(INDEX('Pitcher Leaders'!$X$6:$X$255,MATCH(I33,'Pitcher Leaders'!$B$6:$B$255,0)),"")</f>
        <v>2.35</v>
      </c>
    </row>
    <row r="34" spans="2:12" x14ac:dyDescent="0.2">
      <c r="B34" s="47">
        <v>4</v>
      </c>
      <c r="C34" s="56" t="str">
        <f>IFERROR(INDEX('Batter Leaders'!$B$6:$B$255,MATCH(B34,'Batter Leaders'!$AA$6:$AA$255,0)),"")</f>
        <v>Miguel Rojas</v>
      </c>
      <c r="D34" s="57" t="str">
        <f>IFERROR(INDEX('Batter Leaders'!$C$6:$C$255,MATCH(C34,'Batter Leaders'!$B$6:$B$255,0)),"")</f>
        <v>Los Angeles Dodgers</v>
      </c>
      <c r="E34" s="46">
        <f>IFERROR(INDEX('Batter Leaders'!$E$6:$E$255,MATCH(C34,'Batter Leaders'!$B$6:$B$255,0)),"")</f>
        <v>5</v>
      </c>
      <c r="F34" s="51">
        <f>IFERROR(INDEX('Batter Leaders'!$T$6:$T$255,MATCH(C34,'Batter Leaders'!$B$6:$B$255,0)),"")</f>
        <v>1.4</v>
      </c>
      <c r="H34" s="47">
        <v>4</v>
      </c>
      <c r="I34" s="56" t="str">
        <f>IFERROR(INDEX('Pitcher Leaders'!$B$6:$B$255,MATCH(H34,'Pitcher Leaders'!$AA$6:$AA$255,0)),"")</f>
        <v>Blake Snell</v>
      </c>
      <c r="J34" s="57" t="str">
        <f>IFERROR(INDEX('Pitcher Leaders'!$C$6:$C$255,MATCH(I34,'Pitcher Leaders'!$B$6:$B$255,0)),"")</f>
        <v>Los Angeles Dodgers</v>
      </c>
      <c r="K34" s="46">
        <f>IFERROR(INDEX('Pitcher Leaders'!$E$6:$E$255,MATCH(I34,'Pitcher Leaders'!$B$6:$B$255,0)),"")</f>
        <v>6</v>
      </c>
      <c r="L34" s="52">
        <f>IFERROR(INDEX('Pitcher Leaders'!$X$6:$X$255,MATCH(I34,'Pitcher Leaders'!$B$6:$B$255,0)),"")</f>
        <v>2.35</v>
      </c>
    </row>
    <row r="35" spans="2:12" x14ac:dyDescent="0.2">
      <c r="B35" s="47">
        <v>5</v>
      </c>
      <c r="C35" s="56" t="str">
        <f>IFERROR(INDEX('Batter Leaders'!$B$6:$B$255,MATCH(B35,'Batter Leaders'!$AA$6:$AA$255,0)),"")</f>
        <v>Will Smith</v>
      </c>
      <c r="D35" s="57" t="str">
        <f>IFERROR(INDEX('Batter Leaders'!$C$6:$C$255,MATCH(C35,'Batter Leaders'!$B$6:$B$255,0)),"")</f>
        <v>Los Angeles Dodgers</v>
      </c>
      <c r="E35" s="46">
        <f>IFERROR(INDEX('Batter Leaders'!$E$6:$E$255,MATCH(C35,'Batter Leaders'!$B$6:$B$255,0)),"")</f>
        <v>6</v>
      </c>
      <c r="F35" s="51">
        <f>IFERROR(INDEX('Batter Leaders'!$T$6:$T$255,MATCH(C35,'Batter Leaders'!$B$6:$B$255,0)),"")</f>
        <v>1.3333333333333333</v>
      </c>
      <c r="H35" s="47">
        <v>5</v>
      </c>
      <c r="I35" s="56" t="str">
        <f>IFERROR(INDEX('Pitcher Leaders'!$B$6:$B$255,MATCH(H35,'Pitcher Leaders'!$AA$6:$AA$255,0)),"")</f>
        <v>Max Scherzer</v>
      </c>
      <c r="J35" s="57" t="str">
        <f>IFERROR(INDEX('Pitcher Leaders'!$C$6:$C$255,MATCH(I35,'Pitcher Leaders'!$B$6:$B$255,0)),"")</f>
        <v>Toronto Blue Jays</v>
      </c>
      <c r="K35" s="46">
        <f>IFERROR(INDEX('Pitcher Leaders'!$E$6:$E$255,MATCH(I35,'Pitcher Leaders'!$B$6:$B$255,0)),"")</f>
        <v>18</v>
      </c>
      <c r="L35" s="52">
        <f>IFERROR(INDEX('Pitcher Leaders'!$X$6:$X$255,MATCH(I35,'Pitcher Leaders'!$B$6:$B$255,0)),"")</f>
        <v>2.4076923076923076</v>
      </c>
    </row>
    <row r="37" spans="2:12" x14ac:dyDescent="0.2">
      <c r="B37" s="38" t="s">
        <v>313</v>
      </c>
    </row>
  </sheetData>
  <pageMargins left="0.75" right="0.75" top="1" bottom="1"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B2:AF35"/>
  <sheetViews>
    <sheetView showGridLines="0" zoomScaleNormal="100" workbookViewId="0">
      <pane xSplit="2" ySplit="5" topLeftCell="C6" activePane="bottomRight" state="frozen"/>
      <selection pane="topRight"/>
      <selection pane="bottomLeft"/>
      <selection pane="bottomRight"/>
    </sheetView>
  </sheetViews>
  <sheetFormatPr baseColWidth="10" defaultColWidth="8.6640625" defaultRowHeight="15" x14ac:dyDescent="0.2"/>
  <cols>
    <col min="1" max="1" width="3" customWidth="1"/>
    <col min="2" max="2" width="24" customWidth="1"/>
    <col min="3" max="3" width="5" customWidth="1"/>
    <col min="4" max="21" width="6" customWidth="1"/>
    <col min="22" max="30" width="7" customWidth="1"/>
    <col min="31" max="31" width="8" customWidth="1"/>
    <col min="32" max="32" width="7" customWidth="1"/>
  </cols>
  <sheetData>
    <row r="2" spans="2:32" ht="21" x14ac:dyDescent="0.25">
      <c r="B2" s="37" t="s">
        <v>314</v>
      </c>
    </row>
    <row r="3" spans="2:32" x14ac:dyDescent="0.2">
      <c r="B3" s="38" t="s">
        <v>315</v>
      </c>
    </row>
    <row r="5" spans="2:32" ht="31.5" customHeight="1" x14ac:dyDescent="0.2">
      <c r="B5" s="43" t="s">
        <v>292</v>
      </c>
      <c r="C5" s="43" t="s">
        <v>316</v>
      </c>
      <c r="D5" s="43" t="s">
        <v>310</v>
      </c>
      <c r="E5" s="43" t="s">
        <v>317</v>
      </c>
      <c r="F5" s="43" t="s">
        <v>55</v>
      </c>
      <c r="G5" s="43" t="s">
        <v>318</v>
      </c>
      <c r="H5" s="43" t="s">
        <v>25</v>
      </c>
      <c r="I5" s="43" t="s">
        <v>26</v>
      </c>
      <c r="J5" s="43" t="s">
        <v>27</v>
      </c>
      <c r="K5" s="43" t="s">
        <v>319</v>
      </c>
      <c r="L5" s="43" t="s">
        <v>320</v>
      </c>
      <c r="M5" s="43" t="s">
        <v>321</v>
      </c>
      <c r="N5" s="43" t="s">
        <v>322</v>
      </c>
      <c r="O5" s="43" t="s">
        <v>323</v>
      </c>
      <c r="P5" s="43" t="s">
        <v>324</v>
      </c>
      <c r="Q5" s="43" t="s">
        <v>325</v>
      </c>
      <c r="R5" s="43" t="s">
        <v>326</v>
      </c>
      <c r="S5" s="43" t="s">
        <v>327</v>
      </c>
      <c r="T5" s="43" t="s">
        <v>328</v>
      </c>
      <c r="U5" s="43" t="s">
        <v>329</v>
      </c>
      <c r="V5" s="43" t="s">
        <v>295</v>
      </c>
      <c r="W5" s="43" t="s">
        <v>330</v>
      </c>
      <c r="X5" s="43" t="s">
        <v>331</v>
      </c>
      <c r="Y5" s="43" t="s">
        <v>294</v>
      </c>
      <c r="Z5" s="43" t="s">
        <v>332</v>
      </c>
      <c r="AA5" s="43" t="s">
        <v>333</v>
      </c>
      <c r="AB5" s="43" t="s">
        <v>334</v>
      </c>
      <c r="AC5" s="43" t="s">
        <v>335</v>
      </c>
      <c r="AD5" s="43" t="s">
        <v>297</v>
      </c>
      <c r="AE5" s="43" t="s">
        <v>336</v>
      </c>
      <c r="AF5" s="43" t="s">
        <v>337</v>
      </c>
    </row>
    <row r="6" spans="2:32" x14ac:dyDescent="0.2">
      <c r="B6" s="44" t="str">
        <f t="array" ref="B6">IFERROR(INDEX(pbp_BatTeam,MATCH(0,COUNTIF($B$5:B5,pbp_BatTeam),0)),"")</f>
        <v>Los Angeles Dodgers</v>
      </c>
      <c r="C6" s="42">
        <f>IF($B6="","",SUMPRODUCT((pbp_BatTeam=$B6)*(LEN(pbp_Inning)=2)*(LEFT(pbp_Inning,1)="1")*(((pbp_Inning&lt;&gt;pbp_InningPrev)+(pbp_GameID&lt;&gt;pbp_GameIDPrev))&gt;0)))</f>
        <v>1</v>
      </c>
      <c r="D6" s="42">
        <f>IF($B6="","",SUMPRODUCT(COUNTIFS(pbp_PlayType,EM_Type,pbp_BatTeam,$B6)*EM_PA))</f>
        <v>48</v>
      </c>
      <c r="E6" s="42">
        <f>IF($B6="","",SUMPRODUCT(COUNTIFS(pbp_PlayType,EM_Type,pbp_BatTeam,$B6)*EM_AB))</f>
        <v>41</v>
      </c>
      <c r="F6" s="42">
        <f>IF($B6="","",SUMIFS(pbp_Runs,pbp_BatTeam,$B6))</f>
        <v>5</v>
      </c>
      <c r="G6" s="42">
        <f>IF($B6="","",SUMPRODUCT(COUNTIFS(pbp_PlayType,EM_Type,pbp_BatTeam,$B6)*EM_H))</f>
        <v>11</v>
      </c>
      <c r="H6" s="42">
        <f>IF($B6="","",SUMPRODUCT(COUNTIFS(pbp_PlayType,EM_Type,pbp_BatTeam,$B6)*EM_1B))</f>
        <v>7</v>
      </c>
      <c r="I6" s="42">
        <f>IF($B6="","",SUMPRODUCT(COUNTIFS(pbp_PlayType,EM_Type,pbp_BatTeam,$B6)*EM_2B))</f>
        <v>1</v>
      </c>
      <c r="J6" s="42">
        <f>IF($B6="","",SUMPRODUCT(COUNTIFS(pbp_PlayType,EM_Type,pbp_BatTeam,$B6)*EM_3B))</f>
        <v>0</v>
      </c>
      <c r="K6" s="42">
        <f>IF($B6="","",SUMPRODUCT(COUNTIFS(pbp_PlayType,EM_Type,pbp_BatTeam,$B6)*EM_HR))</f>
        <v>3</v>
      </c>
      <c r="L6" s="42">
        <f t="shared" ref="L6:L35" si="0">IF($B6="","",H6+2*I6+3*J6+4*K6)</f>
        <v>21</v>
      </c>
      <c r="M6" s="42">
        <f>IF($B6="","",SUMPRODUCT(COUNTIFS(pbp_PlayType,EM_Type,pbp_BatTeam,$B6)*EM_BB))</f>
        <v>5</v>
      </c>
      <c r="N6" s="42">
        <f>IF($B6="","",SUMPRODUCT(COUNTIFS(pbp_PlayType,EM_Type,pbp_BatTeam,$B6)*EM_IBB))</f>
        <v>0</v>
      </c>
      <c r="O6" s="42">
        <f>IF($B6="","",SUMPRODUCT(COUNTIFS(pbp_PlayType,EM_Type,pbp_BatTeam,$B6)*EM_HBP))</f>
        <v>0</v>
      </c>
      <c r="P6" s="42">
        <f>IF($B6="","",COUNTIFS(pbp_PlayType,"?*",pbp_Desc,"*struck out*",pbp_BatTeam,$B6))</f>
        <v>5</v>
      </c>
      <c r="Q6" s="42">
        <f>IF($B6="","",SUMPRODUCT(COUNTIFS(pbp_PlayType,EM_Type,pbp_BatTeam,$B6)*EM_SF))</f>
        <v>2</v>
      </c>
      <c r="R6" s="42">
        <f>IF($B6="","",SUMPRODUCT(COUNTIFS(pbp_PlayType,EM_Type,pbp_BatTeam,$B6)*EM_SH))</f>
        <v>0</v>
      </c>
      <c r="S6" s="42">
        <f>IF($B6="","",SUMPRODUCT(COUNTIFS(pbp_PlayType,EM_Type,pbp_BatTeam,$B6)*EM_DP))</f>
        <v>1</v>
      </c>
      <c r="T6" s="42">
        <f>IF($B6="","",SUMIFS(pbp_SB,pbp_BatTeam,$B6))</f>
        <v>0</v>
      </c>
      <c r="U6" s="42">
        <f>IF($B6="","",SUMIFS(pbp_CS,pbp_BatTeam,$B6))</f>
        <v>0</v>
      </c>
      <c r="V6" s="58">
        <f t="shared" ref="V6:V35" si="1">IF($B6="","",IF((E6)=0,"",(G6)/(E6)))</f>
        <v>0.26829268292682928</v>
      </c>
      <c r="W6" s="58">
        <f t="shared" ref="W6:W35" si="2">IF($B6="","",IF(((E6+M6+O6+Q6))=0,"",((G6+M6+O6))/((E6+M6+O6+Q6))))</f>
        <v>0.33333333333333331</v>
      </c>
      <c r="X6" s="58">
        <f t="shared" ref="X6:X35" si="3">IF($B6="","",IF((E6)=0,"",(L6)/(E6)))</f>
        <v>0.51219512195121952</v>
      </c>
      <c r="Y6" s="58">
        <f t="shared" ref="Y6:Y35" si="4">IF($B6="","",IF(E6=0,"",W6+X6))</f>
        <v>0.84552845528455278</v>
      </c>
      <c r="Z6" s="58">
        <f t="shared" ref="Z6:Z35" si="5">IF($B6="","",IF(E6=0,"",X6-V6))</f>
        <v>0.24390243902439024</v>
      </c>
      <c r="AA6" s="58">
        <f t="shared" ref="AA6:AA35" si="6">IF($B6="","",IF(((E6-P6-K6+Q6))=0,"",((G6-K6))/((E6-P6-K6+Q6))))</f>
        <v>0.22857142857142856</v>
      </c>
      <c r="AB6" s="59">
        <f t="shared" ref="AB6:AB35" si="7">IF($B6="","",IF((D6)=0,"",(P6)/(D6)))</f>
        <v>0.10416666666666667</v>
      </c>
      <c r="AC6" s="59">
        <f t="shared" ref="AC6:AC35" si="8">IF($B6="","",IF((D6)=0,"",(M6)/(D6)))</f>
        <v>0.10416666666666667</v>
      </c>
      <c r="AD6" s="60">
        <f t="shared" ref="AD6:AD35" si="9">IF($B6="","",IF((P6)=0,"",(M6)/(P6)))</f>
        <v>1</v>
      </c>
      <c r="AE6" s="60">
        <f>IF($B6="","",IF((D6)=0,"",(SUMIFS(pbp_Pitches,pbp_BatTeam,$B6,pbp_PlayType,"?*"))/(D6)))</f>
        <v>3.5833333333333335</v>
      </c>
      <c r="AF6" s="59" t="str">
        <f t="shared" ref="AF6:AF35" si="10">IF($B6="","",IF(((T6+U6))=0,"",(T6)/((T6+U6))))</f>
        <v/>
      </c>
    </row>
    <row r="7" spans="2:32" x14ac:dyDescent="0.2">
      <c r="B7" s="44" t="str">
        <f t="array" ref="B7">IFERROR(INDEX(pbp_BatTeam,MATCH(0,COUNTIF($B$5:B6,pbp_BatTeam),0)),"")</f>
        <v>Toronto Blue Jays</v>
      </c>
      <c r="C7" s="42">
        <f>IF($B7="","",SUMPRODUCT((pbp_BatTeam=$B7)*(LEN(pbp_Inning)=2)*(LEFT(pbp_Inning,1)="1")*(((pbp_Inning&lt;&gt;pbp_InningPrev)+(pbp_GameID&lt;&gt;pbp_GameIDPrev))&gt;0)))</f>
        <v>1</v>
      </c>
      <c r="D7" s="42">
        <f>IF($B7="","",SUMPRODUCT(COUNTIFS(pbp_PlayType,EM_Type,pbp_BatTeam,$B7)*EM_PA))</f>
        <v>51</v>
      </c>
      <c r="E7" s="42">
        <f>IF($B7="","",SUMPRODUCT(COUNTIFS(pbp_PlayType,EM_Type,pbp_BatTeam,$B7)*EM_AB))</f>
        <v>43</v>
      </c>
      <c r="F7" s="42">
        <f>IF($B7="","",SUMIFS(pbp_Runs,pbp_BatTeam,$B7))</f>
        <v>4</v>
      </c>
      <c r="G7" s="42">
        <f>IF($B7="","",SUMPRODUCT(COUNTIFS(pbp_PlayType,EM_Type,pbp_BatTeam,$B7)*EM_H))</f>
        <v>14</v>
      </c>
      <c r="H7" s="42">
        <f>IF($B7="","",SUMPRODUCT(COUNTIFS(pbp_PlayType,EM_Type,pbp_BatTeam,$B7)*EM_1B))</f>
        <v>10</v>
      </c>
      <c r="I7" s="42">
        <f>IF($B7="","",SUMPRODUCT(COUNTIFS(pbp_PlayType,EM_Type,pbp_BatTeam,$B7)*EM_2B))</f>
        <v>3</v>
      </c>
      <c r="J7" s="42">
        <f>IF($B7="","",SUMPRODUCT(COUNTIFS(pbp_PlayType,EM_Type,pbp_BatTeam,$B7)*EM_3B))</f>
        <v>0</v>
      </c>
      <c r="K7" s="42">
        <f>IF($B7="","",SUMPRODUCT(COUNTIFS(pbp_PlayType,EM_Type,pbp_BatTeam,$B7)*EM_HR))</f>
        <v>1</v>
      </c>
      <c r="L7" s="42">
        <f t="shared" si="0"/>
        <v>20</v>
      </c>
      <c r="M7" s="42">
        <f>IF($B7="","",SUMPRODUCT(COUNTIFS(pbp_PlayType,EM_Type,pbp_BatTeam,$B7)*EM_BB))</f>
        <v>4</v>
      </c>
      <c r="N7" s="42">
        <f>IF($B7="","",SUMPRODUCT(COUNTIFS(pbp_PlayType,EM_Type,pbp_BatTeam,$B7)*EM_IBB))</f>
        <v>1</v>
      </c>
      <c r="O7" s="42">
        <f>IF($B7="","",SUMPRODUCT(COUNTIFS(pbp_PlayType,EM_Type,pbp_BatTeam,$B7)*EM_HBP))</f>
        <v>2</v>
      </c>
      <c r="P7" s="42">
        <f>IF($B7="","",COUNTIFS(pbp_PlayType,"?*",pbp_Desc,"*struck out*",pbp_BatTeam,$B7))</f>
        <v>12</v>
      </c>
      <c r="Q7" s="42">
        <f>IF($B7="","",SUMPRODUCT(COUNTIFS(pbp_PlayType,EM_Type,pbp_BatTeam,$B7)*EM_SF))</f>
        <v>0</v>
      </c>
      <c r="R7" s="42">
        <f>IF($B7="","",SUMPRODUCT(COUNTIFS(pbp_PlayType,EM_Type,pbp_BatTeam,$B7)*EM_SH))</f>
        <v>2</v>
      </c>
      <c r="S7" s="42">
        <f>IF($B7="","",SUMPRODUCT(COUNTIFS(pbp_PlayType,EM_Type,pbp_BatTeam,$B7)*EM_DP))</f>
        <v>2</v>
      </c>
      <c r="T7" s="42">
        <f>IF($B7="","",SUMIFS(pbp_SB,pbp_BatTeam,$B7))</f>
        <v>1</v>
      </c>
      <c r="U7" s="42">
        <f>IF($B7="","",SUMIFS(pbp_CS,pbp_BatTeam,$B7))</f>
        <v>1</v>
      </c>
      <c r="V7" s="58">
        <f t="shared" si="1"/>
        <v>0.32558139534883723</v>
      </c>
      <c r="W7" s="58">
        <f t="shared" si="2"/>
        <v>0.40816326530612246</v>
      </c>
      <c r="X7" s="58">
        <f t="shared" si="3"/>
        <v>0.46511627906976744</v>
      </c>
      <c r="Y7" s="58">
        <f t="shared" si="4"/>
        <v>0.87327954437588984</v>
      </c>
      <c r="Z7" s="58">
        <f t="shared" si="5"/>
        <v>0.1395348837209302</v>
      </c>
      <c r="AA7" s="58">
        <f t="shared" si="6"/>
        <v>0.43333333333333335</v>
      </c>
      <c r="AB7" s="59">
        <f t="shared" si="7"/>
        <v>0.23529411764705882</v>
      </c>
      <c r="AC7" s="59">
        <f t="shared" si="8"/>
        <v>7.8431372549019607E-2</v>
      </c>
      <c r="AD7" s="60">
        <f t="shared" si="9"/>
        <v>0.33333333333333331</v>
      </c>
      <c r="AE7" s="60">
        <f>IF($B7="","",IF((D7)=0,"",(SUMIFS(pbp_Pitches,pbp_BatTeam,$B7,pbp_PlayType,"?*"))/(D7)))</f>
        <v>3.7647058823529411</v>
      </c>
      <c r="AF7" s="59">
        <f t="shared" si="10"/>
        <v>0.5</v>
      </c>
    </row>
    <row r="8" spans="2:32" x14ac:dyDescent="0.2">
      <c r="B8" s="44" t="str">
        <f t="array" ref="B8">IFERROR(INDEX(pbp_BatTeam,MATCH(0,COUNTIF($B$5:B7,pbp_BatTeam),0)),"")</f>
        <v/>
      </c>
      <c r="C8" s="42" t="str">
        <f>IF($B8="","",SUMPRODUCT((pbp_BatTeam=$B8)*(LEN(pbp_Inning)=2)*(LEFT(pbp_Inning,1)="1")*(((pbp_Inning&lt;&gt;pbp_InningPrev)+(pbp_GameID&lt;&gt;pbp_GameIDPrev))&gt;0)))</f>
        <v/>
      </c>
      <c r="D8" s="42" t="str">
        <f>IF($B8="","",SUMPRODUCT(COUNTIFS(pbp_PlayType,EM_Type,pbp_BatTeam,$B8)*EM_PA))</f>
        <v/>
      </c>
      <c r="E8" s="42" t="str">
        <f>IF($B8="","",SUMPRODUCT(COUNTIFS(pbp_PlayType,EM_Type,pbp_BatTeam,$B8)*EM_AB))</f>
        <v/>
      </c>
      <c r="F8" s="42" t="str">
        <f>IF($B8="","",SUMIFS(pbp_Runs,pbp_BatTeam,$B8))</f>
        <v/>
      </c>
      <c r="G8" s="42" t="str">
        <f>IF($B8="","",SUMPRODUCT(COUNTIFS(pbp_PlayType,EM_Type,pbp_BatTeam,$B8)*EM_H))</f>
        <v/>
      </c>
      <c r="H8" s="42" t="str">
        <f>IF($B8="","",SUMPRODUCT(COUNTIFS(pbp_PlayType,EM_Type,pbp_BatTeam,$B8)*EM_1B))</f>
        <v/>
      </c>
      <c r="I8" s="42" t="str">
        <f>IF($B8="","",SUMPRODUCT(COUNTIFS(pbp_PlayType,EM_Type,pbp_BatTeam,$B8)*EM_2B))</f>
        <v/>
      </c>
      <c r="J8" s="42" t="str">
        <f>IF($B8="","",SUMPRODUCT(COUNTIFS(pbp_PlayType,EM_Type,pbp_BatTeam,$B8)*EM_3B))</f>
        <v/>
      </c>
      <c r="K8" s="42" t="str">
        <f>IF($B8="","",SUMPRODUCT(COUNTIFS(pbp_PlayType,EM_Type,pbp_BatTeam,$B8)*EM_HR))</f>
        <v/>
      </c>
      <c r="L8" s="42" t="str">
        <f t="shared" si="0"/>
        <v/>
      </c>
      <c r="M8" s="42" t="str">
        <f>IF($B8="","",SUMPRODUCT(COUNTIFS(pbp_PlayType,EM_Type,pbp_BatTeam,$B8)*EM_BB))</f>
        <v/>
      </c>
      <c r="N8" s="42" t="str">
        <f>IF($B8="","",SUMPRODUCT(COUNTIFS(pbp_PlayType,EM_Type,pbp_BatTeam,$B8)*EM_IBB))</f>
        <v/>
      </c>
      <c r="O8" s="42" t="str">
        <f>IF($B8="","",SUMPRODUCT(COUNTIFS(pbp_PlayType,EM_Type,pbp_BatTeam,$B8)*EM_HBP))</f>
        <v/>
      </c>
      <c r="P8" s="42" t="str">
        <f>IF($B8="","",COUNTIFS(pbp_PlayType,"?*",pbp_Desc,"*struck out*",pbp_BatTeam,$B8))</f>
        <v/>
      </c>
      <c r="Q8" s="42" t="str">
        <f>IF($B8="","",SUMPRODUCT(COUNTIFS(pbp_PlayType,EM_Type,pbp_BatTeam,$B8)*EM_SF))</f>
        <v/>
      </c>
      <c r="R8" s="42" t="str">
        <f>IF($B8="","",SUMPRODUCT(COUNTIFS(pbp_PlayType,EM_Type,pbp_BatTeam,$B8)*EM_SH))</f>
        <v/>
      </c>
      <c r="S8" s="42" t="str">
        <f>IF($B8="","",SUMPRODUCT(COUNTIFS(pbp_PlayType,EM_Type,pbp_BatTeam,$B8)*EM_DP))</f>
        <v/>
      </c>
      <c r="T8" s="42" t="str">
        <f>IF($B8="","",SUMIFS(pbp_SB,pbp_BatTeam,$B8))</f>
        <v/>
      </c>
      <c r="U8" s="42" t="str">
        <f>IF($B8="","",SUMIFS(pbp_CS,pbp_BatTeam,$B8))</f>
        <v/>
      </c>
      <c r="V8" s="58" t="str">
        <f t="shared" si="1"/>
        <v/>
      </c>
      <c r="W8" s="58" t="str">
        <f t="shared" si="2"/>
        <v/>
      </c>
      <c r="X8" s="58" t="str">
        <f t="shared" si="3"/>
        <v/>
      </c>
      <c r="Y8" s="58" t="str">
        <f t="shared" si="4"/>
        <v/>
      </c>
      <c r="Z8" s="58" t="str">
        <f t="shared" si="5"/>
        <v/>
      </c>
      <c r="AA8" s="58" t="str">
        <f t="shared" si="6"/>
        <v/>
      </c>
      <c r="AB8" s="59" t="str">
        <f t="shared" si="7"/>
        <v/>
      </c>
      <c r="AC8" s="59" t="str">
        <f t="shared" si="8"/>
        <v/>
      </c>
      <c r="AD8" s="60" t="str">
        <f t="shared" si="9"/>
        <v/>
      </c>
      <c r="AE8" s="60" t="str">
        <f>IF($B8="","",IF((D8)=0,"",(SUMIFS(pbp_Pitches,pbp_BatTeam,$B8,pbp_PlayType,"?*"))/(D8)))</f>
        <v/>
      </c>
      <c r="AF8" s="59" t="str">
        <f t="shared" si="10"/>
        <v/>
      </c>
    </row>
    <row r="9" spans="2:32" x14ac:dyDescent="0.2">
      <c r="B9" s="44" t="str">
        <f t="array" ref="B9">IFERROR(INDEX(pbp_BatTeam,MATCH(0,COUNTIF($B$5:B8,pbp_BatTeam),0)),"")</f>
        <v/>
      </c>
      <c r="C9" s="42" t="str">
        <f>IF($B9="","",SUMPRODUCT((pbp_BatTeam=$B9)*(LEN(pbp_Inning)=2)*(LEFT(pbp_Inning,1)="1")*(((pbp_Inning&lt;&gt;pbp_InningPrev)+(pbp_GameID&lt;&gt;pbp_GameIDPrev))&gt;0)))</f>
        <v/>
      </c>
      <c r="D9" s="42" t="str">
        <f>IF($B9="","",SUMPRODUCT(COUNTIFS(pbp_PlayType,EM_Type,pbp_BatTeam,$B9)*EM_PA))</f>
        <v/>
      </c>
      <c r="E9" s="42" t="str">
        <f>IF($B9="","",SUMPRODUCT(COUNTIFS(pbp_PlayType,EM_Type,pbp_BatTeam,$B9)*EM_AB))</f>
        <v/>
      </c>
      <c r="F9" s="42" t="str">
        <f>IF($B9="","",SUMIFS(pbp_Runs,pbp_BatTeam,$B9))</f>
        <v/>
      </c>
      <c r="G9" s="42" t="str">
        <f>IF($B9="","",SUMPRODUCT(COUNTIFS(pbp_PlayType,EM_Type,pbp_BatTeam,$B9)*EM_H))</f>
        <v/>
      </c>
      <c r="H9" s="42" t="str">
        <f>IF($B9="","",SUMPRODUCT(COUNTIFS(pbp_PlayType,EM_Type,pbp_BatTeam,$B9)*EM_1B))</f>
        <v/>
      </c>
      <c r="I9" s="42" t="str">
        <f>IF($B9="","",SUMPRODUCT(COUNTIFS(pbp_PlayType,EM_Type,pbp_BatTeam,$B9)*EM_2B))</f>
        <v/>
      </c>
      <c r="J9" s="42" t="str">
        <f>IF($B9="","",SUMPRODUCT(COUNTIFS(pbp_PlayType,EM_Type,pbp_BatTeam,$B9)*EM_3B))</f>
        <v/>
      </c>
      <c r="K9" s="42" t="str">
        <f>IF($B9="","",SUMPRODUCT(COUNTIFS(pbp_PlayType,EM_Type,pbp_BatTeam,$B9)*EM_HR))</f>
        <v/>
      </c>
      <c r="L9" s="42" t="str">
        <f t="shared" si="0"/>
        <v/>
      </c>
      <c r="M9" s="42" t="str">
        <f>IF($B9="","",SUMPRODUCT(COUNTIFS(pbp_PlayType,EM_Type,pbp_BatTeam,$B9)*EM_BB))</f>
        <v/>
      </c>
      <c r="N9" s="42" t="str">
        <f>IF($B9="","",SUMPRODUCT(COUNTIFS(pbp_PlayType,EM_Type,pbp_BatTeam,$B9)*EM_IBB))</f>
        <v/>
      </c>
      <c r="O9" s="42" t="str">
        <f>IF($B9="","",SUMPRODUCT(COUNTIFS(pbp_PlayType,EM_Type,pbp_BatTeam,$B9)*EM_HBP))</f>
        <v/>
      </c>
      <c r="P9" s="42" t="str">
        <f>IF($B9="","",COUNTIFS(pbp_PlayType,"?*",pbp_Desc,"*struck out*",pbp_BatTeam,$B9))</f>
        <v/>
      </c>
      <c r="Q9" s="42" t="str">
        <f>IF($B9="","",SUMPRODUCT(COUNTIFS(pbp_PlayType,EM_Type,pbp_BatTeam,$B9)*EM_SF))</f>
        <v/>
      </c>
      <c r="R9" s="42" t="str">
        <f>IF($B9="","",SUMPRODUCT(COUNTIFS(pbp_PlayType,EM_Type,pbp_BatTeam,$B9)*EM_SH))</f>
        <v/>
      </c>
      <c r="S9" s="42" t="str">
        <f>IF($B9="","",SUMPRODUCT(COUNTIFS(pbp_PlayType,EM_Type,pbp_BatTeam,$B9)*EM_DP))</f>
        <v/>
      </c>
      <c r="T9" s="42" t="str">
        <f>IF($B9="","",SUMIFS(pbp_SB,pbp_BatTeam,$B9))</f>
        <v/>
      </c>
      <c r="U9" s="42" t="str">
        <f>IF($B9="","",SUMIFS(pbp_CS,pbp_BatTeam,$B9))</f>
        <v/>
      </c>
      <c r="V9" s="58" t="str">
        <f t="shared" si="1"/>
        <v/>
      </c>
      <c r="W9" s="58" t="str">
        <f t="shared" si="2"/>
        <v/>
      </c>
      <c r="X9" s="58" t="str">
        <f t="shared" si="3"/>
        <v/>
      </c>
      <c r="Y9" s="58" t="str">
        <f t="shared" si="4"/>
        <v/>
      </c>
      <c r="Z9" s="58" t="str">
        <f t="shared" si="5"/>
        <v/>
      </c>
      <c r="AA9" s="58" t="str">
        <f t="shared" si="6"/>
        <v/>
      </c>
      <c r="AB9" s="59" t="str">
        <f t="shared" si="7"/>
        <v/>
      </c>
      <c r="AC9" s="59" t="str">
        <f t="shared" si="8"/>
        <v/>
      </c>
      <c r="AD9" s="60" t="str">
        <f t="shared" si="9"/>
        <v/>
      </c>
      <c r="AE9" s="60" t="str">
        <f>IF($B9="","",IF((D9)=0,"",(SUMIFS(pbp_Pitches,pbp_BatTeam,$B9,pbp_PlayType,"?*"))/(D9)))</f>
        <v/>
      </c>
      <c r="AF9" s="59" t="str">
        <f t="shared" si="10"/>
        <v/>
      </c>
    </row>
    <row r="10" spans="2:32" x14ac:dyDescent="0.2">
      <c r="B10" s="44" t="str">
        <f t="array" ref="B10">IFERROR(INDEX(pbp_BatTeam,MATCH(0,COUNTIF($B$5:B9,pbp_BatTeam),0)),"")</f>
        <v/>
      </c>
      <c r="C10" s="42" t="str">
        <f>IF($B10="","",SUMPRODUCT((pbp_BatTeam=$B10)*(LEN(pbp_Inning)=2)*(LEFT(pbp_Inning,1)="1")*(((pbp_Inning&lt;&gt;pbp_InningPrev)+(pbp_GameID&lt;&gt;pbp_GameIDPrev))&gt;0)))</f>
        <v/>
      </c>
      <c r="D10" s="42" t="str">
        <f>IF($B10="","",SUMPRODUCT(COUNTIFS(pbp_PlayType,EM_Type,pbp_BatTeam,$B10)*EM_PA))</f>
        <v/>
      </c>
      <c r="E10" s="42" t="str">
        <f>IF($B10="","",SUMPRODUCT(COUNTIFS(pbp_PlayType,EM_Type,pbp_BatTeam,$B10)*EM_AB))</f>
        <v/>
      </c>
      <c r="F10" s="42" t="str">
        <f>IF($B10="","",SUMIFS(pbp_Runs,pbp_BatTeam,$B10))</f>
        <v/>
      </c>
      <c r="G10" s="42" t="str">
        <f>IF($B10="","",SUMPRODUCT(COUNTIFS(pbp_PlayType,EM_Type,pbp_BatTeam,$B10)*EM_H))</f>
        <v/>
      </c>
      <c r="H10" s="42" t="str">
        <f>IF($B10="","",SUMPRODUCT(COUNTIFS(pbp_PlayType,EM_Type,pbp_BatTeam,$B10)*EM_1B))</f>
        <v/>
      </c>
      <c r="I10" s="42" t="str">
        <f>IF($B10="","",SUMPRODUCT(COUNTIFS(pbp_PlayType,EM_Type,pbp_BatTeam,$B10)*EM_2B))</f>
        <v/>
      </c>
      <c r="J10" s="42" t="str">
        <f>IF($B10="","",SUMPRODUCT(COUNTIFS(pbp_PlayType,EM_Type,pbp_BatTeam,$B10)*EM_3B))</f>
        <v/>
      </c>
      <c r="K10" s="42" t="str">
        <f>IF($B10="","",SUMPRODUCT(COUNTIFS(pbp_PlayType,EM_Type,pbp_BatTeam,$B10)*EM_HR))</f>
        <v/>
      </c>
      <c r="L10" s="42" t="str">
        <f t="shared" si="0"/>
        <v/>
      </c>
      <c r="M10" s="42" t="str">
        <f>IF($B10="","",SUMPRODUCT(COUNTIFS(pbp_PlayType,EM_Type,pbp_BatTeam,$B10)*EM_BB))</f>
        <v/>
      </c>
      <c r="N10" s="42" t="str">
        <f>IF($B10="","",SUMPRODUCT(COUNTIFS(pbp_PlayType,EM_Type,pbp_BatTeam,$B10)*EM_IBB))</f>
        <v/>
      </c>
      <c r="O10" s="42" t="str">
        <f>IF($B10="","",SUMPRODUCT(COUNTIFS(pbp_PlayType,EM_Type,pbp_BatTeam,$B10)*EM_HBP))</f>
        <v/>
      </c>
      <c r="P10" s="42" t="str">
        <f>IF($B10="","",COUNTIFS(pbp_PlayType,"?*",pbp_Desc,"*struck out*",pbp_BatTeam,$B10))</f>
        <v/>
      </c>
      <c r="Q10" s="42" t="str">
        <f>IF($B10="","",SUMPRODUCT(COUNTIFS(pbp_PlayType,EM_Type,pbp_BatTeam,$B10)*EM_SF))</f>
        <v/>
      </c>
      <c r="R10" s="42" t="str">
        <f>IF($B10="","",SUMPRODUCT(COUNTIFS(pbp_PlayType,EM_Type,pbp_BatTeam,$B10)*EM_SH))</f>
        <v/>
      </c>
      <c r="S10" s="42" t="str">
        <f>IF($B10="","",SUMPRODUCT(COUNTIFS(pbp_PlayType,EM_Type,pbp_BatTeam,$B10)*EM_DP))</f>
        <v/>
      </c>
      <c r="T10" s="42" t="str">
        <f>IF($B10="","",SUMIFS(pbp_SB,pbp_BatTeam,$B10))</f>
        <v/>
      </c>
      <c r="U10" s="42" t="str">
        <f>IF($B10="","",SUMIFS(pbp_CS,pbp_BatTeam,$B10))</f>
        <v/>
      </c>
      <c r="V10" s="58" t="str">
        <f t="shared" si="1"/>
        <v/>
      </c>
      <c r="W10" s="58" t="str">
        <f t="shared" si="2"/>
        <v/>
      </c>
      <c r="X10" s="58" t="str">
        <f t="shared" si="3"/>
        <v/>
      </c>
      <c r="Y10" s="58" t="str">
        <f t="shared" si="4"/>
        <v/>
      </c>
      <c r="Z10" s="58" t="str">
        <f t="shared" si="5"/>
        <v/>
      </c>
      <c r="AA10" s="58" t="str">
        <f t="shared" si="6"/>
        <v/>
      </c>
      <c r="AB10" s="59" t="str">
        <f t="shared" si="7"/>
        <v/>
      </c>
      <c r="AC10" s="59" t="str">
        <f t="shared" si="8"/>
        <v/>
      </c>
      <c r="AD10" s="60" t="str">
        <f t="shared" si="9"/>
        <v/>
      </c>
      <c r="AE10" s="60" t="str">
        <f>IF($B10="","",IF((D10)=0,"",(SUMIFS(pbp_Pitches,pbp_BatTeam,$B10,pbp_PlayType,"?*"))/(D10)))</f>
        <v/>
      </c>
      <c r="AF10" s="59" t="str">
        <f t="shared" si="10"/>
        <v/>
      </c>
    </row>
    <row r="11" spans="2:32" x14ac:dyDescent="0.2">
      <c r="B11" s="44" t="str">
        <f t="array" ref="B11">IFERROR(INDEX(pbp_BatTeam,MATCH(0,COUNTIF($B$5:B10,pbp_BatTeam),0)),"")</f>
        <v/>
      </c>
      <c r="C11" s="42" t="str">
        <f>IF($B11="","",SUMPRODUCT((pbp_BatTeam=$B11)*(LEN(pbp_Inning)=2)*(LEFT(pbp_Inning,1)="1")*(((pbp_Inning&lt;&gt;pbp_InningPrev)+(pbp_GameID&lt;&gt;pbp_GameIDPrev))&gt;0)))</f>
        <v/>
      </c>
      <c r="D11" s="42" t="str">
        <f>IF($B11="","",SUMPRODUCT(COUNTIFS(pbp_PlayType,EM_Type,pbp_BatTeam,$B11)*EM_PA))</f>
        <v/>
      </c>
      <c r="E11" s="42" t="str">
        <f>IF($B11="","",SUMPRODUCT(COUNTIFS(pbp_PlayType,EM_Type,pbp_BatTeam,$B11)*EM_AB))</f>
        <v/>
      </c>
      <c r="F11" s="42" t="str">
        <f>IF($B11="","",SUMIFS(pbp_Runs,pbp_BatTeam,$B11))</f>
        <v/>
      </c>
      <c r="G11" s="42" t="str">
        <f>IF($B11="","",SUMPRODUCT(COUNTIFS(pbp_PlayType,EM_Type,pbp_BatTeam,$B11)*EM_H))</f>
        <v/>
      </c>
      <c r="H11" s="42" t="str">
        <f>IF($B11="","",SUMPRODUCT(COUNTIFS(pbp_PlayType,EM_Type,pbp_BatTeam,$B11)*EM_1B))</f>
        <v/>
      </c>
      <c r="I11" s="42" t="str">
        <f>IF($B11="","",SUMPRODUCT(COUNTIFS(pbp_PlayType,EM_Type,pbp_BatTeam,$B11)*EM_2B))</f>
        <v/>
      </c>
      <c r="J11" s="42" t="str">
        <f>IF($B11="","",SUMPRODUCT(COUNTIFS(pbp_PlayType,EM_Type,pbp_BatTeam,$B11)*EM_3B))</f>
        <v/>
      </c>
      <c r="K11" s="42" t="str">
        <f>IF($B11="","",SUMPRODUCT(COUNTIFS(pbp_PlayType,EM_Type,pbp_BatTeam,$B11)*EM_HR))</f>
        <v/>
      </c>
      <c r="L11" s="42" t="str">
        <f t="shared" si="0"/>
        <v/>
      </c>
      <c r="M11" s="42" t="str">
        <f>IF($B11="","",SUMPRODUCT(COUNTIFS(pbp_PlayType,EM_Type,pbp_BatTeam,$B11)*EM_BB))</f>
        <v/>
      </c>
      <c r="N11" s="42" t="str">
        <f>IF($B11="","",SUMPRODUCT(COUNTIFS(pbp_PlayType,EM_Type,pbp_BatTeam,$B11)*EM_IBB))</f>
        <v/>
      </c>
      <c r="O11" s="42" t="str">
        <f>IF($B11="","",SUMPRODUCT(COUNTIFS(pbp_PlayType,EM_Type,pbp_BatTeam,$B11)*EM_HBP))</f>
        <v/>
      </c>
      <c r="P11" s="42" t="str">
        <f>IF($B11="","",COUNTIFS(pbp_PlayType,"?*",pbp_Desc,"*struck out*",pbp_BatTeam,$B11))</f>
        <v/>
      </c>
      <c r="Q11" s="42" t="str">
        <f>IF($B11="","",SUMPRODUCT(COUNTIFS(pbp_PlayType,EM_Type,pbp_BatTeam,$B11)*EM_SF))</f>
        <v/>
      </c>
      <c r="R11" s="42" t="str">
        <f>IF($B11="","",SUMPRODUCT(COUNTIFS(pbp_PlayType,EM_Type,pbp_BatTeam,$B11)*EM_SH))</f>
        <v/>
      </c>
      <c r="S11" s="42" t="str">
        <f>IF($B11="","",SUMPRODUCT(COUNTIFS(pbp_PlayType,EM_Type,pbp_BatTeam,$B11)*EM_DP))</f>
        <v/>
      </c>
      <c r="T11" s="42" t="str">
        <f>IF($B11="","",SUMIFS(pbp_SB,pbp_BatTeam,$B11))</f>
        <v/>
      </c>
      <c r="U11" s="42" t="str">
        <f>IF($B11="","",SUMIFS(pbp_CS,pbp_BatTeam,$B11))</f>
        <v/>
      </c>
      <c r="V11" s="58" t="str">
        <f t="shared" si="1"/>
        <v/>
      </c>
      <c r="W11" s="58" t="str">
        <f t="shared" si="2"/>
        <v/>
      </c>
      <c r="X11" s="58" t="str">
        <f t="shared" si="3"/>
        <v/>
      </c>
      <c r="Y11" s="58" t="str">
        <f t="shared" si="4"/>
        <v/>
      </c>
      <c r="Z11" s="58" t="str">
        <f t="shared" si="5"/>
        <v/>
      </c>
      <c r="AA11" s="58" t="str">
        <f t="shared" si="6"/>
        <v/>
      </c>
      <c r="AB11" s="59" t="str">
        <f t="shared" si="7"/>
        <v/>
      </c>
      <c r="AC11" s="59" t="str">
        <f t="shared" si="8"/>
        <v/>
      </c>
      <c r="AD11" s="60" t="str">
        <f t="shared" si="9"/>
        <v/>
      </c>
      <c r="AE11" s="60" t="str">
        <f>IF($B11="","",IF((D11)=0,"",(SUMIFS(pbp_Pitches,pbp_BatTeam,$B11,pbp_PlayType,"?*"))/(D11)))</f>
        <v/>
      </c>
      <c r="AF11" s="59" t="str">
        <f t="shared" si="10"/>
        <v/>
      </c>
    </row>
    <row r="12" spans="2:32" x14ac:dyDescent="0.2">
      <c r="B12" s="44" t="str">
        <f t="array" ref="B12">IFERROR(INDEX(pbp_BatTeam,MATCH(0,COUNTIF($B$5:B11,pbp_BatTeam),0)),"")</f>
        <v/>
      </c>
      <c r="C12" s="42" t="str">
        <f>IF($B12="","",SUMPRODUCT((pbp_BatTeam=$B12)*(LEN(pbp_Inning)=2)*(LEFT(pbp_Inning,1)="1")*(((pbp_Inning&lt;&gt;pbp_InningPrev)+(pbp_GameID&lt;&gt;pbp_GameIDPrev))&gt;0)))</f>
        <v/>
      </c>
      <c r="D12" s="42" t="str">
        <f>IF($B12="","",SUMPRODUCT(COUNTIFS(pbp_PlayType,EM_Type,pbp_BatTeam,$B12)*EM_PA))</f>
        <v/>
      </c>
      <c r="E12" s="42" t="str">
        <f>IF($B12="","",SUMPRODUCT(COUNTIFS(pbp_PlayType,EM_Type,pbp_BatTeam,$B12)*EM_AB))</f>
        <v/>
      </c>
      <c r="F12" s="42" t="str">
        <f>IF($B12="","",SUMIFS(pbp_Runs,pbp_BatTeam,$B12))</f>
        <v/>
      </c>
      <c r="G12" s="42" t="str">
        <f>IF($B12="","",SUMPRODUCT(COUNTIFS(pbp_PlayType,EM_Type,pbp_BatTeam,$B12)*EM_H))</f>
        <v/>
      </c>
      <c r="H12" s="42" t="str">
        <f>IF($B12="","",SUMPRODUCT(COUNTIFS(pbp_PlayType,EM_Type,pbp_BatTeam,$B12)*EM_1B))</f>
        <v/>
      </c>
      <c r="I12" s="42" t="str">
        <f>IF($B12="","",SUMPRODUCT(COUNTIFS(pbp_PlayType,EM_Type,pbp_BatTeam,$B12)*EM_2B))</f>
        <v/>
      </c>
      <c r="J12" s="42" t="str">
        <f>IF($B12="","",SUMPRODUCT(COUNTIFS(pbp_PlayType,EM_Type,pbp_BatTeam,$B12)*EM_3B))</f>
        <v/>
      </c>
      <c r="K12" s="42" t="str">
        <f>IF($B12="","",SUMPRODUCT(COUNTIFS(pbp_PlayType,EM_Type,pbp_BatTeam,$B12)*EM_HR))</f>
        <v/>
      </c>
      <c r="L12" s="42" t="str">
        <f t="shared" si="0"/>
        <v/>
      </c>
      <c r="M12" s="42" t="str">
        <f>IF($B12="","",SUMPRODUCT(COUNTIFS(pbp_PlayType,EM_Type,pbp_BatTeam,$B12)*EM_BB))</f>
        <v/>
      </c>
      <c r="N12" s="42" t="str">
        <f>IF($B12="","",SUMPRODUCT(COUNTIFS(pbp_PlayType,EM_Type,pbp_BatTeam,$B12)*EM_IBB))</f>
        <v/>
      </c>
      <c r="O12" s="42" t="str">
        <f>IF($B12="","",SUMPRODUCT(COUNTIFS(pbp_PlayType,EM_Type,pbp_BatTeam,$B12)*EM_HBP))</f>
        <v/>
      </c>
      <c r="P12" s="42" t="str">
        <f>IF($B12="","",COUNTIFS(pbp_PlayType,"?*",pbp_Desc,"*struck out*",pbp_BatTeam,$B12))</f>
        <v/>
      </c>
      <c r="Q12" s="42" t="str">
        <f>IF($B12="","",SUMPRODUCT(COUNTIFS(pbp_PlayType,EM_Type,pbp_BatTeam,$B12)*EM_SF))</f>
        <v/>
      </c>
      <c r="R12" s="42" t="str">
        <f>IF($B12="","",SUMPRODUCT(COUNTIFS(pbp_PlayType,EM_Type,pbp_BatTeam,$B12)*EM_SH))</f>
        <v/>
      </c>
      <c r="S12" s="42" t="str">
        <f>IF($B12="","",SUMPRODUCT(COUNTIFS(pbp_PlayType,EM_Type,pbp_BatTeam,$B12)*EM_DP))</f>
        <v/>
      </c>
      <c r="T12" s="42" t="str">
        <f>IF($B12="","",SUMIFS(pbp_SB,pbp_BatTeam,$B12))</f>
        <v/>
      </c>
      <c r="U12" s="42" t="str">
        <f>IF($B12="","",SUMIFS(pbp_CS,pbp_BatTeam,$B12))</f>
        <v/>
      </c>
      <c r="V12" s="58" t="str">
        <f t="shared" si="1"/>
        <v/>
      </c>
      <c r="W12" s="58" t="str">
        <f t="shared" si="2"/>
        <v/>
      </c>
      <c r="X12" s="58" t="str">
        <f t="shared" si="3"/>
        <v/>
      </c>
      <c r="Y12" s="58" t="str">
        <f t="shared" si="4"/>
        <v/>
      </c>
      <c r="Z12" s="58" t="str">
        <f t="shared" si="5"/>
        <v/>
      </c>
      <c r="AA12" s="58" t="str">
        <f t="shared" si="6"/>
        <v/>
      </c>
      <c r="AB12" s="59" t="str">
        <f t="shared" si="7"/>
        <v/>
      </c>
      <c r="AC12" s="59" t="str">
        <f t="shared" si="8"/>
        <v/>
      </c>
      <c r="AD12" s="60" t="str">
        <f t="shared" si="9"/>
        <v/>
      </c>
      <c r="AE12" s="60" t="str">
        <f>IF($B12="","",IF((D12)=0,"",(SUMIFS(pbp_Pitches,pbp_BatTeam,$B12,pbp_PlayType,"?*"))/(D12)))</f>
        <v/>
      </c>
      <c r="AF12" s="59" t="str">
        <f t="shared" si="10"/>
        <v/>
      </c>
    </row>
    <row r="13" spans="2:32" x14ac:dyDescent="0.2">
      <c r="B13" s="44" t="str">
        <f t="array" ref="B13">IFERROR(INDEX(pbp_BatTeam,MATCH(0,COUNTIF($B$5:B12,pbp_BatTeam),0)),"")</f>
        <v/>
      </c>
      <c r="C13" s="42" t="str">
        <f>IF($B13="","",SUMPRODUCT((pbp_BatTeam=$B13)*(LEN(pbp_Inning)=2)*(LEFT(pbp_Inning,1)="1")*(((pbp_Inning&lt;&gt;pbp_InningPrev)+(pbp_GameID&lt;&gt;pbp_GameIDPrev))&gt;0)))</f>
        <v/>
      </c>
      <c r="D13" s="42" t="str">
        <f>IF($B13="","",SUMPRODUCT(COUNTIFS(pbp_PlayType,EM_Type,pbp_BatTeam,$B13)*EM_PA))</f>
        <v/>
      </c>
      <c r="E13" s="42" t="str">
        <f>IF($B13="","",SUMPRODUCT(COUNTIFS(pbp_PlayType,EM_Type,pbp_BatTeam,$B13)*EM_AB))</f>
        <v/>
      </c>
      <c r="F13" s="42" t="str">
        <f>IF($B13="","",SUMIFS(pbp_Runs,pbp_BatTeam,$B13))</f>
        <v/>
      </c>
      <c r="G13" s="42" t="str">
        <f>IF($B13="","",SUMPRODUCT(COUNTIFS(pbp_PlayType,EM_Type,pbp_BatTeam,$B13)*EM_H))</f>
        <v/>
      </c>
      <c r="H13" s="42" t="str">
        <f>IF($B13="","",SUMPRODUCT(COUNTIFS(pbp_PlayType,EM_Type,pbp_BatTeam,$B13)*EM_1B))</f>
        <v/>
      </c>
      <c r="I13" s="42" t="str">
        <f>IF($B13="","",SUMPRODUCT(COUNTIFS(pbp_PlayType,EM_Type,pbp_BatTeam,$B13)*EM_2B))</f>
        <v/>
      </c>
      <c r="J13" s="42" t="str">
        <f>IF($B13="","",SUMPRODUCT(COUNTIFS(pbp_PlayType,EM_Type,pbp_BatTeam,$B13)*EM_3B))</f>
        <v/>
      </c>
      <c r="K13" s="42" t="str">
        <f>IF($B13="","",SUMPRODUCT(COUNTIFS(pbp_PlayType,EM_Type,pbp_BatTeam,$B13)*EM_HR))</f>
        <v/>
      </c>
      <c r="L13" s="42" t="str">
        <f t="shared" si="0"/>
        <v/>
      </c>
      <c r="M13" s="42" t="str">
        <f>IF($B13="","",SUMPRODUCT(COUNTIFS(pbp_PlayType,EM_Type,pbp_BatTeam,$B13)*EM_BB))</f>
        <v/>
      </c>
      <c r="N13" s="42" t="str">
        <f>IF($B13="","",SUMPRODUCT(COUNTIFS(pbp_PlayType,EM_Type,pbp_BatTeam,$B13)*EM_IBB))</f>
        <v/>
      </c>
      <c r="O13" s="42" t="str">
        <f>IF($B13="","",SUMPRODUCT(COUNTIFS(pbp_PlayType,EM_Type,pbp_BatTeam,$B13)*EM_HBP))</f>
        <v/>
      </c>
      <c r="P13" s="42" t="str">
        <f>IF($B13="","",COUNTIFS(pbp_PlayType,"?*",pbp_Desc,"*struck out*",pbp_BatTeam,$B13))</f>
        <v/>
      </c>
      <c r="Q13" s="42" t="str">
        <f>IF($B13="","",SUMPRODUCT(COUNTIFS(pbp_PlayType,EM_Type,pbp_BatTeam,$B13)*EM_SF))</f>
        <v/>
      </c>
      <c r="R13" s="42" t="str">
        <f>IF($B13="","",SUMPRODUCT(COUNTIFS(pbp_PlayType,EM_Type,pbp_BatTeam,$B13)*EM_SH))</f>
        <v/>
      </c>
      <c r="S13" s="42" t="str">
        <f>IF($B13="","",SUMPRODUCT(COUNTIFS(pbp_PlayType,EM_Type,pbp_BatTeam,$B13)*EM_DP))</f>
        <v/>
      </c>
      <c r="T13" s="42" t="str">
        <f>IF($B13="","",SUMIFS(pbp_SB,pbp_BatTeam,$B13))</f>
        <v/>
      </c>
      <c r="U13" s="42" t="str">
        <f>IF($B13="","",SUMIFS(pbp_CS,pbp_BatTeam,$B13))</f>
        <v/>
      </c>
      <c r="V13" s="58" t="str">
        <f t="shared" si="1"/>
        <v/>
      </c>
      <c r="W13" s="58" t="str">
        <f t="shared" si="2"/>
        <v/>
      </c>
      <c r="X13" s="58" t="str">
        <f t="shared" si="3"/>
        <v/>
      </c>
      <c r="Y13" s="58" t="str">
        <f t="shared" si="4"/>
        <v/>
      </c>
      <c r="Z13" s="58" t="str">
        <f t="shared" si="5"/>
        <v/>
      </c>
      <c r="AA13" s="58" t="str">
        <f t="shared" si="6"/>
        <v/>
      </c>
      <c r="AB13" s="59" t="str">
        <f t="shared" si="7"/>
        <v/>
      </c>
      <c r="AC13" s="59" t="str">
        <f t="shared" si="8"/>
        <v/>
      </c>
      <c r="AD13" s="60" t="str">
        <f t="shared" si="9"/>
        <v/>
      </c>
      <c r="AE13" s="60" t="str">
        <f>IF($B13="","",IF((D13)=0,"",(SUMIFS(pbp_Pitches,pbp_BatTeam,$B13,pbp_PlayType,"?*"))/(D13)))</f>
        <v/>
      </c>
      <c r="AF13" s="59" t="str">
        <f t="shared" si="10"/>
        <v/>
      </c>
    </row>
    <row r="14" spans="2:32" x14ac:dyDescent="0.2">
      <c r="B14" s="44" t="str">
        <f t="array" ref="B14">IFERROR(INDEX(pbp_BatTeam,MATCH(0,COUNTIF($B$5:B13,pbp_BatTeam),0)),"")</f>
        <v/>
      </c>
      <c r="C14" s="42" t="str">
        <f>IF($B14="","",SUMPRODUCT((pbp_BatTeam=$B14)*(LEN(pbp_Inning)=2)*(LEFT(pbp_Inning,1)="1")*(((pbp_Inning&lt;&gt;pbp_InningPrev)+(pbp_GameID&lt;&gt;pbp_GameIDPrev))&gt;0)))</f>
        <v/>
      </c>
      <c r="D14" s="42" t="str">
        <f>IF($B14="","",SUMPRODUCT(COUNTIFS(pbp_PlayType,EM_Type,pbp_BatTeam,$B14)*EM_PA))</f>
        <v/>
      </c>
      <c r="E14" s="42" t="str">
        <f>IF($B14="","",SUMPRODUCT(COUNTIFS(pbp_PlayType,EM_Type,pbp_BatTeam,$B14)*EM_AB))</f>
        <v/>
      </c>
      <c r="F14" s="42" t="str">
        <f>IF($B14="","",SUMIFS(pbp_Runs,pbp_BatTeam,$B14))</f>
        <v/>
      </c>
      <c r="G14" s="42" t="str">
        <f>IF($B14="","",SUMPRODUCT(COUNTIFS(pbp_PlayType,EM_Type,pbp_BatTeam,$B14)*EM_H))</f>
        <v/>
      </c>
      <c r="H14" s="42" t="str">
        <f>IF($B14="","",SUMPRODUCT(COUNTIFS(pbp_PlayType,EM_Type,pbp_BatTeam,$B14)*EM_1B))</f>
        <v/>
      </c>
      <c r="I14" s="42" t="str">
        <f>IF($B14="","",SUMPRODUCT(COUNTIFS(pbp_PlayType,EM_Type,pbp_BatTeam,$B14)*EM_2B))</f>
        <v/>
      </c>
      <c r="J14" s="42" t="str">
        <f>IF($B14="","",SUMPRODUCT(COUNTIFS(pbp_PlayType,EM_Type,pbp_BatTeam,$B14)*EM_3B))</f>
        <v/>
      </c>
      <c r="K14" s="42" t="str">
        <f>IF($B14="","",SUMPRODUCT(COUNTIFS(pbp_PlayType,EM_Type,pbp_BatTeam,$B14)*EM_HR))</f>
        <v/>
      </c>
      <c r="L14" s="42" t="str">
        <f t="shared" si="0"/>
        <v/>
      </c>
      <c r="M14" s="42" t="str">
        <f>IF($B14="","",SUMPRODUCT(COUNTIFS(pbp_PlayType,EM_Type,pbp_BatTeam,$B14)*EM_BB))</f>
        <v/>
      </c>
      <c r="N14" s="42" t="str">
        <f>IF($B14="","",SUMPRODUCT(COUNTIFS(pbp_PlayType,EM_Type,pbp_BatTeam,$B14)*EM_IBB))</f>
        <v/>
      </c>
      <c r="O14" s="42" t="str">
        <f>IF($B14="","",SUMPRODUCT(COUNTIFS(pbp_PlayType,EM_Type,pbp_BatTeam,$B14)*EM_HBP))</f>
        <v/>
      </c>
      <c r="P14" s="42" t="str">
        <f>IF($B14="","",COUNTIFS(pbp_PlayType,"?*",pbp_Desc,"*struck out*",pbp_BatTeam,$B14))</f>
        <v/>
      </c>
      <c r="Q14" s="42" t="str">
        <f>IF($B14="","",SUMPRODUCT(COUNTIFS(pbp_PlayType,EM_Type,pbp_BatTeam,$B14)*EM_SF))</f>
        <v/>
      </c>
      <c r="R14" s="42" t="str">
        <f>IF($B14="","",SUMPRODUCT(COUNTIFS(pbp_PlayType,EM_Type,pbp_BatTeam,$B14)*EM_SH))</f>
        <v/>
      </c>
      <c r="S14" s="42" t="str">
        <f>IF($B14="","",SUMPRODUCT(COUNTIFS(pbp_PlayType,EM_Type,pbp_BatTeam,$B14)*EM_DP))</f>
        <v/>
      </c>
      <c r="T14" s="42" t="str">
        <f>IF($B14="","",SUMIFS(pbp_SB,pbp_BatTeam,$B14))</f>
        <v/>
      </c>
      <c r="U14" s="42" t="str">
        <f>IF($B14="","",SUMIFS(pbp_CS,pbp_BatTeam,$B14))</f>
        <v/>
      </c>
      <c r="V14" s="58" t="str">
        <f t="shared" si="1"/>
        <v/>
      </c>
      <c r="W14" s="58" t="str">
        <f t="shared" si="2"/>
        <v/>
      </c>
      <c r="X14" s="58" t="str">
        <f t="shared" si="3"/>
        <v/>
      </c>
      <c r="Y14" s="58" t="str">
        <f t="shared" si="4"/>
        <v/>
      </c>
      <c r="Z14" s="58" t="str">
        <f t="shared" si="5"/>
        <v/>
      </c>
      <c r="AA14" s="58" t="str">
        <f t="shared" si="6"/>
        <v/>
      </c>
      <c r="AB14" s="59" t="str">
        <f t="shared" si="7"/>
        <v/>
      </c>
      <c r="AC14" s="59" t="str">
        <f t="shared" si="8"/>
        <v/>
      </c>
      <c r="AD14" s="60" t="str">
        <f t="shared" si="9"/>
        <v/>
      </c>
      <c r="AE14" s="60" t="str">
        <f>IF($B14="","",IF((D14)=0,"",(SUMIFS(pbp_Pitches,pbp_BatTeam,$B14,pbp_PlayType,"?*"))/(D14)))</f>
        <v/>
      </c>
      <c r="AF14" s="59" t="str">
        <f t="shared" si="10"/>
        <v/>
      </c>
    </row>
    <row r="15" spans="2:32" x14ac:dyDescent="0.2">
      <c r="B15" s="44" t="str">
        <f t="array" ref="B15">IFERROR(INDEX(pbp_BatTeam,MATCH(0,COUNTIF($B$5:B14,pbp_BatTeam),0)),"")</f>
        <v/>
      </c>
      <c r="C15" s="42" t="str">
        <f>IF($B15="","",SUMPRODUCT((pbp_BatTeam=$B15)*(LEN(pbp_Inning)=2)*(LEFT(pbp_Inning,1)="1")*(((pbp_Inning&lt;&gt;pbp_InningPrev)+(pbp_GameID&lt;&gt;pbp_GameIDPrev))&gt;0)))</f>
        <v/>
      </c>
      <c r="D15" s="42" t="str">
        <f>IF($B15="","",SUMPRODUCT(COUNTIFS(pbp_PlayType,EM_Type,pbp_BatTeam,$B15)*EM_PA))</f>
        <v/>
      </c>
      <c r="E15" s="42" t="str">
        <f>IF($B15="","",SUMPRODUCT(COUNTIFS(pbp_PlayType,EM_Type,pbp_BatTeam,$B15)*EM_AB))</f>
        <v/>
      </c>
      <c r="F15" s="42" t="str">
        <f>IF($B15="","",SUMIFS(pbp_Runs,pbp_BatTeam,$B15))</f>
        <v/>
      </c>
      <c r="G15" s="42" t="str">
        <f>IF($B15="","",SUMPRODUCT(COUNTIFS(pbp_PlayType,EM_Type,pbp_BatTeam,$B15)*EM_H))</f>
        <v/>
      </c>
      <c r="H15" s="42" t="str">
        <f>IF($B15="","",SUMPRODUCT(COUNTIFS(pbp_PlayType,EM_Type,pbp_BatTeam,$B15)*EM_1B))</f>
        <v/>
      </c>
      <c r="I15" s="42" t="str">
        <f>IF($B15="","",SUMPRODUCT(COUNTIFS(pbp_PlayType,EM_Type,pbp_BatTeam,$B15)*EM_2B))</f>
        <v/>
      </c>
      <c r="J15" s="42" t="str">
        <f>IF($B15="","",SUMPRODUCT(COUNTIFS(pbp_PlayType,EM_Type,pbp_BatTeam,$B15)*EM_3B))</f>
        <v/>
      </c>
      <c r="K15" s="42" t="str">
        <f>IF($B15="","",SUMPRODUCT(COUNTIFS(pbp_PlayType,EM_Type,pbp_BatTeam,$B15)*EM_HR))</f>
        <v/>
      </c>
      <c r="L15" s="42" t="str">
        <f t="shared" si="0"/>
        <v/>
      </c>
      <c r="M15" s="42" t="str">
        <f>IF($B15="","",SUMPRODUCT(COUNTIFS(pbp_PlayType,EM_Type,pbp_BatTeam,$B15)*EM_BB))</f>
        <v/>
      </c>
      <c r="N15" s="42" t="str">
        <f>IF($B15="","",SUMPRODUCT(COUNTIFS(pbp_PlayType,EM_Type,pbp_BatTeam,$B15)*EM_IBB))</f>
        <v/>
      </c>
      <c r="O15" s="42" t="str">
        <f>IF($B15="","",SUMPRODUCT(COUNTIFS(pbp_PlayType,EM_Type,pbp_BatTeam,$B15)*EM_HBP))</f>
        <v/>
      </c>
      <c r="P15" s="42" t="str">
        <f>IF($B15="","",COUNTIFS(pbp_PlayType,"?*",pbp_Desc,"*struck out*",pbp_BatTeam,$B15))</f>
        <v/>
      </c>
      <c r="Q15" s="42" t="str">
        <f>IF($B15="","",SUMPRODUCT(COUNTIFS(pbp_PlayType,EM_Type,pbp_BatTeam,$B15)*EM_SF))</f>
        <v/>
      </c>
      <c r="R15" s="42" t="str">
        <f>IF($B15="","",SUMPRODUCT(COUNTIFS(pbp_PlayType,EM_Type,pbp_BatTeam,$B15)*EM_SH))</f>
        <v/>
      </c>
      <c r="S15" s="42" t="str">
        <f>IF($B15="","",SUMPRODUCT(COUNTIFS(pbp_PlayType,EM_Type,pbp_BatTeam,$B15)*EM_DP))</f>
        <v/>
      </c>
      <c r="T15" s="42" t="str">
        <f>IF($B15="","",SUMIFS(pbp_SB,pbp_BatTeam,$B15))</f>
        <v/>
      </c>
      <c r="U15" s="42" t="str">
        <f>IF($B15="","",SUMIFS(pbp_CS,pbp_BatTeam,$B15))</f>
        <v/>
      </c>
      <c r="V15" s="58" t="str">
        <f t="shared" si="1"/>
        <v/>
      </c>
      <c r="W15" s="58" t="str">
        <f t="shared" si="2"/>
        <v/>
      </c>
      <c r="X15" s="58" t="str">
        <f t="shared" si="3"/>
        <v/>
      </c>
      <c r="Y15" s="58" t="str">
        <f t="shared" si="4"/>
        <v/>
      </c>
      <c r="Z15" s="58" t="str">
        <f t="shared" si="5"/>
        <v/>
      </c>
      <c r="AA15" s="58" t="str">
        <f t="shared" si="6"/>
        <v/>
      </c>
      <c r="AB15" s="59" t="str">
        <f t="shared" si="7"/>
        <v/>
      </c>
      <c r="AC15" s="59" t="str">
        <f t="shared" si="8"/>
        <v/>
      </c>
      <c r="AD15" s="60" t="str">
        <f t="shared" si="9"/>
        <v/>
      </c>
      <c r="AE15" s="60" t="str">
        <f>IF($B15="","",IF((D15)=0,"",(SUMIFS(pbp_Pitches,pbp_BatTeam,$B15,pbp_PlayType,"?*"))/(D15)))</f>
        <v/>
      </c>
      <c r="AF15" s="59" t="str">
        <f t="shared" si="10"/>
        <v/>
      </c>
    </row>
    <row r="16" spans="2:32" x14ac:dyDescent="0.2">
      <c r="B16" s="44" t="str">
        <f t="array" ref="B16">IFERROR(INDEX(pbp_BatTeam,MATCH(0,COUNTIF($B$5:B15,pbp_BatTeam),0)),"")</f>
        <v/>
      </c>
      <c r="C16" s="42" t="str">
        <f>IF($B16="","",SUMPRODUCT((pbp_BatTeam=$B16)*(LEN(pbp_Inning)=2)*(LEFT(pbp_Inning,1)="1")*(((pbp_Inning&lt;&gt;pbp_InningPrev)+(pbp_GameID&lt;&gt;pbp_GameIDPrev))&gt;0)))</f>
        <v/>
      </c>
      <c r="D16" s="42" t="str">
        <f>IF($B16="","",SUMPRODUCT(COUNTIFS(pbp_PlayType,EM_Type,pbp_BatTeam,$B16)*EM_PA))</f>
        <v/>
      </c>
      <c r="E16" s="42" t="str">
        <f>IF($B16="","",SUMPRODUCT(COUNTIFS(pbp_PlayType,EM_Type,pbp_BatTeam,$B16)*EM_AB))</f>
        <v/>
      </c>
      <c r="F16" s="42" t="str">
        <f>IF($B16="","",SUMIFS(pbp_Runs,pbp_BatTeam,$B16))</f>
        <v/>
      </c>
      <c r="G16" s="42" t="str">
        <f>IF($B16="","",SUMPRODUCT(COUNTIFS(pbp_PlayType,EM_Type,pbp_BatTeam,$B16)*EM_H))</f>
        <v/>
      </c>
      <c r="H16" s="42" t="str">
        <f>IF($B16="","",SUMPRODUCT(COUNTIFS(pbp_PlayType,EM_Type,pbp_BatTeam,$B16)*EM_1B))</f>
        <v/>
      </c>
      <c r="I16" s="42" t="str">
        <f>IF($B16="","",SUMPRODUCT(COUNTIFS(pbp_PlayType,EM_Type,pbp_BatTeam,$B16)*EM_2B))</f>
        <v/>
      </c>
      <c r="J16" s="42" t="str">
        <f>IF($B16="","",SUMPRODUCT(COUNTIFS(pbp_PlayType,EM_Type,pbp_BatTeam,$B16)*EM_3B))</f>
        <v/>
      </c>
      <c r="K16" s="42" t="str">
        <f>IF($B16="","",SUMPRODUCT(COUNTIFS(pbp_PlayType,EM_Type,pbp_BatTeam,$B16)*EM_HR))</f>
        <v/>
      </c>
      <c r="L16" s="42" t="str">
        <f t="shared" si="0"/>
        <v/>
      </c>
      <c r="M16" s="42" t="str">
        <f>IF($B16="","",SUMPRODUCT(COUNTIFS(pbp_PlayType,EM_Type,pbp_BatTeam,$B16)*EM_BB))</f>
        <v/>
      </c>
      <c r="N16" s="42" t="str">
        <f>IF($B16="","",SUMPRODUCT(COUNTIFS(pbp_PlayType,EM_Type,pbp_BatTeam,$B16)*EM_IBB))</f>
        <v/>
      </c>
      <c r="O16" s="42" t="str">
        <f>IF($B16="","",SUMPRODUCT(COUNTIFS(pbp_PlayType,EM_Type,pbp_BatTeam,$B16)*EM_HBP))</f>
        <v/>
      </c>
      <c r="P16" s="42" t="str">
        <f>IF($B16="","",COUNTIFS(pbp_PlayType,"?*",pbp_Desc,"*struck out*",pbp_BatTeam,$B16))</f>
        <v/>
      </c>
      <c r="Q16" s="42" t="str">
        <f>IF($B16="","",SUMPRODUCT(COUNTIFS(pbp_PlayType,EM_Type,pbp_BatTeam,$B16)*EM_SF))</f>
        <v/>
      </c>
      <c r="R16" s="42" t="str">
        <f>IF($B16="","",SUMPRODUCT(COUNTIFS(pbp_PlayType,EM_Type,pbp_BatTeam,$B16)*EM_SH))</f>
        <v/>
      </c>
      <c r="S16" s="42" t="str">
        <f>IF($B16="","",SUMPRODUCT(COUNTIFS(pbp_PlayType,EM_Type,pbp_BatTeam,$B16)*EM_DP))</f>
        <v/>
      </c>
      <c r="T16" s="42" t="str">
        <f>IF($B16="","",SUMIFS(pbp_SB,pbp_BatTeam,$B16))</f>
        <v/>
      </c>
      <c r="U16" s="42" t="str">
        <f>IF($B16="","",SUMIFS(pbp_CS,pbp_BatTeam,$B16))</f>
        <v/>
      </c>
      <c r="V16" s="58" t="str">
        <f t="shared" si="1"/>
        <v/>
      </c>
      <c r="W16" s="58" t="str">
        <f t="shared" si="2"/>
        <v/>
      </c>
      <c r="X16" s="58" t="str">
        <f t="shared" si="3"/>
        <v/>
      </c>
      <c r="Y16" s="58" t="str">
        <f t="shared" si="4"/>
        <v/>
      </c>
      <c r="Z16" s="58" t="str">
        <f t="shared" si="5"/>
        <v/>
      </c>
      <c r="AA16" s="58" t="str">
        <f t="shared" si="6"/>
        <v/>
      </c>
      <c r="AB16" s="59" t="str">
        <f t="shared" si="7"/>
        <v/>
      </c>
      <c r="AC16" s="59" t="str">
        <f t="shared" si="8"/>
        <v/>
      </c>
      <c r="AD16" s="60" t="str">
        <f t="shared" si="9"/>
        <v/>
      </c>
      <c r="AE16" s="60" t="str">
        <f>IF($B16="","",IF((D16)=0,"",(SUMIFS(pbp_Pitches,pbp_BatTeam,$B16,pbp_PlayType,"?*"))/(D16)))</f>
        <v/>
      </c>
      <c r="AF16" s="59" t="str">
        <f t="shared" si="10"/>
        <v/>
      </c>
    </row>
    <row r="17" spans="2:32" x14ac:dyDescent="0.2">
      <c r="B17" s="44" t="str">
        <f t="array" ref="B17">IFERROR(INDEX(pbp_BatTeam,MATCH(0,COUNTIF($B$5:B16,pbp_BatTeam),0)),"")</f>
        <v/>
      </c>
      <c r="C17" s="42" t="str">
        <f>IF($B17="","",SUMPRODUCT((pbp_BatTeam=$B17)*(LEN(pbp_Inning)=2)*(LEFT(pbp_Inning,1)="1")*(((pbp_Inning&lt;&gt;pbp_InningPrev)+(pbp_GameID&lt;&gt;pbp_GameIDPrev))&gt;0)))</f>
        <v/>
      </c>
      <c r="D17" s="42" t="str">
        <f>IF($B17="","",SUMPRODUCT(COUNTIFS(pbp_PlayType,EM_Type,pbp_BatTeam,$B17)*EM_PA))</f>
        <v/>
      </c>
      <c r="E17" s="42" t="str">
        <f>IF($B17="","",SUMPRODUCT(COUNTIFS(pbp_PlayType,EM_Type,pbp_BatTeam,$B17)*EM_AB))</f>
        <v/>
      </c>
      <c r="F17" s="42" t="str">
        <f>IF($B17="","",SUMIFS(pbp_Runs,pbp_BatTeam,$B17))</f>
        <v/>
      </c>
      <c r="G17" s="42" t="str">
        <f>IF($B17="","",SUMPRODUCT(COUNTIFS(pbp_PlayType,EM_Type,pbp_BatTeam,$B17)*EM_H))</f>
        <v/>
      </c>
      <c r="H17" s="42" t="str">
        <f>IF($B17="","",SUMPRODUCT(COUNTIFS(pbp_PlayType,EM_Type,pbp_BatTeam,$B17)*EM_1B))</f>
        <v/>
      </c>
      <c r="I17" s="42" t="str">
        <f>IF($B17="","",SUMPRODUCT(COUNTIFS(pbp_PlayType,EM_Type,pbp_BatTeam,$B17)*EM_2B))</f>
        <v/>
      </c>
      <c r="J17" s="42" t="str">
        <f>IF($B17="","",SUMPRODUCT(COUNTIFS(pbp_PlayType,EM_Type,pbp_BatTeam,$B17)*EM_3B))</f>
        <v/>
      </c>
      <c r="K17" s="42" t="str">
        <f>IF($B17="","",SUMPRODUCT(COUNTIFS(pbp_PlayType,EM_Type,pbp_BatTeam,$B17)*EM_HR))</f>
        <v/>
      </c>
      <c r="L17" s="42" t="str">
        <f t="shared" si="0"/>
        <v/>
      </c>
      <c r="M17" s="42" t="str">
        <f>IF($B17="","",SUMPRODUCT(COUNTIFS(pbp_PlayType,EM_Type,pbp_BatTeam,$B17)*EM_BB))</f>
        <v/>
      </c>
      <c r="N17" s="42" t="str">
        <f>IF($B17="","",SUMPRODUCT(COUNTIFS(pbp_PlayType,EM_Type,pbp_BatTeam,$B17)*EM_IBB))</f>
        <v/>
      </c>
      <c r="O17" s="42" t="str">
        <f>IF($B17="","",SUMPRODUCT(COUNTIFS(pbp_PlayType,EM_Type,pbp_BatTeam,$B17)*EM_HBP))</f>
        <v/>
      </c>
      <c r="P17" s="42" t="str">
        <f>IF($B17="","",COUNTIFS(pbp_PlayType,"?*",pbp_Desc,"*struck out*",pbp_BatTeam,$B17))</f>
        <v/>
      </c>
      <c r="Q17" s="42" t="str">
        <f>IF($B17="","",SUMPRODUCT(COUNTIFS(pbp_PlayType,EM_Type,pbp_BatTeam,$B17)*EM_SF))</f>
        <v/>
      </c>
      <c r="R17" s="42" t="str">
        <f>IF($B17="","",SUMPRODUCT(COUNTIFS(pbp_PlayType,EM_Type,pbp_BatTeam,$B17)*EM_SH))</f>
        <v/>
      </c>
      <c r="S17" s="42" t="str">
        <f>IF($B17="","",SUMPRODUCT(COUNTIFS(pbp_PlayType,EM_Type,pbp_BatTeam,$B17)*EM_DP))</f>
        <v/>
      </c>
      <c r="T17" s="42" t="str">
        <f>IF($B17="","",SUMIFS(pbp_SB,pbp_BatTeam,$B17))</f>
        <v/>
      </c>
      <c r="U17" s="42" t="str">
        <f>IF($B17="","",SUMIFS(pbp_CS,pbp_BatTeam,$B17))</f>
        <v/>
      </c>
      <c r="V17" s="58" t="str">
        <f t="shared" si="1"/>
        <v/>
      </c>
      <c r="W17" s="58" t="str">
        <f t="shared" si="2"/>
        <v/>
      </c>
      <c r="X17" s="58" t="str">
        <f t="shared" si="3"/>
        <v/>
      </c>
      <c r="Y17" s="58" t="str">
        <f t="shared" si="4"/>
        <v/>
      </c>
      <c r="Z17" s="58" t="str">
        <f t="shared" si="5"/>
        <v/>
      </c>
      <c r="AA17" s="58" t="str">
        <f t="shared" si="6"/>
        <v/>
      </c>
      <c r="AB17" s="59" t="str">
        <f t="shared" si="7"/>
        <v/>
      </c>
      <c r="AC17" s="59" t="str">
        <f t="shared" si="8"/>
        <v/>
      </c>
      <c r="AD17" s="60" t="str">
        <f t="shared" si="9"/>
        <v/>
      </c>
      <c r="AE17" s="60" t="str">
        <f>IF($B17="","",IF((D17)=0,"",(SUMIFS(pbp_Pitches,pbp_BatTeam,$B17,pbp_PlayType,"?*"))/(D17)))</f>
        <v/>
      </c>
      <c r="AF17" s="59" t="str">
        <f t="shared" si="10"/>
        <v/>
      </c>
    </row>
    <row r="18" spans="2:32" x14ac:dyDescent="0.2">
      <c r="B18" s="44" t="str">
        <f t="array" ref="B18">IFERROR(INDEX(pbp_BatTeam,MATCH(0,COUNTIF($B$5:B17,pbp_BatTeam),0)),"")</f>
        <v/>
      </c>
      <c r="C18" s="42" t="str">
        <f>IF($B18="","",SUMPRODUCT((pbp_BatTeam=$B18)*(LEN(pbp_Inning)=2)*(LEFT(pbp_Inning,1)="1")*(((pbp_Inning&lt;&gt;pbp_InningPrev)+(pbp_GameID&lt;&gt;pbp_GameIDPrev))&gt;0)))</f>
        <v/>
      </c>
      <c r="D18" s="42" t="str">
        <f>IF($B18="","",SUMPRODUCT(COUNTIFS(pbp_PlayType,EM_Type,pbp_BatTeam,$B18)*EM_PA))</f>
        <v/>
      </c>
      <c r="E18" s="42" t="str">
        <f>IF($B18="","",SUMPRODUCT(COUNTIFS(pbp_PlayType,EM_Type,pbp_BatTeam,$B18)*EM_AB))</f>
        <v/>
      </c>
      <c r="F18" s="42" t="str">
        <f>IF($B18="","",SUMIFS(pbp_Runs,pbp_BatTeam,$B18))</f>
        <v/>
      </c>
      <c r="G18" s="42" t="str">
        <f>IF($B18="","",SUMPRODUCT(COUNTIFS(pbp_PlayType,EM_Type,pbp_BatTeam,$B18)*EM_H))</f>
        <v/>
      </c>
      <c r="H18" s="42" t="str">
        <f>IF($B18="","",SUMPRODUCT(COUNTIFS(pbp_PlayType,EM_Type,pbp_BatTeam,$B18)*EM_1B))</f>
        <v/>
      </c>
      <c r="I18" s="42" t="str">
        <f>IF($B18="","",SUMPRODUCT(COUNTIFS(pbp_PlayType,EM_Type,pbp_BatTeam,$B18)*EM_2B))</f>
        <v/>
      </c>
      <c r="J18" s="42" t="str">
        <f>IF($B18="","",SUMPRODUCT(COUNTIFS(pbp_PlayType,EM_Type,pbp_BatTeam,$B18)*EM_3B))</f>
        <v/>
      </c>
      <c r="K18" s="42" t="str">
        <f>IF($B18="","",SUMPRODUCT(COUNTIFS(pbp_PlayType,EM_Type,pbp_BatTeam,$B18)*EM_HR))</f>
        <v/>
      </c>
      <c r="L18" s="42" t="str">
        <f t="shared" si="0"/>
        <v/>
      </c>
      <c r="M18" s="42" t="str">
        <f>IF($B18="","",SUMPRODUCT(COUNTIFS(pbp_PlayType,EM_Type,pbp_BatTeam,$B18)*EM_BB))</f>
        <v/>
      </c>
      <c r="N18" s="42" t="str">
        <f>IF($B18="","",SUMPRODUCT(COUNTIFS(pbp_PlayType,EM_Type,pbp_BatTeam,$B18)*EM_IBB))</f>
        <v/>
      </c>
      <c r="O18" s="42" t="str">
        <f>IF($B18="","",SUMPRODUCT(COUNTIFS(pbp_PlayType,EM_Type,pbp_BatTeam,$B18)*EM_HBP))</f>
        <v/>
      </c>
      <c r="P18" s="42" t="str">
        <f>IF($B18="","",COUNTIFS(pbp_PlayType,"?*",pbp_Desc,"*struck out*",pbp_BatTeam,$B18))</f>
        <v/>
      </c>
      <c r="Q18" s="42" t="str">
        <f>IF($B18="","",SUMPRODUCT(COUNTIFS(pbp_PlayType,EM_Type,pbp_BatTeam,$B18)*EM_SF))</f>
        <v/>
      </c>
      <c r="R18" s="42" t="str">
        <f>IF($B18="","",SUMPRODUCT(COUNTIFS(pbp_PlayType,EM_Type,pbp_BatTeam,$B18)*EM_SH))</f>
        <v/>
      </c>
      <c r="S18" s="42" t="str">
        <f>IF($B18="","",SUMPRODUCT(COUNTIFS(pbp_PlayType,EM_Type,pbp_BatTeam,$B18)*EM_DP))</f>
        <v/>
      </c>
      <c r="T18" s="42" t="str">
        <f>IF($B18="","",SUMIFS(pbp_SB,pbp_BatTeam,$B18))</f>
        <v/>
      </c>
      <c r="U18" s="42" t="str">
        <f>IF($B18="","",SUMIFS(pbp_CS,pbp_BatTeam,$B18))</f>
        <v/>
      </c>
      <c r="V18" s="58" t="str">
        <f t="shared" si="1"/>
        <v/>
      </c>
      <c r="W18" s="58" t="str">
        <f t="shared" si="2"/>
        <v/>
      </c>
      <c r="X18" s="58" t="str">
        <f t="shared" si="3"/>
        <v/>
      </c>
      <c r="Y18" s="58" t="str">
        <f t="shared" si="4"/>
        <v/>
      </c>
      <c r="Z18" s="58" t="str">
        <f t="shared" si="5"/>
        <v/>
      </c>
      <c r="AA18" s="58" t="str">
        <f t="shared" si="6"/>
        <v/>
      </c>
      <c r="AB18" s="59" t="str">
        <f t="shared" si="7"/>
        <v/>
      </c>
      <c r="AC18" s="59" t="str">
        <f t="shared" si="8"/>
        <v/>
      </c>
      <c r="AD18" s="60" t="str">
        <f t="shared" si="9"/>
        <v/>
      </c>
      <c r="AE18" s="60" t="str">
        <f>IF($B18="","",IF((D18)=0,"",(SUMIFS(pbp_Pitches,pbp_BatTeam,$B18,pbp_PlayType,"?*"))/(D18)))</f>
        <v/>
      </c>
      <c r="AF18" s="59" t="str">
        <f t="shared" si="10"/>
        <v/>
      </c>
    </row>
    <row r="19" spans="2:32" x14ac:dyDescent="0.2">
      <c r="B19" s="44" t="str">
        <f t="array" ref="B19">IFERROR(INDEX(pbp_BatTeam,MATCH(0,COUNTIF($B$5:B18,pbp_BatTeam),0)),"")</f>
        <v/>
      </c>
      <c r="C19" s="42" t="str">
        <f>IF($B19="","",SUMPRODUCT((pbp_BatTeam=$B19)*(LEN(pbp_Inning)=2)*(LEFT(pbp_Inning,1)="1")*(((pbp_Inning&lt;&gt;pbp_InningPrev)+(pbp_GameID&lt;&gt;pbp_GameIDPrev))&gt;0)))</f>
        <v/>
      </c>
      <c r="D19" s="42" t="str">
        <f>IF($B19="","",SUMPRODUCT(COUNTIFS(pbp_PlayType,EM_Type,pbp_BatTeam,$B19)*EM_PA))</f>
        <v/>
      </c>
      <c r="E19" s="42" t="str">
        <f>IF($B19="","",SUMPRODUCT(COUNTIFS(pbp_PlayType,EM_Type,pbp_BatTeam,$B19)*EM_AB))</f>
        <v/>
      </c>
      <c r="F19" s="42" t="str">
        <f>IF($B19="","",SUMIFS(pbp_Runs,pbp_BatTeam,$B19))</f>
        <v/>
      </c>
      <c r="G19" s="42" t="str">
        <f>IF($B19="","",SUMPRODUCT(COUNTIFS(pbp_PlayType,EM_Type,pbp_BatTeam,$B19)*EM_H))</f>
        <v/>
      </c>
      <c r="H19" s="42" t="str">
        <f>IF($B19="","",SUMPRODUCT(COUNTIFS(pbp_PlayType,EM_Type,pbp_BatTeam,$B19)*EM_1B))</f>
        <v/>
      </c>
      <c r="I19" s="42" t="str">
        <f>IF($B19="","",SUMPRODUCT(COUNTIFS(pbp_PlayType,EM_Type,pbp_BatTeam,$B19)*EM_2B))</f>
        <v/>
      </c>
      <c r="J19" s="42" t="str">
        <f>IF($B19="","",SUMPRODUCT(COUNTIFS(pbp_PlayType,EM_Type,pbp_BatTeam,$B19)*EM_3B))</f>
        <v/>
      </c>
      <c r="K19" s="42" t="str">
        <f>IF($B19="","",SUMPRODUCT(COUNTIFS(pbp_PlayType,EM_Type,pbp_BatTeam,$B19)*EM_HR))</f>
        <v/>
      </c>
      <c r="L19" s="42" t="str">
        <f t="shared" si="0"/>
        <v/>
      </c>
      <c r="M19" s="42" t="str">
        <f>IF($B19="","",SUMPRODUCT(COUNTIFS(pbp_PlayType,EM_Type,pbp_BatTeam,$B19)*EM_BB))</f>
        <v/>
      </c>
      <c r="N19" s="42" t="str">
        <f>IF($B19="","",SUMPRODUCT(COUNTIFS(pbp_PlayType,EM_Type,pbp_BatTeam,$B19)*EM_IBB))</f>
        <v/>
      </c>
      <c r="O19" s="42" t="str">
        <f>IF($B19="","",SUMPRODUCT(COUNTIFS(pbp_PlayType,EM_Type,pbp_BatTeam,$B19)*EM_HBP))</f>
        <v/>
      </c>
      <c r="P19" s="42" t="str">
        <f>IF($B19="","",COUNTIFS(pbp_PlayType,"?*",pbp_Desc,"*struck out*",pbp_BatTeam,$B19))</f>
        <v/>
      </c>
      <c r="Q19" s="42" t="str">
        <f>IF($B19="","",SUMPRODUCT(COUNTIFS(pbp_PlayType,EM_Type,pbp_BatTeam,$B19)*EM_SF))</f>
        <v/>
      </c>
      <c r="R19" s="42" t="str">
        <f>IF($B19="","",SUMPRODUCT(COUNTIFS(pbp_PlayType,EM_Type,pbp_BatTeam,$B19)*EM_SH))</f>
        <v/>
      </c>
      <c r="S19" s="42" t="str">
        <f>IF($B19="","",SUMPRODUCT(COUNTIFS(pbp_PlayType,EM_Type,pbp_BatTeam,$B19)*EM_DP))</f>
        <v/>
      </c>
      <c r="T19" s="42" t="str">
        <f>IF($B19="","",SUMIFS(pbp_SB,pbp_BatTeam,$B19))</f>
        <v/>
      </c>
      <c r="U19" s="42" t="str">
        <f>IF($B19="","",SUMIFS(pbp_CS,pbp_BatTeam,$B19))</f>
        <v/>
      </c>
      <c r="V19" s="58" t="str">
        <f t="shared" si="1"/>
        <v/>
      </c>
      <c r="W19" s="58" t="str">
        <f t="shared" si="2"/>
        <v/>
      </c>
      <c r="X19" s="58" t="str">
        <f t="shared" si="3"/>
        <v/>
      </c>
      <c r="Y19" s="58" t="str">
        <f t="shared" si="4"/>
        <v/>
      </c>
      <c r="Z19" s="58" t="str">
        <f t="shared" si="5"/>
        <v/>
      </c>
      <c r="AA19" s="58" t="str">
        <f t="shared" si="6"/>
        <v/>
      </c>
      <c r="AB19" s="59" t="str">
        <f t="shared" si="7"/>
        <v/>
      </c>
      <c r="AC19" s="59" t="str">
        <f t="shared" si="8"/>
        <v/>
      </c>
      <c r="AD19" s="60" t="str">
        <f t="shared" si="9"/>
        <v/>
      </c>
      <c r="AE19" s="60" t="str">
        <f>IF($B19="","",IF((D19)=0,"",(SUMIFS(pbp_Pitches,pbp_BatTeam,$B19,pbp_PlayType,"?*"))/(D19)))</f>
        <v/>
      </c>
      <c r="AF19" s="59" t="str">
        <f t="shared" si="10"/>
        <v/>
      </c>
    </row>
    <row r="20" spans="2:32" x14ac:dyDescent="0.2">
      <c r="B20" s="44" t="str">
        <f t="array" ref="B20">IFERROR(INDEX(pbp_BatTeam,MATCH(0,COUNTIF($B$5:B19,pbp_BatTeam),0)),"")</f>
        <v/>
      </c>
      <c r="C20" s="42" t="str">
        <f>IF($B20="","",SUMPRODUCT((pbp_BatTeam=$B20)*(LEN(pbp_Inning)=2)*(LEFT(pbp_Inning,1)="1")*(((pbp_Inning&lt;&gt;pbp_InningPrev)+(pbp_GameID&lt;&gt;pbp_GameIDPrev))&gt;0)))</f>
        <v/>
      </c>
      <c r="D20" s="42" t="str">
        <f>IF($B20="","",SUMPRODUCT(COUNTIFS(pbp_PlayType,EM_Type,pbp_BatTeam,$B20)*EM_PA))</f>
        <v/>
      </c>
      <c r="E20" s="42" t="str">
        <f>IF($B20="","",SUMPRODUCT(COUNTIFS(pbp_PlayType,EM_Type,pbp_BatTeam,$B20)*EM_AB))</f>
        <v/>
      </c>
      <c r="F20" s="42" t="str">
        <f>IF($B20="","",SUMIFS(pbp_Runs,pbp_BatTeam,$B20))</f>
        <v/>
      </c>
      <c r="G20" s="42" t="str">
        <f>IF($B20="","",SUMPRODUCT(COUNTIFS(pbp_PlayType,EM_Type,pbp_BatTeam,$B20)*EM_H))</f>
        <v/>
      </c>
      <c r="H20" s="42" t="str">
        <f>IF($B20="","",SUMPRODUCT(COUNTIFS(pbp_PlayType,EM_Type,pbp_BatTeam,$B20)*EM_1B))</f>
        <v/>
      </c>
      <c r="I20" s="42" t="str">
        <f>IF($B20="","",SUMPRODUCT(COUNTIFS(pbp_PlayType,EM_Type,pbp_BatTeam,$B20)*EM_2B))</f>
        <v/>
      </c>
      <c r="J20" s="42" t="str">
        <f>IF($B20="","",SUMPRODUCT(COUNTIFS(pbp_PlayType,EM_Type,pbp_BatTeam,$B20)*EM_3B))</f>
        <v/>
      </c>
      <c r="K20" s="42" t="str">
        <f>IF($B20="","",SUMPRODUCT(COUNTIFS(pbp_PlayType,EM_Type,pbp_BatTeam,$B20)*EM_HR))</f>
        <v/>
      </c>
      <c r="L20" s="42" t="str">
        <f t="shared" si="0"/>
        <v/>
      </c>
      <c r="M20" s="42" t="str">
        <f>IF($B20="","",SUMPRODUCT(COUNTIFS(pbp_PlayType,EM_Type,pbp_BatTeam,$B20)*EM_BB))</f>
        <v/>
      </c>
      <c r="N20" s="42" t="str">
        <f>IF($B20="","",SUMPRODUCT(COUNTIFS(pbp_PlayType,EM_Type,pbp_BatTeam,$B20)*EM_IBB))</f>
        <v/>
      </c>
      <c r="O20" s="42" t="str">
        <f>IF($B20="","",SUMPRODUCT(COUNTIFS(pbp_PlayType,EM_Type,pbp_BatTeam,$B20)*EM_HBP))</f>
        <v/>
      </c>
      <c r="P20" s="42" t="str">
        <f>IF($B20="","",COUNTIFS(pbp_PlayType,"?*",pbp_Desc,"*struck out*",pbp_BatTeam,$B20))</f>
        <v/>
      </c>
      <c r="Q20" s="42" t="str">
        <f>IF($B20="","",SUMPRODUCT(COUNTIFS(pbp_PlayType,EM_Type,pbp_BatTeam,$B20)*EM_SF))</f>
        <v/>
      </c>
      <c r="R20" s="42" t="str">
        <f>IF($B20="","",SUMPRODUCT(COUNTIFS(pbp_PlayType,EM_Type,pbp_BatTeam,$B20)*EM_SH))</f>
        <v/>
      </c>
      <c r="S20" s="42" t="str">
        <f>IF($B20="","",SUMPRODUCT(COUNTIFS(pbp_PlayType,EM_Type,pbp_BatTeam,$B20)*EM_DP))</f>
        <v/>
      </c>
      <c r="T20" s="42" t="str">
        <f>IF($B20="","",SUMIFS(pbp_SB,pbp_BatTeam,$B20))</f>
        <v/>
      </c>
      <c r="U20" s="42" t="str">
        <f>IF($B20="","",SUMIFS(pbp_CS,pbp_BatTeam,$B20))</f>
        <v/>
      </c>
      <c r="V20" s="58" t="str">
        <f t="shared" si="1"/>
        <v/>
      </c>
      <c r="W20" s="58" t="str">
        <f t="shared" si="2"/>
        <v/>
      </c>
      <c r="X20" s="58" t="str">
        <f t="shared" si="3"/>
        <v/>
      </c>
      <c r="Y20" s="58" t="str">
        <f t="shared" si="4"/>
        <v/>
      </c>
      <c r="Z20" s="58" t="str">
        <f t="shared" si="5"/>
        <v/>
      </c>
      <c r="AA20" s="58" t="str">
        <f t="shared" si="6"/>
        <v/>
      </c>
      <c r="AB20" s="59" t="str">
        <f t="shared" si="7"/>
        <v/>
      </c>
      <c r="AC20" s="59" t="str">
        <f t="shared" si="8"/>
        <v/>
      </c>
      <c r="AD20" s="60" t="str">
        <f t="shared" si="9"/>
        <v/>
      </c>
      <c r="AE20" s="60" t="str">
        <f>IF($B20="","",IF((D20)=0,"",(SUMIFS(pbp_Pitches,pbp_BatTeam,$B20,pbp_PlayType,"?*"))/(D20)))</f>
        <v/>
      </c>
      <c r="AF20" s="59" t="str">
        <f t="shared" si="10"/>
        <v/>
      </c>
    </row>
    <row r="21" spans="2:32" x14ac:dyDescent="0.2">
      <c r="B21" s="44" t="str">
        <f t="array" ref="B21">IFERROR(INDEX(pbp_BatTeam,MATCH(0,COUNTIF($B$5:B20,pbp_BatTeam),0)),"")</f>
        <v/>
      </c>
      <c r="C21" s="42" t="str">
        <f>IF($B21="","",SUMPRODUCT((pbp_BatTeam=$B21)*(LEN(pbp_Inning)=2)*(LEFT(pbp_Inning,1)="1")*(((pbp_Inning&lt;&gt;pbp_InningPrev)+(pbp_GameID&lt;&gt;pbp_GameIDPrev))&gt;0)))</f>
        <v/>
      </c>
      <c r="D21" s="42" t="str">
        <f>IF($B21="","",SUMPRODUCT(COUNTIFS(pbp_PlayType,EM_Type,pbp_BatTeam,$B21)*EM_PA))</f>
        <v/>
      </c>
      <c r="E21" s="42" t="str">
        <f>IF($B21="","",SUMPRODUCT(COUNTIFS(pbp_PlayType,EM_Type,pbp_BatTeam,$B21)*EM_AB))</f>
        <v/>
      </c>
      <c r="F21" s="42" t="str">
        <f>IF($B21="","",SUMIFS(pbp_Runs,pbp_BatTeam,$B21))</f>
        <v/>
      </c>
      <c r="G21" s="42" t="str">
        <f>IF($B21="","",SUMPRODUCT(COUNTIFS(pbp_PlayType,EM_Type,pbp_BatTeam,$B21)*EM_H))</f>
        <v/>
      </c>
      <c r="H21" s="42" t="str">
        <f>IF($B21="","",SUMPRODUCT(COUNTIFS(pbp_PlayType,EM_Type,pbp_BatTeam,$B21)*EM_1B))</f>
        <v/>
      </c>
      <c r="I21" s="42" t="str">
        <f>IF($B21="","",SUMPRODUCT(COUNTIFS(pbp_PlayType,EM_Type,pbp_BatTeam,$B21)*EM_2B))</f>
        <v/>
      </c>
      <c r="J21" s="42" t="str">
        <f>IF($B21="","",SUMPRODUCT(COUNTIFS(pbp_PlayType,EM_Type,pbp_BatTeam,$B21)*EM_3B))</f>
        <v/>
      </c>
      <c r="K21" s="42" t="str">
        <f>IF($B21="","",SUMPRODUCT(COUNTIFS(pbp_PlayType,EM_Type,pbp_BatTeam,$B21)*EM_HR))</f>
        <v/>
      </c>
      <c r="L21" s="42" t="str">
        <f t="shared" si="0"/>
        <v/>
      </c>
      <c r="M21" s="42" t="str">
        <f>IF($B21="","",SUMPRODUCT(COUNTIFS(pbp_PlayType,EM_Type,pbp_BatTeam,$B21)*EM_BB))</f>
        <v/>
      </c>
      <c r="N21" s="42" t="str">
        <f>IF($B21="","",SUMPRODUCT(COUNTIFS(pbp_PlayType,EM_Type,pbp_BatTeam,$B21)*EM_IBB))</f>
        <v/>
      </c>
      <c r="O21" s="42" t="str">
        <f>IF($B21="","",SUMPRODUCT(COUNTIFS(pbp_PlayType,EM_Type,pbp_BatTeam,$B21)*EM_HBP))</f>
        <v/>
      </c>
      <c r="P21" s="42" t="str">
        <f>IF($B21="","",COUNTIFS(pbp_PlayType,"?*",pbp_Desc,"*struck out*",pbp_BatTeam,$B21))</f>
        <v/>
      </c>
      <c r="Q21" s="42" t="str">
        <f>IF($B21="","",SUMPRODUCT(COUNTIFS(pbp_PlayType,EM_Type,pbp_BatTeam,$B21)*EM_SF))</f>
        <v/>
      </c>
      <c r="R21" s="42" t="str">
        <f>IF($B21="","",SUMPRODUCT(COUNTIFS(pbp_PlayType,EM_Type,pbp_BatTeam,$B21)*EM_SH))</f>
        <v/>
      </c>
      <c r="S21" s="42" t="str">
        <f>IF($B21="","",SUMPRODUCT(COUNTIFS(pbp_PlayType,EM_Type,pbp_BatTeam,$B21)*EM_DP))</f>
        <v/>
      </c>
      <c r="T21" s="42" t="str">
        <f>IF($B21="","",SUMIFS(pbp_SB,pbp_BatTeam,$B21))</f>
        <v/>
      </c>
      <c r="U21" s="42" t="str">
        <f>IF($B21="","",SUMIFS(pbp_CS,pbp_BatTeam,$B21))</f>
        <v/>
      </c>
      <c r="V21" s="58" t="str">
        <f t="shared" si="1"/>
        <v/>
      </c>
      <c r="W21" s="58" t="str">
        <f t="shared" si="2"/>
        <v/>
      </c>
      <c r="X21" s="58" t="str">
        <f t="shared" si="3"/>
        <v/>
      </c>
      <c r="Y21" s="58" t="str">
        <f t="shared" si="4"/>
        <v/>
      </c>
      <c r="Z21" s="58" t="str">
        <f t="shared" si="5"/>
        <v/>
      </c>
      <c r="AA21" s="58" t="str">
        <f t="shared" si="6"/>
        <v/>
      </c>
      <c r="AB21" s="59" t="str">
        <f t="shared" si="7"/>
        <v/>
      </c>
      <c r="AC21" s="59" t="str">
        <f t="shared" si="8"/>
        <v/>
      </c>
      <c r="AD21" s="60" t="str">
        <f t="shared" si="9"/>
        <v/>
      </c>
      <c r="AE21" s="60" t="str">
        <f>IF($B21="","",IF((D21)=0,"",(SUMIFS(pbp_Pitches,pbp_BatTeam,$B21,pbp_PlayType,"?*"))/(D21)))</f>
        <v/>
      </c>
      <c r="AF21" s="59" t="str">
        <f t="shared" si="10"/>
        <v/>
      </c>
    </row>
    <row r="22" spans="2:32" x14ac:dyDescent="0.2">
      <c r="B22" s="44" t="str">
        <f t="array" ref="B22">IFERROR(INDEX(pbp_BatTeam,MATCH(0,COUNTIF($B$5:B21,pbp_BatTeam),0)),"")</f>
        <v/>
      </c>
      <c r="C22" s="42" t="str">
        <f>IF($B22="","",SUMPRODUCT((pbp_BatTeam=$B22)*(LEN(pbp_Inning)=2)*(LEFT(pbp_Inning,1)="1")*(((pbp_Inning&lt;&gt;pbp_InningPrev)+(pbp_GameID&lt;&gt;pbp_GameIDPrev))&gt;0)))</f>
        <v/>
      </c>
      <c r="D22" s="42" t="str">
        <f>IF($B22="","",SUMPRODUCT(COUNTIFS(pbp_PlayType,EM_Type,pbp_BatTeam,$B22)*EM_PA))</f>
        <v/>
      </c>
      <c r="E22" s="42" t="str">
        <f>IF($B22="","",SUMPRODUCT(COUNTIFS(pbp_PlayType,EM_Type,pbp_BatTeam,$B22)*EM_AB))</f>
        <v/>
      </c>
      <c r="F22" s="42" t="str">
        <f>IF($B22="","",SUMIFS(pbp_Runs,pbp_BatTeam,$B22))</f>
        <v/>
      </c>
      <c r="G22" s="42" t="str">
        <f>IF($B22="","",SUMPRODUCT(COUNTIFS(pbp_PlayType,EM_Type,pbp_BatTeam,$B22)*EM_H))</f>
        <v/>
      </c>
      <c r="H22" s="42" t="str">
        <f>IF($B22="","",SUMPRODUCT(COUNTIFS(pbp_PlayType,EM_Type,pbp_BatTeam,$B22)*EM_1B))</f>
        <v/>
      </c>
      <c r="I22" s="42" t="str">
        <f>IF($B22="","",SUMPRODUCT(COUNTIFS(pbp_PlayType,EM_Type,pbp_BatTeam,$B22)*EM_2B))</f>
        <v/>
      </c>
      <c r="J22" s="42" t="str">
        <f>IF($B22="","",SUMPRODUCT(COUNTIFS(pbp_PlayType,EM_Type,pbp_BatTeam,$B22)*EM_3B))</f>
        <v/>
      </c>
      <c r="K22" s="42" t="str">
        <f>IF($B22="","",SUMPRODUCT(COUNTIFS(pbp_PlayType,EM_Type,pbp_BatTeam,$B22)*EM_HR))</f>
        <v/>
      </c>
      <c r="L22" s="42" t="str">
        <f t="shared" si="0"/>
        <v/>
      </c>
      <c r="M22" s="42" t="str">
        <f>IF($B22="","",SUMPRODUCT(COUNTIFS(pbp_PlayType,EM_Type,pbp_BatTeam,$B22)*EM_BB))</f>
        <v/>
      </c>
      <c r="N22" s="42" t="str">
        <f>IF($B22="","",SUMPRODUCT(COUNTIFS(pbp_PlayType,EM_Type,pbp_BatTeam,$B22)*EM_IBB))</f>
        <v/>
      </c>
      <c r="O22" s="42" t="str">
        <f>IF($B22="","",SUMPRODUCT(COUNTIFS(pbp_PlayType,EM_Type,pbp_BatTeam,$B22)*EM_HBP))</f>
        <v/>
      </c>
      <c r="P22" s="42" t="str">
        <f>IF($B22="","",COUNTIFS(pbp_PlayType,"?*",pbp_Desc,"*struck out*",pbp_BatTeam,$B22))</f>
        <v/>
      </c>
      <c r="Q22" s="42" t="str">
        <f>IF($B22="","",SUMPRODUCT(COUNTIFS(pbp_PlayType,EM_Type,pbp_BatTeam,$B22)*EM_SF))</f>
        <v/>
      </c>
      <c r="R22" s="42" t="str">
        <f>IF($B22="","",SUMPRODUCT(COUNTIFS(pbp_PlayType,EM_Type,pbp_BatTeam,$B22)*EM_SH))</f>
        <v/>
      </c>
      <c r="S22" s="42" t="str">
        <f>IF($B22="","",SUMPRODUCT(COUNTIFS(pbp_PlayType,EM_Type,pbp_BatTeam,$B22)*EM_DP))</f>
        <v/>
      </c>
      <c r="T22" s="42" t="str">
        <f>IF($B22="","",SUMIFS(pbp_SB,pbp_BatTeam,$B22))</f>
        <v/>
      </c>
      <c r="U22" s="42" t="str">
        <f>IF($B22="","",SUMIFS(pbp_CS,pbp_BatTeam,$B22))</f>
        <v/>
      </c>
      <c r="V22" s="58" t="str">
        <f t="shared" si="1"/>
        <v/>
      </c>
      <c r="W22" s="58" t="str">
        <f t="shared" si="2"/>
        <v/>
      </c>
      <c r="X22" s="58" t="str">
        <f t="shared" si="3"/>
        <v/>
      </c>
      <c r="Y22" s="58" t="str">
        <f t="shared" si="4"/>
        <v/>
      </c>
      <c r="Z22" s="58" t="str">
        <f t="shared" si="5"/>
        <v/>
      </c>
      <c r="AA22" s="58" t="str">
        <f t="shared" si="6"/>
        <v/>
      </c>
      <c r="AB22" s="59" t="str">
        <f t="shared" si="7"/>
        <v/>
      </c>
      <c r="AC22" s="59" t="str">
        <f t="shared" si="8"/>
        <v/>
      </c>
      <c r="AD22" s="60" t="str">
        <f t="shared" si="9"/>
        <v/>
      </c>
      <c r="AE22" s="60" t="str">
        <f>IF($B22="","",IF((D22)=0,"",(SUMIFS(pbp_Pitches,pbp_BatTeam,$B22,pbp_PlayType,"?*"))/(D22)))</f>
        <v/>
      </c>
      <c r="AF22" s="59" t="str">
        <f t="shared" si="10"/>
        <v/>
      </c>
    </row>
    <row r="23" spans="2:32" x14ac:dyDescent="0.2">
      <c r="B23" s="44" t="str">
        <f t="array" ref="B23">IFERROR(INDEX(pbp_BatTeam,MATCH(0,COUNTIF($B$5:B22,pbp_BatTeam),0)),"")</f>
        <v/>
      </c>
      <c r="C23" s="42" t="str">
        <f>IF($B23="","",SUMPRODUCT((pbp_BatTeam=$B23)*(LEN(pbp_Inning)=2)*(LEFT(pbp_Inning,1)="1")*(((pbp_Inning&lt;&gt;pbp_InningPrev)+(pbp_GameID&lt;&gt;pbp_GameIDPrev))&gt;0)))</f>
        <v/>
      </c>
      <c r="D23" s="42" t="str">
        <f>IF($B23="","",SUMPRODUCT(COUNTIFS(pbp_PlayType,EM_Type,pbp_BatTeam,$B23)*EM_PA))</f>
        <v/>
      </c>
      <c r="E23" s="42" t="str">
        <f>IF($B23="","",SUMPRODUCT(COUNTIFS(pbp_PlayType,EM_Type,pbp_BatTeam,$B23)*EM_AB))</f>
        <v/>
      </c>
      <c r="F23" s="42" t="str">
        <f>IF($B23="","",SUMIFS(pbp_Runs,pbp_BatTeam,$B23))</f>
        <v/>
      </c>
      <c r="G23" s="42" t="str">
        <f>IF($B23="","",SUMPRODUCT(COUNTIFS(pbp_PlayType,EM_Type,pbp_BatTeam,$B23)*EM_H))</f>
        <v/>
      </c>
      <c r="H23" s="42" t="str">
        <f>IF($B23="","",SUMPRODUCT(COUNTIFS(pbp_PlayType,EM_Type,pbp_BatTeam,$B23)*EM_1B))</f>
        <v/>
      </c>
      <c r="I23" s="42" t="str">
        <f>IF($B23="","",SUMPRODUCT(COUNTIFS(pbp_PlayType,EM_Type,pbp_BatTeam,$B23)*EM_2B))</f>
        <v/>
      </c>
      <c r="J23" s="42" t="str">
        <f>IF($B23="","",SUMPRODUCT(COUNTIFS(pbp_PlayType,EM_Type,pbp_BatTeam,$B23)*EM_3B))</f>
        <v/>
      </c>
      <c r="K23" s="42" t="str">
        <f>IF($B23="","",SUMPRODUCT(COUNTIFS(pbp_PlayType,EM_Type,pbp_BatTeam,$B23)*EM_HR))</f>
        <v/>
      </c>
      <c r="L23" s="42" t="str">
        <f t="shared" si="0"/>
        <v/>
      </c>
      <c r="M23" s="42" t="str">
        <f>IF($B23="","",SUMPRODUCT(COUNTIFS(pbp_PlayType,EM_Type,pbp_BatTeam,$B23)*EM_BB))</f>
        <v/>
      </c>
      <c r="N23" s="42" t="str">
        <f>IF($B23="","",SUMPRODUCT(COUNTIFS(pbp_PlayType,EM_Type,pbp_BatTeam,$B23)*EM_IBB))</f>
        <v/>
      </c>
      <c r="O23" s="42" t="str">
        <f>IF($B23="","",SUMPRODUCT(COUNTIFS(pbp_PlayType,EM_Type,pbp_BatTeam,$B23)*EM_HBP))</f>
        <v/>
      </c>
      <c r="P23" s="42" t="str">
        <f>IF($B23="","",COUNTIFS(pbp_PlayType,"?*",pbp_Desc,"*struck out*",pbp_BatTeam,$B23))</f>
        <v/>
      </c>
      <c r="Q23" s="42" t="str">
        <f>IF($B23="","",SUMPRODUCT(COUNTIFS(pbp_PlayType,EM_Type,pbp_BatTeam,$B23)*EM_SF))</f>
        <v/>
      </c>
      <c r="R23" s="42" t="str">
        <f>IF($B23="","",SUMPRODUCT(COUNTIFS(pbp_PlayType,EM_Type,pbp_BatTeam,$B23)*EM_SH))</f>
        <v/>
      </c>
      <c r="S23" s="42" t="str">
        <f>IF($B23="","",SUMPRODUCT(COUNTIFS(pbp_PlayType,EM_Type,pbp_BatTeam,$B23)*EM_DP))</f>
        <v/>
      </c>
      <c r="T23" s="42" t="str">
        <f>IF($B23="","",SUMIFS(pbp_SB,pbp_BatTeam,$B23))</f>
        <v/>
      </c>
      <c r="U23" s="42" t="str">
        <f>IF($B23="","",SUMIFS(pbp_CS,pbp_BatTeam,$B23))</f>
        <v/>
      </c>
      <c r="V23" s="58" t="str">
        <f t="shared" si="1"/>
        <v/>
      </c>
      <c r="W23" s="58" t="str">
        <f t="shared" si="2"/>
        <v/>
      </c>
      <c r="X23" s="58" t="str">
        <f t="shared" si="3"/>
        <v/>
      </c>
      <c r="Y23" s="58" t="str">
        <f t="shared" si="4"/>
        <v/>
      </c>
      <c r="Z23" s="58" t="str">
        <f t="shared" si="5"/>
        <v/>
      </c>
      <c r="AA23" s="58" t="str">
        <f t="shared" si="6"/>
        <v/>
      </c>
      <c r="AB23" s="59" t="str">
        <f t="shared" si="7"/>
        <v/>
      </c>
      <c r="AC23" s="59" t="str">
        <f t="shared" si="8"/>
        <v/>
      </c>
      <c r="AD23" s="60" t="str">
        <f t="shared" si="9"/>
        <v/>
      </c>
      <c r="AE23" s="60" t="str">
        <f>IF($B23="","",IF((D23)=0,"",(SUMIFS(pbp_Pitches,pbp_BatTeam,$B23,pbp_PlayType,"?*"))/(D23)))</f>
        <v/>
      </c>
      <c r="AF23" s="59" t="str">
        <f t="shared" si="10"/>
        <v/>
      </c>
    </row>
    <row r="24" spans="2:32" x14ac:dyDescent="0.2">
      <c r="B24" s="44" t="str">
        <f t="array" ref="B24">IFERROR(INDEX(pbp_BatTeam,MATCH(0,COUNTIF($B$5:B23,pbp_BatTeam),0)),"")</f>
        <v/>
      </c>
      <c r="C24" s="42" t="str">
        <f>IF($B24="","",SUMPRODUCT((pbp_BatTeam=$B24)*(LEN(pbp_Inning)=2)*(LEFT(pbp_Inning,1)="1")*(((pbp_Inning&lt;&gt;pbp_InningPrev)+(pbp_GameID&lt;&gt;pbp_GameIDPrev))&gt;0)))</f>
        <v/>
      </c>
      <c r="D24" s="42" t="str">
        <f>IF($B24="","",SUMPRODUCT(COUNTIFS(pbp_PlayType,EM_Type,pbp_BatTeam,$B24)*EM_PA))</f>
        <v/>
      </c>
      <c r="E24" s="42" t="str">
        <f>IF($B24="","",SUMPRODUCT(COUNTIFS(pbp_PlayType,EM_Type,pbp_BatTeam,$B24)*EM_AB))</f>
        <v/>
      </c>
      <c r="F24" s="42" t="str">
        <f>IF($B24="","",SUMIFS(pbp_Runs,pbp_BatTeam,$B24))</f>
        <v/>
      </c>
      <c r="G24" s="42" t="str">
        <f>IF($B24="","",SUMPRODUCT(COUNTIFS(pbp_PlayType,EM_Type,pbp_BatTeam,$B24)*EM_H))</f>
        <v/>
      </c>
      <c r="H24" s="42" t="str">
        <f>IF($B24="","",SUMPRODUCT(COUNTIFS(pbp_PlayType,EM_Type,pbp_BatTeam,$B24)*EM_1B))</f>
        <v/>
      </c>
      <c r="I24" s="42" t="str">
        <f>IF($B24="","",SUMPRODUCT(COUNTIFS(pbp_PlayType,EM_Type,pbp_BatTeam,$B24)*EM_2B))</f>
        <v/>
      </c>
      <c r="J24" s="42" t="str">
        <f>IF($B24="","",SUMPRODUCT(COUNTIFS(pbp_PlayType,EM_Type,pbp_BatTeam,$B24)*EM_3B))</f>
        <v/>
      </c>
      <c r="K24" s="42" t="str">
        <f>IF($B24="","",SUMPRODUCT(COUNTIFS(pbp_PlayType,EM_Type,pbp_BatTeam,$B24)*EM_HR))</f>
        <v/>
      </c>
      <c r="L24" s="42" t="str">
        <f t="shared" si="0"/>
        <v/>
      </c>
      <c r="M24" s="42" t="str">
        <f>IF($B24="","",SUMPRODUCT(COUNTIFS(pbp_PlayType,EM_Type,pbp_BatTeam,$B24)*EM_BB))</f>
        <v/>
      </c>
      <c r="N24" s="42" t="str">
        <f>IF($B24="","",SUMPRODUCT(COUNTIFS(pbp_PlayType,EM_Type,pbp_BatTeam,$B24)*EM_IBB))</f>
        <v/>
      </c>
      <c r="O24" s="42" t="str">
        <f>IF($B24="","",SUMPRODUCT(COUNTIFS(pbp_PlayType,EM_Type,pbp_BatTeam,$B24)*EM_HBP))</f>
        <v/>
      </c>
      <c r="P24" s="42" t="str">
        <f>IF($B24="","",COUNTIFS(pbp_PlayType,"?*",pbp_Desc,"*struck out*",pbp_BatTeam,$B24))</f>
        <v/>
      </c>
      <c r="Q24" s="42" t="str">
        <f>IF($B24="","",SUMPRODUCT(COUNTIFS(pbp_PlayType,EM_Type,pbp_BatTeam,$B24)*EM_SF))</f>
        <v/>
      </c>
      <c r="R24" s="42" t="str">
        <f>IF($B24="","",SUMPRODUCT(COUNTIFS(pbp_PlayType,EM_Type,pbp_BatTeam,$B24)*EM_SH))</f>
        <v/>
      </c>
      <c r="S24" s="42" t="str">
        <f>IF($B24="","",SUMPRODUCT(COUNTIFS(pbp_PlayType,EM_Type,pbp_BatTeam,$B24)*EM_DP))</f>
        <v/>
      </c>
      <c r="T24" s="42" t="str">
        <f>IF($B24="","",SUMIFS(pbp_SB,pbp_BatTeam,$B24))</f>
        <v/>
      </c>
      <c r="U24" s="42" t="str">
        <f>IF($B24="","",SUMIFS(pbp_CS,pbp_BatTeam,$B24))</f>
        <v/>
      </c>
      <c r="V24" s="58" t="str">
        <f t="shared" si="1"/>
        <v/>
      </c>
      <c r="W24" s="58" t="str">
        <f t="shared" si="2"/>
        <v/>
      </c>
      <c r="X24" s="58" t="str">
        <f t="shared" si="3"/>
        <v/>
      </c>
      <c r="Y24" s="58" t="str">
        <f t="shared" si="4"/>
        <v/>
      </c>
      <c r="Z24" s="58" t="str">
        <f t="shared" si="5"/>
        <v/>
      </c>
      <c r="AA24" s="58" t="str">
        <f t="shared" si="6"/>
        <v/>
      </c>
      <c r="AB24" s="59" t="str">
        <f t="shared" si="7"/>
        <v/>
      </c>
      <c r="AC24" s="59" t="str">
        <f t="shared" si="8"/>
        <v/>
      </c>
      <c r="AD24" s="60" t="str">
        <f t="shared" si="9"/>
        <v/>
      </c>
      <c r="AE24" s="60" t="str">
        <f>IF($B24="","",IF((D24)=0,"",(SUMIFS(pbp_Pitches,pbp_BatTeam,$B24,pbp_PlayType,"?*"))/(D24)))</f>
        <v/>
      </c>
      <c r="AF24" s="59" t="str">
        <f t="shared" si="10"/>
        <v/>
      </c>
    </row>
    <row r="25" spans="2:32" x14ac:dyDescent="0.2">
      <c r="B25" s="44" t="str">
        <f t="array" ref="B25">IFERROR(INDEX(pbp_BatTeam,MATCH(0,COUNTIF($B$5:B24,pbp_BatTeam),0)),"")</f>
        <v/>
      </c>
      <c r="C25" s="42" t="str">
        <f>IF($B25="","",SUMPRODUCT((pbp_BatTeam=$B25)*(LEN(pbp_Inning)=2)*(LEFT(pbp_Inning,1)="1")*(((pbp_Inning&lt;&gt;pbp_InningPrev)+(pbp_GameID&lt;&gt;pbp_GameIDPrev))&gt;0)))</f>
        <v/>
      </c>
      <c r="D25" s="42" t="str">
        <f>IF($B25="","",SUMPRODUCT(COUNTIFS(pbp_PlayType,EM_Type,pbp_BatTeam,$B25)*EM_PA))</f>
        <v/>
      </c>
      <c r="E25" s="42" t="str">
        <f>IF($B25="","",SUMPRODUCT(COUNTIFS(pbp_PlayType,EM_Type,pbp_BatTeam,$B25)*EM_AB))</f>
        <v/>
      </c>
      <c r="F25" s="42" t="str">
        <f>IF($B25="","",SUMIFS(pbp_Runs,pbp_BatTeam,$B25))</f>
        <v/>
      </c>
      <c r="G25" s="42" t="str">
        <f>IF($B25="","",SUMPRODUCT(COUNTIFS(pbp_PlayType,EM_Type,pbp_BatTeam,$B25)*EM_H))</f>
        <v/>
      </c>
      <c r="H25" s="42" t="str">
        <f>IF($B25="","",SUMPRODUCT(COUNTIFS(pbp_PlayType,EM_Type,pbp_BatTeam,$B25)*EM_1B))</f>
        <v/>
      </c>
      <c r="I25" s="42" t="str">
        <f>IF($B25="","",SUMPRODUCT(COUNTIFS(pbp_PlayType,EM_Type,pbp_BatTeam,$B25)*EM_2B))</f>
        <v/>
      </c>
      <c r="J25" s="42" t="str">
        <f>IF($B25="","",SUMPRODUCT(COUNTIFS(pbp_PlayType,EM_Type,pbp_BatTeam,$B25)*EM_3B))</f>
        <v/>
      </c>
      <c r="K25" s="42" t="str">
        <f>IF($B25="","",SUMPRODUCT(COUNTIFS(pbp_PlayType,EM_Type,pbp_BatTeam,$B25)*EM_HR))</f>
        <v/>
      </c>
      <c r="L25" s="42" t="str">
        <f t="shared" si="0"/>
        <v/>
      </c>
      <c r="M25" s="42" t="str">
        <f>IF($B25="","",SUMPRODUCT(COUNTIFS(pbp_PlayType,EM_Type,pbp_BatTeam,$B25)*EM_BB))</f>
        <v/>
      </c>
      <c r="N25" s="42" t="str">
        <f>IF($B25="","",SUMPRODUCT(COUNTIFS(pbp_PlayType,EM_Type,pbp_BatTeam,$B25)*EM_IBB))</f>
        <v/>
      </c>
      <c r="O25" s="42" t="str">
        <f>IF($B25="","",SUMPRODUCT(COUNTIFS(pbp_PlayType,EM_Type,pbp_BatTeam,$B25)*EM_HBP))</f>
        <v/>
      </c>
      <c r="P25" s="42" t="str">
        <f>IF($B25="","",COUNTIFS(pbp_PlayType,"?*",pbp_Desc,"*struck out*",pbp_BatTeam,$B25))</f>
        <v/>
      </c>
      <c r="Q25" s="42" t="str">
        <f>IF($B25="","",SUMPRODUCT(COUNTIFS(pbp_PlayType,EM_Type,pbp_BatTeam,$B25)*EM_SF))</f>
        <v/>
      </c>
      <c r="R25" s="42" t="str">
        <f>IF($B25="","",SUMPRODUCT(COUNTIFS(pbp_PlayType,EM_Type,pbp_BatTeam,$B25)*EM_SH))</f>
        <v/>
      </c>
      <c r="S25" s="42" t="str">
        <f>IF($B25="","",SUMPRODUCT(COUNTIFS(pbp_PlayType,EM_Type,pbp_BatTeam,$B25)*EM_DP))</f>
        <v/>
      </c>
      <c r="T25" s="42" t="str">
        <f>IF($B25="","",SUMIFS(pbp_SB,pbp_BatTeam,$B25))</f>
        <v/>
      </c>
      <c r="U25" s="42" t="str">
        <f>IF($B25="","",SUMIFS(pbp_CS,pbp_BatTeam,$B25))</f>
        <v/>
      </c>
      <c r="V25" s="58" t="str">
        <f t="shared" si="1"/>
        <v/>
      </c>
      <c r="W25" s="58" t="str">
        <f t="shared" si="2"/>
        <v/>
      </c>
      <c r="X25" s="58" t="str">
        <f t="shared" si="3"/>
        <v/>
      </c>
      <c r="Y25" s="58" t="str">
        <f t="shared" si="4"/>
        <v/>
      </c>
      <c r="Z25" s="58" t="str">
        <f t="shared" si="5"/>
        <v/>
      </c>
      <c r="AA25" s="58" t="str">
        <f t="shared" si="6"/>
        <v/>
      </c>
      <c r="AB25" s="59" t="str">
        <f t="shared" si="7"/>
        <v/>
      </c>
      <c r="AC25" s="59" t="str">
        <f t="shared" si="8"/>
        <v/>
      </c>
      <c r="AD25" s="60" t="str">
        <f t="shared" si="9"/>
        <v/>
      </c>
      <c r="AE25" s="60" t="str">
        <f>IF($B25="","",IF((D25)=0,"",(SUMIFS(pbp_Pitches,pbp_BatTeam,$B25,pbp_PlayType,"?*"))/(D25)))</f>
        <v/>
      </c>
      <c r="AF25" s="59" t="str">
        <f t="shared" si="10"/>
        <v/>
      </c>
    </row>
    <row r="26" spans="2:32" x14ac:dyDescent="0.2">
      <c r="B26" s="44" t="str">
        <f t="array" ref="B26">IFERROR(INDEX(pbp_BatTeam,MATCH(0,COUNTIF($B$5:B25,pbp_BatTeam),0)),"")</f>
        <v/>
      </c>
      <c r="C26" s="42" t="str">
        <f>IF($B26="","",SUMPRODUCT((pbp_BatTeam=$B26)*(LEN(pbp_Inning)=2)*(LEFT(pbp_Inning,1)="1")*(((pbp_Inning&lt;&gt;pbp_InningPrev)+(pbp_GameID&lt;&gt;pbp_GameIDPrev))&gt;0)))</f>
        <v/>
      </c>
      <c r="D26" s="42" t="str">
        <f>IF($B26="","",SUMPRODUCT(COUNTIFS(pbp_PlayType,EM_Type,pbp_BatTeam,$B26)*EM_PA))</f>
        <v/>
      </c>
      <c r="E26" s="42" t="str">
        <f>IF($B26="","",SUMPRODUCT(COUNTIFS(pbp_PlayType,EM_Type,pbp_BatTeam,$B26)*EM_AB))</f>
        <v/>
      </c>
      <c r="F26" s="42" t="str">
        <f>IF($B26="","",SUMIFS(pbp_Runs,pbp_BatTeam,$B26))</f>
        <v/>
      </c>
      <c r="G26" s="42" t="str">
        <f>IF($B26="","",SUMPRODUCT(COUNTIFS(pbp_PlayType,EM_Type,pbp_BatTeam,$B26)*EM_H))</f>
        <v/>
      </c>
      <c r="H26" s="42" t="str">
        <f>IF($B26="","",SUMPRODUCT(COUNTIFS(pbp_PlayType,EM_Type,pbp_BatTeam,$B26)*EM_1B))</f>
        <v/>
      </c>
      <c r="I26" s="42" t="str">
        <f>IF($B26="","",SUMPRODUCT(COUNTIFS(pbp_PlayType,EM_Type,pbp_BatTeam,$B26)*EM_2B))</f>
        <v/>
      </c>
      <c r="J26" s="42" t="str">
        <f>IF($B26="","",SUMPRODUCT(COUNTIFS(pbp_PlayType,EM_Type,pbp_BatTeam,$B26)*EM_3B))</f>
        <v/>
      </c>
      <c r="K26" s="42" t="str">
        <f>IF($B26="","",SUMPRODUCT(COUNTIFS(pbp_PlayType,EM_Type,pbp_BatTeam,$B26)*EM_HR))</f>
        <v/>
      </c>
      <c r="L26" s="42" t="str">
        <f t="shared" si="0"/>
        <v/>
      </c>
      <c r="M26" s="42" t="str">
        <f>IF($B26="","",SUMPRODUCT(COUNTIFS(pbp_PlayType,EM_Type,pbp_BatTeam,$B26)*EM_BB))</f>
        <v/>
      </c>
      <c r="N26" s="42" t="str">
        <f>IF($B26="","",SUMPRODUCT(COUNTIFS(pbp_PlayType,EM_Type,pbp_BatTeam,$B26)*EM_IBB))</f>
        <v/>
      </c>
      <c r="O26" s="42" t="str">
        <f>IF($B26="","",SUMPRODUCT(COUNTIFS(pbp_PlayType,EM_Type,pbp_BatTeam,$B26)*EM_HBP))</f>
        <v/>
      </c>
      <c r="P26" s="42" t="str">
        <f>IF($B26="","",COUNTIFS(pbp_PlayType,"?*",pbp_Desc,"*struck out*",pbp_BatTeam,$B26))</f>
        <v/>
      </c>
      <c r="Q26" s="42" t="str">
        <f>IF($B26="","",SUMPRODUCT(COUNTIFS(pbp_PlayType,EM_Type,pbp_BatTeam,$B26)*EM_SF))</f>
        <v/>
      </c>
      <c r="R26" s="42" t="str">
        <f>IF($B26="","",SUMPRODUCT(COUNTIFS(pbp_PlayType,EM_Type,pbp_BatTeam,$B26)*EM_SH))</f>
        <v/>
      </c>
      <c r="S26" s="42" t="str">
        <f>IF($B26="","",SUMPRODUCT(COUNTIFS(pbp_PlayType,EM_Type,pbp_BatTeam,$B26)*EM_DP))</f>
        <v/>
      </c>
      <c r="T26" s="42" t="str">
        <f>IF($B26="","",SUMIFS(pbp_SB,pbp_BatTeam,$B26))</f>
        <v/>
      </c>
      <c r="U26" s="42" t="str">
        <f>IF($B26="","",SUMIFS(pbp_CS,pbp_BatTeam,$B26))</f>
        <v/>
      </c>
      <c r="V26" s="58" t="str">
        <f t="shared" si="1"/>
        <v/>
      </c>
      <c r="W26" s="58" t="str">
        <f t="shared" si="2"/>
        <v/>
      </c>
      <c r="X26" s="58" t="str">
        <f t="shared" si="3"/>
        <v/>
      </c>
      <c r="Y26" s="58" t="str">
        <f t="shared" si="4"/>
        <v/>
      </c>
      <c r="Z26" s="58" t="str">
        <f t="shared" si="5"/>
        <v/>
      </c>
      <c r="AA26" s="58" t="str">
        <f t="shared" si="6"/>
        <v/>
      </c>
      <c r="AB26" s="59" t="str">
        <f t="shared" si="7"/>
        <v/>
      </c>
      <c r="AC26" s="59" t="str">
        <f t="shared" si="8"/>
        <v/>
      </c>
      <c r="AD26" s="60" t="str">
        <f t="shared" si="9"/>
        <v/>
      </c>
      <c r="AE26" s="60" t="str">
        <f>IF($B26="","",IF((D26)=0,"",(SUMIFS(pbp_Pitches,pbp_BatTeam,$B26,pbp_PlayType,"?*"))/(D26)))</f>
        <v/>
      </c>
      <c r="AF26" s="59" t="str">
        <f t="shared" si="10"/>
        <v/>
      </c>
    </row>
    <row r="27" spans="2:32" x14ac:dyDescent="0.2">
      <c r="B27" s="44" t="str">
        <f t="array" ref="B27">IFERROR(INDEX(pbp_BatTeam,MATCH(0,COUNTIF($B$5:B26,pbp_BatTeam),0)),"")</f>
        <v/>
      </c>
      <c r="C27" s="42" t="str">
        <f>IF($B27="","",SUMPRODUCT((pbp_BatTeam=$B27)*(LEN(pbp_Inning)=2)*(LEFT(pbp_Inning,1)="1")*(((pbp_Inning&lt;&gt;pbp_InningPrev)+(pbp_GameID&lt;&gt;pbp_GameIDPrev))&gt;0)))</f>
        <v/>
      </c>
      <c r="D27" s="42" t="str">
        <f>IF($B27="","",SUMPRODUCT(COUNTIFS(pbp_PlayType,EM_Type,pbp_BatTeam,$B27)*EM_PA))</f>
        <v/>
      </c>
      <c r="E27" s="42" t="str">
        <f>IF($B27="","",SUMPRODUCT(COUNTIFS(pbp_PlayType,EM_Type,pbp_BatTeam,$B27)*EM_AB))</f>
        <v/>
      </c>
      <c r="F27" s="42" t="str">
        <f>IF($B27="","",SUMIFS(pbp_Runs,pbp_BatTeam,$B27))</f>
        <v/>
      </c>
      <c r="G27" s="42" t="str">
        <f>IF($B27="","",SUMPRODUCT(COUNTIFS(pbp_PlayType,EM_Type,pbp_BatTeam,$B27)*EM_H))</f>
        <v/>
      </c>
      <c r="H27" s="42" t="str">
        <f>IF($B27="","",SUMPRODUCT(COUNTIFS(pbp_PlayType,EM_Type,pbp_BatTeam,$B27)*EM_1B))</f>
        <v/>
      </c>
      <c r="I27" s="42" t="str">
        <f>IF($B27="","",SUMPRODUCT(COUNTIFS(pbp_PlayType,EM_Type,pbp_BatTeam,$B27)*EM_2B))</f>
        <v/>
      </c>
      <c r="J27" s="42" t="str">
        <f>IF($B27="","",SUMPRODUCT(COUNTIFS(pbp_PlayType,EM_Type,pbp_BatTeam,$B27)*EM_3B))</f>
        <v/>
      </c>
      <c r="K27" s="42" t="str">
        <f>IF($B27="","",SUMPRODUCT(COUNTIFS(pbp_PlayType,EM_Type,pbp_BatTeam,$B27)*EM_HR))</f>
        <v/>
      </c>
      <c r="L27" s="42" t="str">
        <f t="shared" si="0"/>
        <v/>
      </c>
      <c r="M27" s="42" t="str">
        <f>IF($B27="","",SUMPRODUCT(COUNTIFS(pbp_PlayType,EM_Type,pbp_BatTeam,$B27)*EM_BB))</f>
        <v/>
      </c>
      <c r="N27" s="42" t="str">
        <f>IF($B27="","",SUMPRODUCT(COUNTIFS(pbp_PlayType,EM_Type,pbp_BatTeam,$B27)*EM_IBB))</f>
        <v/>
      </c>
      <c r="O27" s="42" t="str">
        <f>IF($B27="","",SUMPRODUCT(COUNTIFS(pbp_PlayType,EM_Type,pbp_BatTeam,$B27)*EM_HBP))</f>
        <v/>
      </c>
      <c r="P27" s="42" t="str">
        <f>IF($B27="","",COUNTIFS(pbp_PlayType,"?*",pbp_Desc,"*struck out*",pbp_BatTeam,$B27))</f>
        <v/>
      </c>
      <c r="Q27" s="42" t="str">
        <f>IF($B27="","",SUMPRODUCT(COUNTIFS(pbp_PlayType,EM_Type,pbp_BatTeam,$B27)*EM_SF))</f>
        <v/>
      </c>
      <c r="R27" s="42" t="str">
        <f>IF($B27="","",SUMPRODUCT(COUNTIFS(pbp_PlayType,EM_Type,pbp_BatTeam,$B27)*EM_SH))</f>
        <v/>
      </c>
      <c r="S27" s="42" t="str">
        <f>IF($B27="","",SUMPRODUCT(COUNTIFS(pbp_PlayType,EM_Type,pbp_BatTeam,$B27)*EM_DP))</f>
        <v/>
      </c>
      <c r="T27" s="42" t="str">
        <f>IF($B27="","",SUMIFS(pbp_SB,pbp_BatTeam,$B27))</f>
        <v/>
      </c>
      <c r="U27" s="42" t="str">
        <f>IF($B27="","",SUMIFS(pbp_CS,pbp_BatTeam,$B27))</f>
        <v/>
      </c>
      <c r="V27" s="58" t="str">
        <f t="shared" si="1"/>
        <v/>
      </c>
      <c r="W27" s="58" t="str">
        <f t="shared" si="2"/>
        <v/>
      </c>
      <c r="X27" s="58" t="str">
        <f t="shared" si="3"/>
        <v/>
      </c>
      <c r="Y27" s="58" t="str">
        <f t="shared" si="4"/>
        <v/>
      </c>
      <c r="Z27" s="58" t="str">
        <f t="shared" si="5"/>
        <v/>
      </c>
      <c r="AA27" s="58" t="str">
        <f t="shared" si="6"/>
        <v/>
      </c>
      <c r="AB27" s="59" t="str">
        <f t="shared" si="7"/>
        <v/>
      </c>
      <c r="AC27" s="59" t="str">
        <f t="shared" si="8"/>
        <v/>
      </c>
      <c r="AD27" s="60" t="str">
        <f t="shared" si="9"/>
        <v/>
      </c>
      <c r="AE27" s="60" t="str">
        <f>IF($B27="","",IF((D27)=0,"",(SUMIFS(pbp_Pitches,pbp_BatTeam,$B27,pbp_PlayType,"?*"))/(D27)))</f>
        <v/>
      </c>
      <c r="AF27" s="59" t="str">
        <f t="shared" si="10"/>
        <v/>
      </c>
    </row>
    <row r="28" spans="2:32" x14ac:dyDescent="0.2">
      <c r="B28" s="44" t="str">
        <f t="array" ref="B28">IFERROR(INDEX(pbp_BatTeam,MATCH(0,COUNTIF($B$5:B27,pbp_BatTeam),0)),"")</f>
        <v/>
      </c>
      <c r="C28" s="42" t="str">
        <f>IF($B28="","",SUMPRODUCT((pbp_BatTeam=$B28)*(LEN(pbp_Inning)=2)*(LEFT(pbp_Inning,1)="1")*(((pbp_Inning&lt;&gt;pbp_InningPrev)+(pbp_GameID&lt;&gt;pbp_GameIDPrev))&gt;0)))</f>
        <v/>
      </c>
      <c r="D28" s="42" t="str">
        <f>IF($B28="","",SUMPRODUCT(COUNTIFS(pbp_PlayType,EM_Type,pbp_BatTeam,$B28)*EM_PA))</f>
        <v/>
      </c>
      <c r="E28" s="42" t="str">
        <f>IF($B28="","",SUMPRODUCT(COUNTIFS(pbp_PlayType,EM_Type,pbp_BatTeam,$B28)*EM_AB))</f>
        <v/>
      </c>
      <c r="F28" s="42" t="str">
        <f>IF($B28="","",SUMIFS(pbp_Runs,pbp_BatTeam,$B28))</f>
        <v/>
      </c>
      <c r="G28" s="42" t="str">
        <f>IF($B28="","",SUMPRODUCT(COUNTIFS(pbp_PlayType,EM_Type,pbp_BatTeam,$B28)*EM_H))</f>
        <v/>
      </c>
      <c r="H28" s="42" t="str">
        <f>IF($B28="","",SUMPRODUCT(COUNTIFS(pbp_PlayType,EM_Type,pbp_BatTeam,$B28)*EM_1B))</f>
        <v/>
      </c>
      <c r="I28" s="42" t="str">
        <f>IF($B28="","",SUMPRODUCT(COUNTIFS(pbp_PlayType,EM_Type,pbp_BatTeam,$B28)*EM_2B))</f>
        <v/>
      </c>
      <c r="J28" s="42" t="str">
        <f>IF($B28="","",SUMPRODUCT(COUNTIFS(pbp_PlayType,EM_Type,pbp_BatTeam,$B28)*EM_3B))</f>
        <v/>
      </c>
      <c r="K28" s="42" t="str">
        <f>IF($B28="","",SUMPRODUCT(COUNTIFS(pbp_PlayType,EM_Type,pbp_BatTeam,$B28)*EM_HR))</f>
        <v/>
      </c>
      <c r="L28" s="42" t="str">
        <f t="shared" si="0"/>
        <v/>
      </c>
      <c r="M28" s="42" t="str">
        <f>IF($B28="","",SUMPRODUCT(COUNTIFS(pbp_PlayType,EM_Type,pbp_BatTeam,$B28)*EM_BB))</f>
        <v/>
      </c>
      <c r="N28" s="42" t="str">
        <f>IF($B28="","",SUMPRODUCT(COUNTIFS(pbp_PlayType,EM_Type,pbp_BatTeam,$B28)*EM_IBB))</f>
        <v/>
      </c>
      <c r="O28" s="42" t="str">
        <f>IF($B28="","",SUMPRODUCT(COUNTIFS(pbp_PlayType,EM_Type,pbp_BatTeam,$B28)*EM_HBP))</f>
        <v/>
      </c>
      <c r="P28" s="42" t="str">
        <f>IF($B28="","",COUNTIFS(pbp_PlayType,"?*",pbp_Desc,"*struck out*",pbp_BatTeam,$B28))</f>
        <v/>
      </c>
      <c r="Q28" s="42" t="str">
        <f>IF($B28="","",SUMPRODUCT(COUNTIFS(pbp_PlayType,EM_Type,pbp_BatTeam,$B28)*EM_SF))</f>
        <v/>
      </c>
      <c r="R28" s="42" t="str">
        <f>IF($B28="","",SUMPRODUCT(COUNTIFS(pbp_PlayType,EM_Type,pbp_BatTeam,$B28)*EM_SH))</f>
        <v/>
      </c>
      <c r="S28" s="42" t="str">
        <f>IF($B28="","",SUMPRODUCT(COUNTIFS(pbp_PlayType,EM_Type,pbp_BatTeam,$B28)*EM_DP))</f>
        <v/>
      </c>
      <c r="T28" s="42" t="str">
        <f>IF($B28="","",SUMIFS(pbp_SB,pbp_BatTeam,$B28))</f>
        <v/>
      </c>
      <c r="U28" s="42" t="str">
        <f>IF($B28="","",SUMIFS(pbp_CS,pbp_BatTeam,$B28))</f>
        <v/>
      </c>
      <c r="V28" s="58" t="str">
        <f t="shared" si="1"/>
        <v/>
      </c>
      <c r="W28" s="58" t="str">
        <f t="shared" si="2"/>
        <v/>
      </c>
      <c r="X28" s="58" t="str">
        <f t="shared" si="3"/>
        <v/>
      </c>
      <c r="Y28" s="58" t="str">
        <f t="shared" si="4"/>
        <v/>
      </c>
      <c r="Z28" s="58" t="str">
        <f t="shared" si="5"/>
        <v/>
      </c>
      <c r="AA28" s="58" t="str">
        <f t="shared" si="6"/>
        <v/>
      </c>
      <c r="AB28" s="59" t="str">
        <f t="shared" si="7"/>
        <v/>
      </c>
      <c r="AC28" s="59" t="str">
        <f t="shared" si="8"/>
        <v/>
      </c>
      <c r="AD28" s="60" t="str">
        <f t="shared" si="9"/>
        <v/>
      </c>
      <c r="AE28" s="60" t="str">
        <f>IF($B28="","",IF((D28)=0,"",(SUMIFS(pbp_Pitches,pbp_BatTeam,$B28,pbp_PlayType,"?*"))/(D28)))</f>
        <v/>
      </c>
      <c r="AF28" s="59" t="str">
        <f t="shared" si="10"/>
        <v/>
      </c>
    </row>
    <row r="29" spans="2:32" x14ac:dyDescent="0.2">
      <c r="B29" s="44" t="str">
        <f t="array" ref="B29">IFERROR(INDEX(pbp_BatTeam,MATCH(0,COUNTIF($B$5:B28,pbp_BatTeam),0)),"")</f>
        <v/>
      </c>
      <c r="C29" s="42" t="str">
        <f>IF($B29="","",SUMPRODUCT((pbp_BatTeam=$B29)*(LEN(pbp_Inning)=2)*(LEFT(pbp_Inning,1)="1")*(((pbp_Inning&lt;&gt;pbp_InningPrev)+(pbp_GameID&lt;&gt;pbp_GameIDPrev))&gt;0)))</f>
        <v/>
      </c>
      <c r="D29" s="42" t="str">
        <f>IF($B29="","",SUMPRODUCT(COUNTIFS(pbp_PlayType,EM_Type,pbp_BatTeam,$B29)*EM_PA))</f>
        <v/>
      </c>
      <c r="E29" s="42" t="str">
        <f>IF($B29="","",SUMPRODUCT(COUNTIFS(pbp_PlayType,EM_Type,pbp_BatTeam,$B29)*EM_AB))</f>
        <v/>
      </c>
      <c r="F29" s="42" t="str">
        <f>IF($B29="","",SUMIFS(pbp_Runs,pbp_BatTeam,$B29))</f>
        <v/>
      </c>
      <c r="G29" s="42" t="str">
        <f>IF($B29="","",SUMPRODUCT(COUNTIFS(pbp_PlayType,EM_Type,pbp_BatTeam,$B29)*EM_H))</f>
        <v/>
      </c>
      <c r="H29" s="42" t="str">
        <f>IF($B29="","",SUMPRODUCT(COUNTIFS(pbp_PlayType,EM_Type,pbp_BatTeam,$B29)*EM_1B))</f>
        <v/>
      </c>
      <c r="I29" s="42" t="str">
        <f>IF($B29="","",SUMPRODUCT(COUNTIFS(pbp_PlayType,EM_Type,pbp_BatTeam,$B29)*EM_2B))</f>
        <v/>
      </c>
      <c r="J29" s="42" t="str">
        <f>IF($B29="","",SUMPRODUCT(COUNTIFS(pbp_PlayType,EM_Type,pbp_BatTeam,$B29)*EM_3B))</f>
        <v/>
      </c>
      <c r="K29" s="42" t="str">
        <f>IF($B29="","",SUMPRODUCT(COUNTIFS(pbp_PlayType,EM_Type,pbp_BatTeam,$B29)*EM_HR))</f>
        <v/>
      </c>
      <c r="L29" s="42" t="str">
        <f t="shared" si="0"/>
        <v/>
      </c>
      <c r="M29" s="42" t="str">
        <f>IF($B29="","",SUMPRODUCT(COUNTIFS(pbp_PlayType,EM_Type,pbp_BatTeam,$B29)*EM_BB))</f>
        <v/>
      </c>
      <c r="N29" s="42" t="str">
        <f>IF($B29="","",SUMPRODUCT(COUNTIFS(pbp_PlayType,EM_Type,pbp_BatTeam,$B29)*EM_IBB))</f>
        <v/>
      </c>
      <c r="O29" s="42" t="str">
        <f>IF($B29="","",SUMPRODUCT(COUNTIFS(pbp_PlayType,EM_Type,pbp_BatTeam,$B29)*EM_HBP))</f>
        <v/>
      </c>
      <c r="P29" s="42" t="str">
        <f>IF($B29="","",COUNTIFS(pbp_PlayType,"?*",pbp_Desc,"*struck out*",pbp_BatTeam,$B29))</f>
        <v/>
      </c>
      <c r="Q29" s="42" t="str">
        <f>IF($B29="","",SUMPRODUCT(COUNTIFS(pbp_PlayType,EM_Type,pbp_BatTeam,$B29)*EM_SF))</f>
        <v/>
      </c>
      <c r="R29" s="42" t="str">
        <f>IF($B29="","",SUMPRODUCT(COUNTIFS(pbp_PlayType,EM_Type,pbp_BatTeam,$B29)*EM_SH))</f>
        <v/>
      </c>
      <c r="S29" s="42" t="str">
        <f>IF($B29="","",SUMPRODUCT(COUNTIFS(pbp_PlayType,EM_Type,pbp_BatTeam,$B29)*EM_DP))</f>
        <v/>
      </c>
      <c r="T29" s="42" t="str">
        <f>IF($B29="","",SUMIFS(pbp_SB,pbp_BatTeam,$B29))</f>
        <v/>
      </c>
      <c r="U29" s="42" t="str">
        <f>IF($B29="","",SUMIFS(pbp_CS,pbp_BatTeam,$B29))</f>
        <v/>
      </c>
      <c r="V29" s="58" t="str">
        <f t="shared" si="1"/>
        <v/>
      </c>
      <c r="W29" s="58" t="str">
        <f t="shared" si="2"/>
        <v/>
      </c>
      <c r="X29" s="58" t="str">
        <f t="shared" si="3"/>
        <v/>
      </c>
      <c r="Y29" s="58" t="str">
        <f t="shared" si="4"/>
        <v/>
      </c>
      <c r="Z29" s="58" t="str">
        <f t="shared" si="5"/>
        <v/>
      </c>
      <c r="AA29" s="58" t="str">
        <f t="shared" si="6"/>
        <v/>
      </c>
      <c r="AB29" s="59" t="str">
        <f t="shared" si="7"/>
        <v/>
      </c>
      <c r="AC29" s="59" t="str">
        <f t="shared" si="8"/>
        <v/>
      </c>
      <c r="AD29" s="60" t="str">
        <f t="shared" si="9"/>
        <v/>
      </c>
      <c r="AE29" s="60" t="str">
        <f>IF($B29="","",IF((D29)=0,"",(SUMIFS(pbp_Pitches,pbp_BatTeam,$B29,pbp_PlayType,"?*"))/(D29)))</f>
        <v/>
      </c>
      <c r="AF29" s="59" t="str">
        <f t="shared" si="10"/>
        <v/>
      </c>
    </row>
    <row r="30" spans="2:32" x14ac:dyDescent="0.2">
      <c r="B30" s="44" t="str">
        <f t="array" ref="B30">IFERROR(INDEX(pbp_BatTeam,MATCH(0,COUNTIF($B$5:B29,pbp_BatTeam),0)),"")</f>
        <v/>
      </c>
      <c r="C30" s="42" t="str">
        <f>IF($B30="","",SUMPRODUCT((pbp_BatTeam=$B30)*(LEN(pbp_Inning)=2)*(LEFT(pbp_Inning,1)="1")*(((pbp_Inning&lt;&gt;pbp_InningPrev)+(pbp_GameID&lt;&gt;pbp_GameIDPrev))&gt;0)))</f>
        <v/>
      </c>
      <c r="D30" s="42" t="str">
        <f>IF($B30="","",SUMPRODUCT(COUNTIFS(pbp_PlayType,EM_Type,pbp_BatTeam,$B30)*EM_PA))</f>
        <v/>
      </c>
      <c r="E30" s="42" t="str">
        <f>IF($B30="","",SUMPRODUCT(COUNTIFS(pbp_PlayType,EM_Type,pbp_BatTeam,$B30)*EM_AB))</f>
        <v/>
      </c>
      <c r="F30" s="42" t="str">
        <f>IF($B30="","",SUMIFS(pbp_Runs,pbp_BatTeam,$B30))</f>
        <v/>
      </c>
      <c r="G30" s="42" t="str">
        <f>IF($B30="","",SUMPRODUCT(COUNTIFS(pbp_PlayType,EM_Type,pbp_BatTeam,$B30)*EM_H))</f>
        <v/>
      </c>
      <c r="H30" s="42" t="str">
        <f>IF($B30="","",SUMPRODUCT(COUNTIFS(pbp_PlayType,EM_Type,pbp_BatTeam,$B30)*EM_1B))</f>
        <v/>
      </c>
      <c r="I30" s="42" t="str">
        <f>IF($B30="","",SUMPRODUCT(COUNTIFS(pbp_PlayType,EM_Type,pbp_BatTeam,$B30)*EM_2B))</f>
        <v/>
      </c>
      <c r="J30" s="42" t="str">
        <f>IF($B30="","",SUMPRODUCT(COUNTIFS(pbp_PlayType,EM_Type,pbp_BatTeam,$B30)*EM_3B))</f>
        <v/>
      </c>
      <c r="K30" s="42" t="str">
        <f>IF($B30="","",SUMPRODUCT(COUNTIFS(pbp_PlayType,EM_Type,pbp_BatTeam,$B30)*EM_HR))</f>
        <v/>
      </c>
      <c r="L30" s="42" t="str">
        <f t="shared" si="0"/>
        <v/>
      </c>
      <c r="M30" s="42" t="str">
        <f>IF($B30="","",SUMPRODUCT(COUNTIFS(pbp_PlayType,EM_Type,pbp_BatTeam,$B30)*EM_BB))</f>
        <v/>
      </c>
      <c r="N30" s="42" t="str">
        <f>IF($B30="","",SUMPRODUCT(COUNTIFS(pbp_PlayType,EM_Type,pbp_BatTeam,$B30)*EM_IBB))</f>
        <v/>
      </c>
      <c r="O30" s="42" t="str">
        <f>IF($B30="","",SUMPRODUCT(COUNTIFS(pbp_PlayType,EM_Type,pbp_BatTeam,$B30)*EM_HBP))</f>
        <v/>
      </c>
      <c r="P30" s="42" t="str">
        <f>IF($B30="","",COUNTIFS(pbp_PlayType,"?*",pbp_Desc,"*struck out*",pbp_BatTeam,$B30))</f>
        <v/>
      </c>
      <c r="Q30" s="42" t="str">
        <f>IF($B30="","",SUMPRODUCT(COUNTIFS(pbp_PlayType,EM_Type,pbp_BatTeam,$B30)*EM_SF))</f>
        <v/>
      </c>
      <c r="R30" s="42" t="str">
        <f>IF($B30="","",SUMPRODUCT(COUNTIFS(pbp_PlayType,EM_Type,pbp_BatTeam,$B30)*EM_SH))</f>
        <v/>
      </c>
      <c r="S30" s="42" t="str">
        <f>IF($B30="","",SUMPRODUCT(COUNTIFS(pbp_PlayType,EM_Type,pbp_BatTeam,$B30)*EM_DP))</f>
        <v/>
      </c>
      <c r="T30" s="42" t="str">
        <f>IF($B30="","",SUMIFS(pbp_SB,pbp_BatTeam,$B30))</f>
        <v/>
      </c>
      <c r="U30" s="42" t="str">
        <f>IF($B30="","",SUMIFS(pbp_CS,pbp_BatTeam,$B30))</f>
        <v/>
      </c>
      <c r="V30" s="58" t="str">
        <f t="shared" si="1"/>
        <v/>
      </c>
      <c r="W30" s="58" t="str">
        <f t="shared" si="2"/>
        <v/>
      </c>
      <c r="X30" s="58" t="str">
        <f t="shared" si="3"/>
        <v/>
      </c>
      <c r="Y30" s="58" t="str">
        <f t="shared" si="4"/>
        <v/>
      </c>
      <c r="Z30" s="58" t="str">
        <f t="shared" si="5"/>
        <v/>
      </c>
      <c r="AA30" s="58" t="str">
        <f t="shared" si="6"/>
        <v/>
      </c>
      <c r="AB30" s="59" t="str">
        <f t="shared" si="7"/>
        <v/>
      </c>
      <c r="AC30" s="59" t="str">
        <f t="shared" si="8"/>
        <v/>
      </c>
      <c r="AD30" s="60" t="str">
        <f t="shared" si="9"/>
        <v/>
      </c>
      <c r="AE30" s="60" t="str">
        <f>IF($B30="","",IF((D30)=0,"",(SUMIFS(pbp_Pitches,pbp_BatTeam,$B30,pbp_PlayType,"?*"))/(D30)))</f>
        <v/>
      </c>
      <c r="AF30" s="59" t="str">
        <f t="shared" si="10"/>
        <v/>
      </c>
    </row>
    <row r="31" spans="2:32" x14ac:dyDescent="0.2">
      <c r="B31" s="44" t="str">
        <f t="array" ref="B31">IFERROR(INDEX(pbp_BatTeam,MATCH(0,COUNTIF($B$5:B30,pbp_BatTeam),0)),"")</f>
        <v/>
      </c>
      <c r="C31" s="42" t="str">
        <f>IF($B31="","",SUMPRODUCT((pbp_BatTeam=$B31)*(LEN(pbp_Inning)=2)*(LEFT(pbp_Inning,1)="1")*(((pbp_Inning&lt;&gt;pbp_InningPrev)+(pbp_GameID&lt;&gt;pbp_GameIDPrev))&gt;0)))</f>
        <v/>
      </c>
      <c r="D31" s="42" t="str">
        <f>IF($B31="","",SUMPRODUCT(COUNTIFS(pbp_PlayType,EM_Type,pbp_BatTeam,$B31)*EM_PA))</f>
        <v/>
      </c>
      <c r="E31" s="42" t="str">
        <f>IF($B31="","",SUMPRODUCT(COUNTIFS(pbp_PlayType,EM_Type,pbp_BatTeam,$B31)*EM_AB))</f>
        <v/>
      </c>
      <c r="F31" s="42" t="str">
        <f>IF($B31="","",SUMIFS(pbp_Runs,pbp_BatTeam,$B31))</f>
        <v/>
      </c>
      <c r="G31" s="42" t="str">
        <f>IF($B31="","",SUMPRODUCT(COUNTIFS(pbp_PlayType,EM_Type,pbp_BatTeam,$B31)*EM_H))</f>
        <v/>
      </c>
      <c r="H31" s="42" t="str">
        <f>IF($B31="","",SUMPRODUCT(COUNTIFS(pbp_PlayType,EM_Type,pbp_BatTeam,$B31)*EM_1B))</f>
        <v/>
      </c>
      <c r="I31" s="42" t="str">
        <f>IF($B31="","",SUMPRODUCT(COUNTIFS(pbp_PlayType,EM_Type,pbp_BatTeam,$B31)*EM_2B))</f>
        <v/>
      </c>
      <c r="J31" s="42" t="str">
        <f>IF($B31="","",SUMPRODUCT(COUNTIFS(pbp_PlayType,EM_Type,pbp_BatTeam,$B31)*EM_3B))</f>
        <v/>
      </c>
      <c r="K31" s="42" t="str">
        <f>IF($B31="","",SUMPRODUCT(COUNTIFS(pbp_PlayType,EM_Type,pbp_BatTeam,$B31)*EM_HR))</f>
        <v/>
      </c>
      <c r="L31" s="42" t="str">
        <f t="shared" si="0"/>
        <v/>
      </c>
      <c r="M31" s="42" t="str">
        <f>IF($B31="","",SUMPRODUCT(COUNTIFS(pbp_PlayType,EM_Type,pbp_BatTeam,$B31)*EM_BB))</f>
        <v/>
      </c>
      <c r="N31" s="42" t="str">
        <f>IF($B31="","",SUMPRODUCT(COUNTIFS(pbp_PlayType,EM_Type,pbp_BatTeam,$B31)*EM_IBB))</f>
        <v/>
      </c>
      <c r="O31" s="42" t="str">
        <f>IF($B31="","",SUMPRODUCT(COUNTIFS(pbp_PlayType,EM_Type,pbp_BatTeam,$B31)*EM_HBP))</f>
        <v/>
      </c>
      <c r="P31" s="42" t="str">
        <f>IF($B31="","",COUNTIFS(pbp_PlayType,"?*",pbp_Desc,"*struck out*",pbp_BatTeam,$B31))</f>
        <v/>
      </c>
      <c r="Q31" s="42" t="str">
        <f>IF($B31="","",SUMPRODUCT(COUNTIFS(pbp_PlayType,EM_Type,pbp_BatTeam,$B31)*EM_SF))</f>
        <v/>
      </c>
      <c r="R31" s="42" t="str">
        <f>IF($B31="","",SUMPRODUCT(COUNTIFS(pbp_PlayType,EM_Type,pbp_BatTeam,$B31)*EM_SH))</f>
        <v/>
      </c>
      <c r="S31" s="42" t="str">
        <f>IF($B31="","",SUMPRODUCT(COUNTIFS(pbp_PlayType,EM_Type,pbp_BatTeam,$B31)*EM_DP))</f>
        <v/>
      </c>
      <c r="T31" s="42" t="str">
        <f>IF($B31="","",SUMIFS(pbp_SB,pbp_BatTeam,$B31))</f>
        <v/>
      </c>
      <c r="U31" s="42" t="str">
        <f>IF($B31="","",SUMIFS(pbp_CS,pbp_BatTeam,$B31))</f>
        <v/>
      </c>
      <c r="V31" s="58" t="str">
        <f t="shared" si="1"/>
        <v/>
      </c>
      <c r="W31" s="58" t="str">
        <f t="shared" si="2"/>
        <v/>
      </c>
      <c r="X31" s="58" t="str">
        <f t="shared" si="3"/>
        <v/>
      </c>
      <c r="Y31" s="58" t="str">
        <f t="shared" si="4"/>
        <v/>
      </c>
      <c r="Z31" s="58" t="str">
        <f t="shared" si="5"/>
        <v/>
      </c>
      <c r="AA31" s="58" t="str">
        <f t="shared" si="6"/>
        <v/>
      </c>
      <c r="AB31" s="59" t="str">
        <f t="shared" si="7"/>
        <v/>
      </c>
      <c r="AC31" s="59" t="str">
        <f t="shared" si="8"/>
        <v/>
      </c>
      <c r="AD31" s="60" t="str">
        <f t="shared" si="9"/>
        <v/>
      </c>
      <c r="AE31" s="60" t="str">
        <f>IF($B31="","",IF((D31)=0,"",(SUMIFS(pbp_Pitches,pbp_BatTeam,$B31,pbp_PlayType,"?*"))/(D31)))</f>
        <v/>
      </c>
      <c r="AF31" s="59" t="str">
        <f t="shared" si="10"/>
        <v/>
      </c>
    </row>
    <row r="32" spans="2:32" x14ac:dyDescent="0.2">
      <c r="B32" s="44" t="str">
        <f t="array" ref="B32">IFERROR(INDEX(pbp_BatTeam,MATCH(0,COUNTIF($B$5:B31,pbp_BatTeam),0)),"")</f>
        <v/>
      </c>
      <c r="C32" s="42" t="str">
        <f>IF($B32="","",SUMPRODUCT((pbp_BatTeam=$B32)*(LEN(pbp_Inning)=2)*(LEFT(pbp_Inning,1)="1")*(((pbp_Inning&lt;&gt;pbp_InningPrev)+(pbp_GameID&lt;&gt;pbp_GameIDPrev))&gt;0)))</f>
        <v/>
      </c>
      <c r="D32" s="42" t="str">
        <f>IF($B32="","",SUMPRODUCT(COUNTIFS(pbp_PlayType,EM_Type,pbp_BatTeam,$B32)*EM_PA))</f>
        <v/>
      </c>
      <c r="E32" s="42" t="str">
        <f>IF($B32="","",SUMPRODUCT(COUNTIFS(pbp_PlayType,EM_Type,pbp_BatTeam,$B32)*EM_AB))</f>
        <v/>
      </c>
      <c r="F32" s="42" t="str">
        <f>IF($B32="","",SUMIFS(pbp_Runs,pbp_BatTeam,$B32))</f>
        <v/>
      </c>
      <c r="G32" s="42" t="str">
        <f>IF($B32="","",SUMPRODUCT(COUNTIFS(pbp_PlayType,EM_Type,pbp_BatTeam,$B32)*EM_H))</f>
        <v/>
      </c>
      <c r="H32" s="42" t="str">
        <f>IF($B32="","",SUMPRODUCT(COUNTIFS(pbp_PlayType,EM_Type,pbp_BatTeam,$B32)*EM_1B))</f>
        <v/>
      </c>
      <c r="I32" s="42" t="str">
        <f>IF($B32="","",SUMPRODUCT(COUNTIFS(pbp_PlayType,EM_Type,pbp_BatTeam,$B32)*EM_2B))</f>
        <v/>
      </c>
      <c r="J32" s="42" t="str">
        <f>IF($B32="","",SUMPRODUCT(COUNTIFS(pbp_PlayType,EM_Type,pbp_BatTeam,$B32)*EM_3B))</f>
        <v/>
      </c>
      <c r="K32" s="42" t="str">
        <f>IF($B32="","",SUMPRODUCT(COUNTIFS(pbp_PlayType,EM_Type,pbp_BatTeam,$B32)*EM_HR))</f>
        <v/>
      </c>
      <c r="L32" s="42" t="str">
        <f t="shared" si="0"/>
        <v/>
      </c>
      <c r="M32" s="42" t="str">
        <f>IF($B32="","",SUMPRODUCT(COUNTIFS(pbp_PlayType,EM_Type,pbp_BatTeam,$B32)*EM_BB))</f>
        <v/>
      </c>
      <c r="N32" s="42" t="str">
        <f>IF($B32="","",SUMPRODUCT(COUNTIFS(pbp_PlayType,EM_Type,pbp_BatTeam,$B32)*EM_IBB))</f>
        <v/>
      </c>
      <c r="O32" s="42" t="str">
        <f>IF($B32="","",SUMPRODUCT(COUNTIFS(pbp_PlayType,EM_Type,pbp_BatTeam,$B32)*EM_HBP))</f>
        <v/>
      </c>
      <c r="P32" s="42" t="str">
        <f>IF($B32="","",COUNTIFS(pbp_PlayType,"?*",pbp_Desc,"*struck out*",pbp_BatTeam,$B32))</f>
        <v/>
      </c>
      <c r="Q32" s="42" t="str">
        <f>IF($B32="","",SUMPRODUCT(COUNTIFS(pbp_PlayType,EM_Type,pbp_BatTeam,$B32)*EM_SF))</f>
        <v/>
      </c>
      <c r="R32" s="42" t="str">
        <f>IF($B32="","",SUMPRODUCT(COUNTIFS(pbp_PlayType,EM_Type,pbp_BatTeam,$B32)*EM_SH))</f>
        <v/>
      </c>
      <c r="S32" s="42" t="str">
        <f>IF($B32="","",SUMPRODUCT(COUNTIFS(pbp_PlayType,EM_Type,pbp_BatTeam,$B32)*EM_DP))</f>
        <v/>
      </c>
      <c r="T32" s="42" t="str">
        <f>IF($B32="","",SUMIFS(pbp_SB,pbp_BatTeam,$B32))</f>
        <v/>
      </c>
      <c r="U32" s="42" t="str">
        <f>IF($B32="","",SUMIFS(pbp_CS,pbp_BatTeam,$B32))</f>
        <v/>
      </c>
      <c r="V32" s="58" t="str">
        <f t="shared" si="1"/>
        <v/>
      </c>
      <c r="W32" s="58" t="str">
        <f t="shared" si="2"/>
        <v/>
      </c>
      <c r="X32" s="58" t="str">
        <f t="shared" si="3"/>
        <v/>
      </c>
      <c r="Y32" s="58" t="str">
        <f t="shared" si="4"/>
        <v/>
      </c>
      <c r="Z32" s="58" t="str">
        <f t="shared" si="5"/>
        <v/>
      </c>
      <c r="AA32" s="58" t="str">
        <f t="shared" si="6"/>
        <v/>
      </c>
      <c r="AB32" s="59" t="str">
        <f t="shared" si="7"/>
        <v/>
      </c>
      <c r="AC32" s="59" t="str">
        <f t="shared" si="8"/>
        <v/>
      </c>
      <c r="AD32" s="60" t="str">
        <f t="shared" si="9"/>
        <v/>
      </c>
      <c r="AE32" s="60" t="str">
        <f>IF($B32="","",IF((D32)=0,"",(SUMIFS(pbp_Pitches,pbp_BatTeam,$B32,pbp_PlayType,"?*"))/(D32)))</f>
        <v/>
      </c>
      <c r="AF32" s="59" t="str">
        <f t="shared" si="10"/>
        <v/>
      </c>
    </row>
    <row r="33" spans="2:32" x14ac:dyDescent="0.2">
      <c r="B33" s="44" t="str">
        <f t="array" ref="B33">IFERROR(INDEX(pbp_BatTeam,MATCH(0,COUNTIF($B$5:B32,pbp_BatTeam),0)),"")</f>
        <v/>
      </c>
      <c r="C33" s="42" t="str">
        <f>IF($B33="","",SUMPRODUCT((pbp_BatTeam=$B33)*(LEN(pbp_Inning)=2)*(LEFT(pbp_Inning,1)="1")*(((pbp_Inning&lt;&gt;pbp_InningPrev)+(pbp_GameID&lt;&gt;pbp_GameIDPrev))&gt;0)))</f>
        <v/>
      </c>
      <c r="D33" s="42" t="str">
        <f>IF($B33="","",SUMPRODUCT(COUNTIFS(pbp_PlayType,EM_Type,pbp_BatTeam,$B33)*EM_PA))</f>
        <v/>
      </c>
      <c r="E33" s="42" t="str">
        <f>IF($B33="","",SUMPRODUCT(COUNTIFS(pbp_PlayType,EM_Type,pbp_BatTeam,$B33)*EM_AB))</f>
        <v/>
      </c>
      <c r="F33" s="42" t="str">
        <f>IF($B33="","",SUMIFS(pbp_Runs,pbp_BatTeam,$B33))</f>
        <v/>
      </c>
      <c r="G33" s="42" t="str">
        <f>IF($B33="","",SUMPRODUCT(COUNTIFS(pbp_PlayType,EM_Type,pbp_BatTeam,$B33)*EM_H))</f>
        <v/>
      </c>
      <c r="H33" s="42" t="str">
        <f>IF($B33="","",SUMPRODUCT(COUNTIFS(pbp_PlayType,EM_Type,pbp_BatTeam,$B33)*EM_1B))</f>
        <v/>
      </c>
      <c r="I33" s="42" t="str">
        <f>IF($B33="","",SUMPRODUCT(COUNTIFS(pbp_PlayType,EM_Type,pbp_BatTeam,$B33)*EM_2B))</f>
        <v/>
      </c>
      <c r="J33" s="42" t="str">
        <f>IF($B33="","",SUMPRODUCT(COUNTIFS(pbp_PlayType,EM_Type,pbp_BatTeam,$B33)*EM_3B))</f>
        <v/>
      </c>
      <c r="K33" s="42" t="str">
        <f>IF($B33="","",SUMPRODUCT(COUNTIFS(pbp_PlayType,EM_Type,pbp_BatTeam,$B33)*EM_HR))</f>
        <v/>
      </c>
      <c r="L33" s="42" t="str">
        <f t="shared" si="0"/>
        <v/>
      </c>
      <c r="M33" s="42" t="str">
        <f>IF($B33="","",SUMPRODUCT(COUNTIFS(pbp_PlayType,EM_Type,pbp_BatTeam,$B33)*EM_BB))</f>
        <v/>
      </c>
      <c r="N33" s="42" t="str">
        <f>IF($B33="","",SUMPRODUCT(COUNTIFS(pbp_PlayType,EM_Type,pbp_BatTeam,$B33)*EM_IBB))</f>
        <v/>
      </c>
      <c r="O33" s="42" t="str">
        <f>IF($B33="","",SUMPRODUCT(COUNTIFS(pbp_PlayType,EM_Type,pbp_BatTeam,$B33)*EM_HBP))</f>
        <v/>
      </c>
      <c r="P33" s="42" t="str">
        <f>IF($B33="","",COUNTIFS(pbp_PlayType,"?*",pbp_Desc,"*struck out*",pbp_BatTeam,$B33))</f>
        <v/>
      </c>
      <c r="Q33" s="42" t="str">
        <f>IF($B33="","",SUMPRODUCT(COUNTIFS(pbp_PlayType,EM_Type,pbp_BatTeam,$B33)*EM_SF))</f>
        <v/>
      </c>
      <c r="R33" s="42" t="str">
        <f>IF($B33="","",SUMPRODUCT(COUNTIFS(pbp_PlayType,EM_Type,pbp_BatTeam,$B33)*EM_SH))</f>
        <v/>
      </c>
      <c r="S33" s="42" t="str">
        <f>IF($B33="","",SUMPRODUCT(COUNTIFS(pbp_PlayType,EM_Type,pbp_BatTeam,$B33)*EM_DP))</f>
        <v/>
      </c>
      <c r="T33" s="42" t="str">
        <f>IF($B33="","",SUMIFS(pbp_SB,pbp_BatTeam,$B33))</f>
        <v/>
      </c>
      <c r="U33" s="42" t="str">
        <f>IF($B33="","",SUMIFS(pbp_CS,pbp_BatTeam,$B33))</f>
        <v/>
      </c>
      <c r="V33" s="58" t="str">
        <f t="shared" si="1"/>
        <v/>
      </c>
      <c r="W33" s="58" t="str">
        <f t="shared" si="2"/>
        <v/>
      </c>
      <c r="X33" s="58" t="str">
        <f t="shared" si="3"/>
        <v/>
      </c>
      <c r="Y33" s="58" t="str">
        <f t="shared" si="4"/>
        <v/>
      </c>
      <c r="Z33" s="58" t="str">
        <f t="shared" si="5"/>
        <v/>
      </c>
      <c r="AA33" s="58" t="str">
        <f t="shared" si="6"/>
        <v/>
      </c>
      <c r="AB33" s="59" t="str">
        <f t="shared" si="7"/>
        <v/>
      </c>
      <c r="AC33" s="59" t="str">
        <f t="shared" si="8"/>
        <v/>
      </c>
      <c r="AD33" s="60" t="str">
        <f t="shared" si="9"/>
        <v/>
      </c>
      <c r="AE33" s="60" t="str">
        <f>IF($B33="","",IF((D33)=0,"",(SUMIFS(pbp_Pitches,pbp_BatTeam,$B33,pbp_PlayType,"?*"))/(D33)))</f>
        <v/>
      </c>
      <c r="AF33" s="59" t="str">
        <f t="shared" si="10"/>
        <v/>
      </c>
    </row>
    <row r="34" spans="2:32" x14ac:dyDescent="0.2">
      <c r="B34" s="44" t="str">
        <f t="array" ref="B34">IFERROR(INDEX(pbp_BatTeam,MATCH(0,COUNTIF($B$5:B33,pbp_BatTeam),0)),"")</f>
        <v/>
      </c>
      <c r="C34" s="42" t="str">
        <f>IF($B34="","",SUMPRODUCT((pbp_BatTeam=$B34)*(LEN(pbp_Inning)=2)*(LEFT(pbp_Inning,1)="1")*(((pbp_Inning&lt;&gt;pbp_InningPrev)+(pbp_GameID&lt;&gt;pbp_GameIDPrev))&gt;0)))</f>
        <v/>
      </c>
      <c r="D34" s="42" t="str">
        <f>IF($B34="","",SUMPRODUCT(COUNTIFS(pbp_PlayType,EM_Type,pbp_BatTeam,$B34)*EM_PA))</f>
        <v/>
      </c>
      <c r="E34" s="42" t="str">
        <f>IF($B34="","",SUMPRODUCT(COUNTIFS(pbp_PlayType,EM_Type,pbp_BatTeam,$B34)*EM_AB))</f>
        <v/>
      </c>
      <c r="F34" s="42" t="str">
        <f>IF($B34="","",SUMIFS(pbp_Runs,pbp_BatTeam,$B34))</f>
        <v/>
      </c>
      <c r="G34" s="42" t="str">
        <f>IF($B34="","",SUMPRODUCT(COUNTIFS(pbp_PlayType,EM_Type,pbp_BatTeam,$B34)*EM_H))</f>
        <v/>
      </c>
      <c r="H34" s="42" t="str">
        <f>IF($B34="","",SUMPRODUCT(COUNTIFS(pbp_PlayType,EM_Type,pbp_BatTeam,$B34)*EM_1B))</f>
        <v/>
      </c>
      <c r="I34" s="42" t="str">
        <f>IF($B34="","",SUMPRODUCT(COUNTIFS(pbp_PlayType,EM_Type,pbp_BatTeam,$B34)*EM_2B))</f>
        <v/>
      </c>
      <c r="J34" s="42" t="str">
        <f>IF($B34="","",SUMPRODUCT(COUNTIFS(pbp_PlayType,EM_Type,pbp_BatTeam,$B34)*EM_3B))</f>
        <v/>
      </c>
      <c r="K34" s="42" t="str">
        <f>IF($B34="","",SUMPRODUCT(COUNTIFS(pbp_PlayType,EM_Type,pbp_BatTeam,$B34)*EM_HR))</f>
        <v/>
      </c>
      <c r="L34" s="42" t="str">
        <f t="shared" si="0"/>
        <v/>
      </c>
      <c r="M34" s="42" t="str">
        <f>IF($B34="","",SUMPRODUCT(COUNTIFS(pbp_PlayType,EM_Type,pbp_BatTeam,$B34)*EM_BB))</f>
        <v/>
      </c>
      <c r="N34" s="42" t="str">
        <f>IF($B34="","",SUMPRODUCT(COUNTIFS(pbp_PlayType,EM_Type,pbp_BatTeam,$B34)*EM_IBB))</f>
        <v/>
      </c>
      <c r="O34" s="42" t="str">
        <f>IF($B34="","",SUMPRODUCT(COUNTIFS(pbp_PlayType,EM_Type,pbp_BatTeam,$B34)*EM_HBP))</f>
        <v/>
      </c>
      <c r="P34" s="42" t="str">
        <f>IF($B34="","",COUNTIFS(pbp_PlayType,"?*",pbp_Desc,"*struck out*",pbp_BatTeam,$B34))</f>
        <v/>
      </c>
      <c r="Q34" s="42" t="str">
        <f>IF($B34="","",SUMPRODUCT(COUNTIFS(pbp_PlayType,EM_Type,pbp_BatTeam,$B34)*EM_SF))</f>
        <v/>
      </c>
      <c r="R34" s="42" t="str">
        <f>IF($B34="","",SUMPRODUCT(COUNTIFS(pbp_PlayType,EM_Type,pbp_BatTeam,$B34)*EM_SH))</f>
        <v/>
      </c>
      <c r="S34" s="42" t="str">
        <f>IF($B34="","",SUMPRODUCT(COUNTIFS(pbp_PlayType,EM_Type,pbp_BatTeam,$B34)*EM_DP))</f>
        <v/>
      </c>
      <c r="T34" s="42" t="str">
        <f>IF($B34="","",SUMIFS(pbp_SB,pbp_BatTeam,$B34))</f>
        <v/>
      </c>
      <c r="U34" s="42" t="str">
        <f>IF($B34="","",SUMIFS(pbp_CS,pbp_BatTeam,$B34))</f>
        <v/>
      </c>
      <c r="V34" s="58" t="str">
        <f t="shared" si="1"/>
        <v/>
      </c>
      <c r="W34" s="58" t="str">
        <f t="shared" si="2"/>
        <v/>
      </c>
      <c r="X34" s="58" t="str">
        <f t="shared" si="3"/>
        <v/>
      </c>
      <c r="Y34" s="58" t="str">
        <f t="shared" si="4"/>
        <v/>
      </c>
      <c r="Z34" s="58" t="str">
        <f t="shared" si="5"/>
        <v/>
      </c>
      <c r="AA34" s="58" t="str">
        <f t="shared" si="6"/>
        <v/>
      </c>
      <c r="AB34" s="59" t="str">
        <f t="shared" si="7"/>
        <v/>
      </c>
      <c r="AC34" s="59" t="str">
        <f t="shared" si="8"/>
        <v/>
      </c>
      <c r="AD34" s="60" t="str">
        <f t="shared" si="9"/>
        <v/>
      </c>
      <c r="AE34" s="60" t="str">
        <f>IF($B34="","",IF((D34)=0,"",(SUMIFS(pbp_Pitches,pbp_BatTeam,$B34,pbp_PlayType,"?*"))/(D34)))</f>
        <v/>
      </c>
      <c r="AF34" s="59" t="str">
        <f t="shared" si="10"/>
        <v/>
      </c>
    </row>
    <row r="35" spans="2:32" x14ac:dyDescent="0.2">
      <c r="B35" s="44" t="str">
        <f t="array" ref="B35">IFERROR(INDEX(pbp_BatTeam,MATCH(0,COUNTIF($B$5:B34,pbp_BatTeam),0)),"")</f>
        <v/>
      </c>
      <c r="C35" s="42" t="str">
        <f>IF($B35="","",SUMPRODUCT((pbp_BatTeam=$B35)*(LEN(pbp_Inning)=2)*(LEFT(pbp_Inning,1)="1")*(((pbp_Inning&lt;&gt;pbp_InningPrev)+(pbp_GameID&lt;&gt;pbp_GameIDPrev))&gt;0)))</f>
        <v/>
      </c>
      <c r="D35" s="42" t="str">
        <f>IF($B35="","",SUMPRODUCT(COUNTIFS(pbp_PlayType,EM_Type,pbp_BatTeam,$B35)*EM_PA))</f>
        <v/>
      </c>
      <c r="E35" s="42" t="str">
        <f>IF($B35="","",SUMPRODUCT(COUNTIFS(pbp_PlayType,EM_Type,pbp_BatTeam,$B35)*EM_AB))</f>
        <v/>
      </c>
      <c r="F35" s="42" t="str">
        <f>IF($B35="","",SUMIFS(pbp_Runs,pbp_BatTeam,$B35))</f>
        <v/>
      </c>
      <c r="G35" s="42" t="str">
        <f>IF($B35="","",SUMPRODUCT(COUNTIFS(pbp_PlayType,EM_Type,pbp_BatTeam,$B35)*EM_H))</f>
        <v/>
      </c>
      <c r="H35" s="42" t="str">
        <f>IF($B35="","",SUMPRODUCT(COUNTIFS(pbp_PlayType,EM_Type,pbp_BatTeam,$B35)*EM_1B))</f>
        <v/>
      </c>
      <c r="I35" s="42" t="str">
        <f>IF($B35="","",SUMPRODUCT(COUNTIFS(pbp_PlayType,EM_Type,pbp_BatTeam,$B35)*EM_2B))</f>
        <v/>
      </c>
      <c r="J35" s="42" t="str">
        <f>IF($B35="","",SUMPRODUCT(COUNTIFS(pbp_PlayType,EM_Type,pbp_BatTeam,$B35)*EM_3B))</f>
        <v/>
      </c>
      <c r="K35" s="42" t="str">
        <f>IF($B35="","",SUMPRODUCT(COUNTIFS(pbp_PlayType,EM_Type,pbp_BatTeam,$B35)*EM_HR))</f>
        <v/>
      </c>
      <c r="L35" s="42" t="str">
        <f t="shared" si="0"/>
        <v/>
      </c>
      <c r="M35" s="42" t="str">
        <f>IF($B35="","",SUMPRODUCT(COUNTIFS(pbp_PlayType,EM_Type,pbp_BatTeam,$B35)*EM_BB))</f>
        <v/>
      </c>
      <c r="N35" s="42" t="str">
        <f>IF($B35="","",SUMPRODUCT(COUNTIFS(pbp_PlayType,EM_Type,pbp_BatTeam,$B35)*EM_IBB))</f>
        <v/>
      </c>
      <c r="O35" s="42" t="str">
        <f>IF($B35="","",SUMPRODUCT(COUNTIFS(pbp_PlayType,EM_Type,pbp_BatTeam,$B35)*EM_HBP))</f>
        <v/>
      </c>
      <c r="P35" s="42" t="str">
        <f>IF($B35="","",COUNTIFS(pbp_PlayType,"?*",pbp_Desc,"*struck out*",pbp_BatTeam,$B35))</f>
        <v/>
      </c>
      <c r="Q35" s="42" t="str">
        <f>IF($B35="","",SUMPRODUCT(COUNTIFS(pbp_PlayType,EM_Type,pbp_BatTeam,$B35)*EM_SF))</f>
        <v/>
      </c>
      <c r="R35" s="42" t="str">
        <f>IF($B35="","",SUMPRODUCT(COUNTIFS(pbp_PlayType,EM_Type,pbp_BatTeam,$B35)*EM_SH))</f>
        <v/>
      </c>
      <c r="S35" s="42" t="str">
        <f>IF($B35="","",SUMPRODUCT(COUNTIFS(pbp_PlayType,EM_Type,pbp_BatTeam,$B35)*EM_DP))</f>
        <v/>
      </c>
      <c r="T35" s="42" t="str">
        <f>IF($B35="","",SUMIFS(pbp_SB,pbp_BatTeam,$B35))</f>
        <v/>
      </c>
      <c r="U35" s="42" t="str">
        <f>IF($B35="","",SUMIFS(pbp_CS,pbp_BatTeam,$B35))</f>
        <v/>
      </c>
      <c r="V35" s="58" t="str">
        <f t="shared" si="1"/>
        <v/>
      </c>
      <c r="W35" s="58" t="str">
        <f t="shared" si="2"/>
        <v/>
      </c>
      <c r="X35" s="58" t="str">
        <f t="shared" si="3"/>
        <v/>
      </c>
      <c r="Y35" s="58" t="str">
        <f t="shared" si="4"/>
        <v/>
      </c>
      <c r="Z35" s="58" t="str">
        <f t="shared" si="5"/>
        <v/>
      </c>
      <c r="AA35" s="58" t="str">
        <f t="shared" si="6"/>
        <v/>
      </c>
      <c r="AB35" s="59" t="str">
        <f t="shared" si="7"/>
        <v/>
      </c>
      <c r="AC35" s="59" t="str">
        <f t="shared" si="8"/>
        <v/>
      </c>
      <c r="AD35" s="60" t="str">
        <f t="shared" si="9"/>
        <v/>
      </c>
      <c r="AE35" s="60" t="str">
        <f>IF($B35="","",IF((D35)=0,"",(SUMIFS(pbp_Pitches,pbp_BatTeam,$B35,pbp_PlayType,"?*"))/(D35)))</f>
        <v/>
      </c>
      <c r="AF35" s="59" t="str">
        <f t="shared" si="10"/>
        <v/>
      </c>
    </row>
  </sheetData>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B2:AA255"/>
  <sheetViews>
    <sheetView showGridLines="0" zoomScaleNormal="100" workbookViewId="0">
      <pane xSplit="2" ySplit="5" topLeftCell="C6" activePane="bottomRight" state="frozen"/>
      <selection pane="topRight"/>
      <selection pane="bottomLeft"/>
      <selection pane="bottomRight"/>
    </sheetView>
  </sheetViews>
  <sheetFormatPr baseColWidth="10" defaultColWidth="8.6640625" defaultRowHeight="15" x14ac:dyDescent="0.2"/>
  <cols>
    <col min="1" max="1" width="3" customWidth="1"/>
    <col min="2" max="2" width="24" customWidth="1"/>
    <col min="3" max="3" width="20" customWidth="1"/>
    <col min="4" max="15" width="6" customWidth="1"/>
    <col min="16" max="16" width="8" customWidth="1"/>
    <col min="17" max="23" width="7" customWidth="1"/>
    <col min="24" max="24" width="8" customWidth="1"/>
    <col min="25" max="25" width="6" customWidth="1"/>
    <col min="26" max="26" width="8" customWidth="1"/>
    <col min="27" max="27" width="7" customWidth="1"/>
  </cols>
  <sheetData>
    <row r="2" spans="2:27" ht="21" x14ac:dyDescent="0.25">
      <c r="B2" s="37" t="s">
        <v>338</v>
      </c>
    </row>
    <row r="3" spans="2:27" x14ac:dyDescent="0.2">
      <c r="B3" s="38" t="s">
        <v>339</v>
      </c>
    </row>
    <row r="5" spans="2:27" ht="31.5" customHeight="1" x14ac:dyDescent="0.2">
      <c r="B5" s="43" t="s">
        <v>309</v>
      </c>
      <c r="C5" s="43" t="s">
        <v>292</v>
      </c>
      <c r="D5" s="43" t="s">
        <v>340</v>
      </c>
      <c r="E5" s="43" t="s">
        <v>310</v>
      </c>
      <c r="F5" s="43" t="s">
        <v>317</v>
      </c>
      <c r="G5" s="43" t="s">
        <v>318</v>
      </c>
      <c r="H5" s="43" t="s">
        <v>26</v>
      </c>
      <c r="I5" s="43" t="s">
        <v>27</v>
      </c>
      <c r="J5" s="43" t="s">
        <v>319</v>
      </c>
      <c r="K5" s="43" t="s">
        <v>25</v>
      </c>
      <c r="L5" s="43" t="s">
        <v>321</v>
      </c>
      <c r="M5" s="43" t="s">
        <v>323</v>
      </c>
      <c r="N5" s="43" t="s">
        <v>324</v>
      </c>
      <c r="O5" s="43" t="s">
        <v>325</v>
      </c>
      <c r="P5" s="43" t="s">
        <v>341</v>
      </c>
      <c r="Q5" s="43" t="s">
        <v>295</v>
      </c>
      <c r="R5" s="43" t="s">
        <v>330</v>
      </c>
      <c r="S5" s="43" t="s">
        <v>331</v>
      </c>
      <c r="T5" s="43" t="s">
        <v>294</v>
      </c>
      <c r="U5" s="43" t="s">
        <v>332</v>
      </c>
      <c r="V5" s="43" t="s">
        <v>334</v>
      </c>
      <c r="W5" s="43" t="s">
        <v>335</v>
      </c>
      <c r="X5" s="43" t="s">
        <v>336</v>
      </c>
      <c r="Y5" s="43" t="s">
        <v>342</v>
      </c>
      <c r="Z5" s="43" t="s">
        <v>343</v>
      </c>
      <c r="AA5" s="43" t="s">
        <v>344</v>
      </c>
    </row>
    <row r="6" spans="2:27" x14ac:dyDescent="0.2">
      <c r="B6" s="44" t="str">
        <f t="array" ref="B6">IFERROR(INDEX(pbp_Batter,MATCH(0,COUNTIF($B$5:B5,pbp_Batter)+(pbp_Batter=""),0)),"")</f>
        <v>Shohei Ohtani</v>
      </c>
      <c r="C6" s="61" t="str">
        <f>IF($B6="","",IFERROR(INDEX(pbp_BatTeam,MATCH($B6,pbp_Batter,0)),""))</f>
        <v>Los Angeles Dodgers</v>
      </c>
      <c r="D6" s="61" t="str">
        <f>IF($B6="","",IFERROR(INDEX(pbp_BatHand,MATCH($B6,pbp_Batter,0)),""))</f>
        <v>L</v>
      </c>
      <c r="E6" s="42">
        <f>IF($B6="","",SUMPRODUCT(COUNTIFS(pbp_PlayType,EM_Type,pbp_Batter,$B6)*EM_PA))</f>
        <v>6</v>
      </c>
      <c r="F6" s="42">
        <f>IF($B6="","",SUMPRODUCT(COUNTIFS(pbp_PlayType,EM_Type,pbp_Batter,$B6)*EM_AB))</f>
        <v>5</v>
      </c>
      <c r="G6" s="42">
        <f>IF($B6="","",SUMPRODUCT(COUNTIFS(pbp_PlayType,EM_Type,pbp_Batter,$B6)*EM_H))</f>
        <v>2</v>
      </c>
      <c r="H6" s="42">
        <f>IF($B6="","",SUMPRODUCT(COUNTIFS(pbp_PlayType,EM_Type,pbp_Batter,$B6)*EM_2B))</f>
        <v>0</v>
      </c>
      <c r="I6" s="42">
        <f>IF($B6="","",SUMPRODUCT(COUNTIFS(pbp_PlayType,EM_Type,pbp_Batter,$B6)*EM_3B))</f>
        <v>0</v>
      </c>
      <c r="J6" s="42">
        <f>IF($B6="","",SUMPRODUCT(COUNTIFS(pbp_PlayType,EM_Type,pbp_Batter,$B6)*EM_HR))</f>
        <v>0</v>
      </c>
      <c r="K6" s="42">
        <f>IF($B6="","",SUMPRODUCT(COUNTIFS(pbp_PlayType,EM_Type,pbp_Batter,$B6)*EM_1B))</f>
        <v>2</v>
      </c>
      <c r="L6" s="42">
        <f>IF($B6="","",SUMPRODUCT(COUNTIFS(pbp_PlayType,EM_Type,pbp_Batter,$B6)*EM_BB))</f>
        <v>1</v>
      </c>
      <c r="M6" s="42">
        <f>IF($B6="","",SUMPRODUCT(COUNTIFS(pbp_PlayType,EM_Type,pbp_Batter,$B6)*EM_HBP))</f>
        <v>0</v>
      </c>
      <c r="N6" s="42">
        <f>IF($B6="","",COUNTIFS(pbp_PlayType,"?*",pbp_Desc,"*struck out*",pbp_Batter,$B6))</f>
        <v>0</v>
      </c>
      <c r="O6" s="42">
        <f>IF($B6="","",SUMPRODUCT(COUNTIFS(pbp_PlayType,EM_Type,pbp_Batter,$B6)*EM_SF))</f>
        <v>0</v>
      </c>
      <c r="P6" s="42">
        <f>IF($B6="","",SUMIFS(pbp_Runs,pbp_Batter,$B6))</f>
        <v>0</v>
      </c>
      <c r="Q6" s="58">
        <f t="shared" ref="Q6:Q69" si="0">IF($B6="","",IF((F6)=0,"",(G6)/(F6)))</f>
        <v>0.4</v>
      </c>
      <c r="R6" s="58">
        <f t="shared" ref="R6:R69" si="1">IF($B6="","",IF(((F6+L6+M6+O6))=0,"",((G6+L6+M6))/((F6+L6+M6+O6))))</f>
        <v>0.5</v>
      </c>
      <c r="S6" s="58">
        <f t="shared" ref="S6:S69" si="2">IF($B6="","",IF((F6)=0,"",((K6+2*H6+3*I6+4*J6))/(F6)))</f>
        <v>0.4</v>
      </c>
      <c r="T6" s="58">
        <f t="shared" ref="T6:T69" si="3">IF($B6="","",IF(F6=0,"",R6+S6))</f>
        <v>0.9</v>
      </c>
      <c r="U6" s="58">
        <f t="shared" ref="U6:U69" si="4">IF($B6="","",IF(F6=0,"",S6-Q6))</f>
        <v>0</v>
      </c>
      <c r="V6" s="59">
        <f t="shared" ref="V6:V69" si="5">IF($B6="","",IF((E6)=0,"",(N6)/(E6)))</f>
        <v>0</v>
      </c>
      <c r="W6" s="59">
        <f t="shared" ref="W6:W69" si="6">IF($B6="","",IF((E6)=0,"",(L6)/(E6)))</f>
        <v>0.16666666666666666</v>
      </c>
      <c r="X6" s="60">
        <f>IF($B6="","",IF((E6)=0,"",(SUMIFS(pbp_Pitches,pbp_Batter,$B6,pbp_PlayType,"?*"))/(E6)))</f>
        <v>2.5</v>
      </c>
      <c r="Y6" s="42">
        <f t="shared" ref="Y6:Y69" si="7">IF($B6="","",H6+I6+J6)</f>
        <v>0</v>
      </c>
      <c r="Z6" s="58" t="str">
        <f>IF($B6="","",IF((SUMPRODUCT(COUNTIFS(pbp_PlayType,EM_Type,pbp_Batter,$B6,pbp_On2B,"?*")*EM_AB)+SUMPRODUCT(COUNTIFS(pbp_PlayType,EM_Type,pbp_Batter,$B6,pbp_On2B,"",pbp_On3B,"?*")*EM_AB))=0,"",(SUMPRODUCT(COUNTIFS(pbp_PlayType,EM_Type,pbp_Batter,$B6,pbp_On2B,"?*")*EM_H)+SUMPRODUCT(COUNTIFS(pbp_PlayType,EM_Type,pbp_Batter,$B6,pbp_On2B,"",pbp_On3B,"?*")*EM_H))/(SUMPRODUCT(COUNTIFS(pbp_PlayType,EM_Type,pbp_Batter,$B6,pbp_On2B,"?*")*EM_AB)+SUMPRODUCT(COUNTIFS(pbp_PlayType,EM_Type,pbp_Batter,$B6,pbp_On2B,"",pbp_On3B,"?*")*EM_AB))))</f>
        <v/>
      </c>
      <c r="AA6" s="62">
        <f>IF($B6="","",IF(OR(E6&lt;MinPA,T6=""),"",COUNTIFS($E$6:$E$255,"&gt;="&amp;MinPA,$T$6:$T$255,"&gt;"&amp;T6)+COUNTIFS($E$5:E5,"&gt;="&amp;MinPA,$T$5:T5,T6)+1))</f>
        <v>8</v>
      </c>
    </row>
    <row r="7" spans="2:27" x14ac:dyDescent="0.2">
      <c r="B7" s="44" t="str">
        <f t="array" ref="B7">IFERROR(INDEX(pbp_Batter,MATCH(0,COUNTIF($B$5:B6,pbp_Batter)+(pbp_Batter=""),0)),"")</f>
        <v>Will Smith</v>
      </c>
      <c r="C7" s="61" t="str">
        <f>IF($B7="","",IFERROR(INDEX(pbp_BatTeam,MATCH($B7,pbp_Batter,0)),""))</f>
        <v>Los Angeles Dodgers</v>
      </c>
      <c r="D7" s="61" t="str">
        <f>IF($B7="","",IFERROR(INDEX(pbp_BatHand,MATCH($B7,pbp_Batter,0)),""))</f>
        <v>R</v>
      </c>
      <c r="E7" s="42">
        <f>IF($B7="","",SUMPRODUCT(COUNTIFS(pbp_PlayType,EM_Type,pbp_Batter,$B7)*EM_PA))</f>
        <v>6</v>
      </c>
      <c r="F7" s="42">
        <f>IF($B7="","",SUMPRODUCT(COUNTIFS(pbp_PlayType,EM_Type,pbp_Batter,$B7)*EM_AB))</f>
        <v>6</v>
      </c>
      <c r="G7" s="42">
        <f>IF($B7="","",SUMPRODUCT(COUNTIFS(pbp_PlayType,EM_Type,pbp_Batter,$B7)*EM_H))</f>
        <v>2</v>
      </c>
      <c r="H7" s="42">
        <f>IF($B7="","",SUMPRODUCT(COUNTIFS(pbp_PlayType,EM_Type,pbp_Batter,$B7)*EM_2B))</f>
        <v>1</v>
      </c>
      <c r="I7" s="42">
        <f>IF($B7="","",SUMPRODUCT(COUNTIFS(pbp_PlayType,EM_Type,pbp_Batter,$B7)*EM_3B))</f>
        <v>0</v>
      </c>
      <c r="J7" s="42">
        <f>IF($B7="","",SUMPRODUCT(COUNTIFS(pbp_PlayType,EM_Type,pbp_Batter,$B7)*EM_HR))</f>
        <v>1</v>
      </c>
      <c r="K7" s="42">
        <f>IF($B7="","",SUMPRODUCT(COUNTIFS(pbp_PlayType,EM_Type,pbp_Batter,$B7)*EM_1B))</f>
        <v>0</v>
      </c>
      <c r="L7" s="42">
        <f>IF($B7="","",SUMPRODUCT(COUNTIFS(pbp_PlayType,EM_Type,pbp_Batter,$B7)*EM_BB))</f>
        <v>0</v>
      </c>
      <c r="M7" s="42">
        <f>IF($B7="","",SUMPRODUCT(COUNTIFS(pbp_PlayType,EM_Type,pbp_Batter,$B7)*EM_HBP))</f>
        <v>0</v>
      </c>
      <c r="N7" s="42">
        <f>IF($B7="","",COUNTIFS(pbp_PlayType,"?*",pbp_Desc,"*struck out*",pbp_Batter,$B7))</f>
        <v>1</v>
      </c>
      <c r="O7" s="42">
        <f>IF($B7="","",SUMPRODUCT(COUNTIFS(pbp_PlayType,EM_Type,pbp_Batter,$B7)*EM_SF))</f>
        <v>0</v>
      </c>
      <c r="P7" s="42">
        <f>IF($B7="","",SUMIFS(pbp_Runs,pbp_Batter,$B7))</f>
        <v>1</v>
      </c>
      <c r="Q7" s="58">
        <f t="shared" si="0"/>
        <v>0.33333333333333331</v>
      </c>
      <c r="R7" s="58">
        <f t="shared" si="1"/>
        <v>0.33333333333333331</v>
      </c>
      <c r="S7" s="58">
        <f t="shared" si="2"/>
        <v>1</v>
      </c>
      <c r="T7" s="58">
        <f t="shared" si="3"/>
        <v>1.3333333333333333</v>
      </c>
      <c r="U7" s="58">
        <f t="shared" si="4"/>
        <v>0.66666666666666674</v>
      </c>
      <c r="V7" s="59">
        <f t="shared" si="5"/>
        <v>0.16666666666666666</v>
      </c>
      <c r="W7" s="59">
        <f t="shared" si="6"/>
        <v>0</v>
      </c>
      <c r="X7" s="60">
        <f>IF($B7="","",IF((E7)=0,"",(SUMIFS(pbp_Pitches,pbp_Batter,$B7,pbp_PlayType,"?*"))/(E7)))</f>
        <v>3.1666666666666665</v>
      </c>
      <c r="Y7" s="42">
        <f t="shared" si="7"/>
        <v>2</v>
      </c>
      <c r="Z7" s="58">
        <f>IF($B7="","",IF((SUMPRODUCT(COUNTIFS(pbp_PlayType,EM_Type,pbp_Batter,$B7,pbp_On2B,"?*")*EM_AB)+SUMPRODUCT(COUNTIFS(pbp_PlayType,EM_Type,pbp_Batter,$B7,pbp_On2B,"",pbp_On3B,"?*")*EM_AB))=0,"",(SUMPRODUCT(COUNTIFS(pbp_PlayType,EM_Type,pbp_Batter,$B7,pbp_On2B,"?*")*EM_H)+SUMPRODUCT(COUNTIFS(pbp_PlayType,EM_Type,pbp_Batter,$B7,pbp_On2B,"",pbp_On3B,"?*")*EM_H))/(SUMPRODUCT(COUNTIFS(pbp_PlayType,EM_Type,pbp_Batter,$B7,pbp_On2B,"?*")*EM_AB)+SUMPRODUCT(COUNTIFS(pbp_PlayType,EM_Type,pbp_Batter,$B7,pbp_On2B,"",pbp_On3B,"?*")*EM_AB))))</f>
        <v>0</v>
      </c>
      <c r="AA7" s="62">
        <f>IF($B7="","",IF(OR(E7&lt;MinPA,T7=""),"",COUNTIFS($E$6:$E$255,"&gt;="&amp;MinPA,$T$6:$T$255,"&gt;"&amp;T7)+COUNTIFS($E$5:E6,"&gt;="&amp;MinPA,$T$5:T6,T7)+1))</f>
        <v>5</v>
      </c>
    </row>
    <row r="8" spans="2:27" x14ac:dyDescent="0.2">
      <c r="B8" s="44" t="str">
        <f t="array" ref="B8">IFERROR(INDEX(pbp_Batter,MATCH(0,COUNTIF($B$5:B7,pbp_Batter)+(pbp_Batter=""),0)),"")</f>
        <v>Freddie Freeman</v>
      </c>
      <c r="C8" s="61" t="str">
        <f>IF($B8="","",IFERROR(INDEX(pbp_BatTeam,MATCH($B8,pbp_Batter,0)),""))</f>
        <v>Los Angeles Dodgers</v>
      </c>
      <c r="D8" s="61" t="str">
        <f>IF($B8="","",IFERROR(INDEX(pbp_BatHand,MATCH($B8,pbp_Batter,0)),""))</f>
        <v>L</v>
      </c>
      <c r="E8" s="42">
        <f>IF($B8="","",SUMPRODUCT(COUNTIFS(pbp_PlayType,EM_Type,pbp_Batter,$B8)*EM_PA))</f>
        <v>6</v>
      </c>
      <c r="F8" s="42">
        <f>IF($B8="","",SUMPRODUCT(COUNTIFS(pbp_PlayType,EM_Type,pbp_Batter,$B8)*EM_AB))</f>
        <v>6</v>
      </c>
      <c r="G8" s="42">
        <f>IF($B8="","",SUMPRODUCT(COUNTIFS(pbp_PlayType,EM_Type,pbp_Batter,$B8)*EM_H))</f>
        <v>1</v>
      </c>
      <c r="H8" s="42">
        <f>IF($B8="","",SUMPRODUCT(COUNTIFS(pbp_PlayType,EM_Type,pbp_Batter,$B8)*EM_2B))</f>
        <v>0</v>
      </c>
      <c r="I8" s="42">
        <f>IF($B8="","",SUMPRODUCT(COUNTIFS(pbp_PlayType,EM_Type,pbp_Batter,$B8)*EM_3B))</f>
        <v>0</v>
      </c>
      <c r="J8" s="42">
        <f>IF($B8="","",SUMPRODUCT(COUNTIFS(pbp_PlayType,EM_Type,pbp_Batter,$B8)*EM_HR))</f>
        <v>0</v>
      </c>
      <c r="K8" s="42">
        <f>IF($B8="","",SUMPRODUCT(COUNTIFS(pbp_PlayType,EM_Type,pbp_Batter,$B8)*EM_1B))</f>
        <v>1</v>
      </c>
      <c r="L8" s="42">
        <f>IF($B8="","",SUMPRODUCT(COUNTIFS(pbp_PlayType,EM_Type,pbp_Batter,$B8)*EM_BB))</f>
        <v>0</v>
      </c>
      <c r="M8" s="42">
        <f>IF($B8="","",SUMPRODUCT(COUNTIFS(pbp_PlayType,EM_Type,pbp_Batter,$B8)*EM_HBP))</f>
        <v>0</v>
      </c>
      <c r="N8" s="42">
        <f>IF($B8="","",COUNTIFS(pbp_PlayType,"?*",pbp_Desc,"*struck out*",pbp_Batter,$B8))</f>
        <v>0</v>
      </c>
      <c r="O8" s="42">
        <f>IF($B8="","",SUMPRODUCT(COUNTIFS(pbp_PlayType,EM_Type,pbp_Batter,$B8)*EM_SF))</f>
        <v>0</v>
      </c>
      <c r="P8" s="42">
        <f>IF($B8="","",SUMIFS(pbp_Runs,pbp_Batter,$B8))</f>
        <v>0</v>
      </c>
      <c r="Q8" s="58">
        <f t="shared" si="0"/>
        <v>0.16666666666666666</v>
      </c>
      <c r="R8" s="58">
        <f t="shared" si="1"/>
        <v>0.16666666666666666</v>
      </c>
      <c r="S8" s="58">
        <f t="shared" si="2"/>
        <v>0.16666666666666666</v>
      </c>
      <c r="T8" s="58">
        <f t="shared" si="3"/>
        <v>0.33333333333333331</v>
      </c>
      <c r="U8" s="58">
        <f t="shared" si="4"/>
        <v>0</v>
      </c>
      <c r="V8" s="59">
        <f t="shared" si="5"/>
        <v>0</v>
      </c>
      <c r="W8" s="59">
        <f t="shared" si="6"/>
        <v>0</v>
      </c>
      <c r="X8" s="60">
        <f>IF($B8="","",IF((E8)=0,"",(SUMIFS(pbp_Pitches,pbp_Batter,$B8,pbp_PlayType,"?*"))/(E8)))</f>
        <v>3.5</v>
      </c>
      <c r="Y8" s="42">
        <f t="shared" si="7"/>
        <v>0</v>
      </c>
      <c r="Z8" s="58">
        <f>IF($B8="","",IF((SUMPRODUCT(COUNTIFS(pbp_PlayType,EM_Type,pbp_Batter,$B8,pbp_On2B,"?*")*EM_AB)+SUMPRODUCT(COUNTIFS(pbp_PlayType,EM_Type,pbp_Batter,$B8,pbp_On2B,"",pbp_On3B,"?*")*EM_AB))=0,"",(SUMPRODUCT(COUNTIFS(pbp_PlayType,EM_Type,pbp_Batter,$B8,pbp_On2B,"?*")*EM_H)+SUMPRODUCT(COUNTIFS(pbp_PlayType,EM_Type,pbp_Batter,$B8,pbp_On2B,"",pbp_On3B,"?*")*EM_H))/(SUMPRODUCT(COUNTIFS(pbp_PlayType,EM_Type,pbp_Batter,$B8,pbp_On2B,"?*")*EM_AB)+SUMPRODUCT(COUNTIFS(pbp_PlayType,EM_Type,pbp_Batter,$B8,pbp_On2B,"",pbp_On3B,"?*")*EM_AB))))</f>
        <v>0.33333333333333331</v>
      </c>
      <c r="AA8" s="62">
        <f>IF($B8="","",IF(OR(E8&lt;MinPA,T8=""),"",COUNTIFS($E$6:$E$255,"&gt;="&amp;MinPA,$T$6:$T$255,"&gt;"&amp;T8)+COUNTIFS($E$5:E7,"&gt;="&amp;MinPA,$T$5:T7,T8)+1))</f>
        <v>14</v>
      </c>
    </row>
    <row r="9" spans="2:27" x14ac:dyDescent="0.2">
      <c r="B9" s="44" t="str">
        <f t="array" ref="B9">IFERROR(INDEX(pbp_Batter,MATCH(0,COUNTIF($B$5:B8,pbp_Batter)+(pbp_Batter=""),0)),"")</f>
        <v>Mookie Betts</v>
      </c>
      <c r="C9" s="61" t="str">
        <f>IF($B9="","",IFERROR(INDEX(pbp_BatTeam,MATCH($B9,pbp_Batter,0)),""))</f>
        <v>Los Angeles Dodgers</v>
      </c>
      <c r="D9" s="61" t="str">
        <f>IF($B9="","",IFERROR(INDEX(pbp_BatHand,MATCH($B9,pbp_Batter,0)),""))</f>
        <v>R</v>
      </c>
      <c r="E9" s="42">
        <f>IF($B9="","",SUMPRODUCT(COUNTIFS(pbp_PlayType,EM_Type,pbp_Batter,$B9)*EM_PA))</f>
        <v>5</v>
      </c>
      <c r="F9" s="42">
        <f>IF($B9="","",SUMPRODUCT(COUNTIFS(pbp_PlayType,EM_Type,pbp_Batter,$B9)*EM_AB))</f>
        <v>3</v>
      </c>
      <c r="G9" s="42">
        <f>IF($B9="","",SUMPRODUCT(COUNTIFS(pbp_PlayType,EM_Type,pbp_Batter,$B9)*EM_H))</f>
        <v>0</v>
      </c>
      <c r="H9" s="42">
        <f>IF($B9="","",SUMPRODUCT(COUNTIFS(pbp_PlayType,EM_Type,pbp_Batter,$B9)*EM_2B))</f>
        <v>0</v>
      </c>
      <c r="I9" s="42">
        <f>IF($B9="","",SUMPRODUCT(COUNTIFS(pbp_PlayType,EM_Type,pbp_Batter,$B9)*EM_3B))</f>
        <v>0</v>
      </c>
      <c r="J9" s="42">
        <f>IF($B9="","",SUMPRODUCT(COUNTIFS(pbp_PlayType,EM_Type,pbp_Batter,$B9)*EM_HR))</f>
        <v>0</v>
      </c>
      <c r="K9" s="42">
        <f>IF($B9="","",SUMPRODUCT(COUNTIFS(pbp_PlayType,EM_Type,pbp_Batter,$B9)*EM_1B))</f>
        <v>0</v>
      </c>
      <c r="L9" s="42">
        <f>IF($B9="","",SUMPRODUCT(COUNTIFS(pbp_PlayType,EM_Type,pbp_Batter,$B9)*EM_BB))</f>
        <v>2</v>
      </c>
      <c r="M9" s="42">
        <f>IF($B9="","",SUMPRODUCT(COUNTIFS(pbp_PlayType,EM_Type,pbp_Batter,$B9)*EM_HBP))</f>
        <v>0</v>
      </c>
      <c r="N9" s="42">
        <f>IF($B9="","",COUNTIFS(pbp_PlayType,"?*",pbp_Desc,"*struck out*",pbp_Batter,$B9))</f>
        <v>0</v>
      </c>
      <c r="O9" s="42">
        <f>IF($B9="","",SUMPRODUCT(COUNTIFS(pbp_PlayType,EM_Type,pbp_Batter,$B9)*EM_SF))</f>
        <v>0</v>
      </c>
      <c r="P9" s="42">
        <f>IF($B9="","",SUMIFS(pbp_Runs,pbp_Batter,$B9))</f>
        <v>0</v>
      </c>
      <c r="Q9" s="58">
        <f t="shared" si="0"/>
        <v>0</v>
      </c>
      <c r="R9" s="58">
        <f t="shared" si="1"/>
        <v>0.4</v>
      </c>
      <c r="S9" s="58">
        <f t="shared" si="2"/>
        <v>0</v>
      </c>
      <c r="T9" s="58">
        <f t="shared" si="3"/>
        <v>0.4</v>
      </c>
      <c r="U9" s="58">
        <f t="shared" si="4"/>
        <v>0</v>
      </c>
      <c r="V9" s="59">
        <f t="shared" si="5"/>
        <v>0</v>
      </c>
      <c r="W9" s="59">
        <f t="shared" si="6"/>
        <v>0.4</v>
      </c>
      <c r="X9" s="60">
        <f>IF($B9="","",IF((E9)=0,"",(SUMIFS(pbp_Pitches,pbp_Batter,$B9,pbp_PlayType,"?*"))/(E9)))</f>
        <v>4</v>
      </c>
      <c r="Y9" s="42">
        <f t="shared" si="7"/>
        <v>0</v>
      </c>
      <c r="Z9" s="58">
        <f>IF($B9="","",IF((SUMPRODUCT(COUNTIFS(pbp_PlayType,EM_Type,pbp_Batter,$B9,pbp_On2B,"?*")*EM_AB)+SUMPRODUCT(COUNTIFS(pbp_PlayType,EM_Type,pbp_Batter,$B9,pbp_On2B,"",pbp_On3B,"?*")*EM_AB))=0,"",(SUMPRODUCT(COUNTIFS(pbp_PlayType,EM_Type,pbp_Batter,$B9,pbp_On2B,"?*")*EM_H)+SUMPRODUCT(COUNTIFS(pbp_PlayType,EM_Type,pbp_Batter,$B9,pbp_On2B,"",pbp_On3B,"?*")*EM_H))/(SUMPRODUCT(COUNTIFS(pbp_PlayType,EM_Type,pbp_Batter,$B9,pbp_On2B,"?*")*EM_AB)+SUMPRODUCT(COUNTIFS(pbp_PlayType,EM_Type,pbp_Batter,$B9,pbp_On2B,"",pbp_On3B,"?*")*EM_AB))))</f>
        <v>0</v>
      </c>
      <c r="AA9" s="62">
        <f>IF($B9="","",IF(OR(E9&lt;MinPA,T9=""),"",COUNTIFS($E$6:$E$255,"&gt;="&amp;MinPA,$T$6:$T$255,"&gt;"&amp;T9)+COUNTIFS($E$5:E8,"&gt;="&amp;MinPA,$T$5:T8,T9)+1))</f>
        <v>12</v>
      </c>
    </row>
    <row r="10" spans="2:27" x14ac:dyDescent="0.2">
      <c r="B10" s="44" t="str">
        <f t="array" ref="B10">IFERROR(INDEX(pbp_Batter,MATCH(0,COUNTIF($B$5:B9,pbp_Batter)+(pbp_Batter=""),0)),"")</f>
        <v>George Springer</v>
      </c>
      <c r="C10" s="61" t="str">
        <f>IF($B10="","",IFERROR(INDEX(pbp_BatTeam,MATCH($B10,pbp_Batter,0)),""))</f>
        <v>Toronto Blue Jays</v>
      </c>
      <c r="D10" s="61" t="str">
        <f>IF($B10="","",IFERROR(INDEX(pbp_BatHand,MATCH($B10,pbp_Batter,0)),""))</f>
        <v>R</v>
      </c>
      <c r="E10" s="42">
        <f>IF($B10="","",SUMPRODUCT(COUNTIFS(pbp_PlayType,EM_Type,pbp_Batter,$B10)*EM_PA))</f>
        <v>6</v>
      </c>
      <c r="F10" s="42">
        <f>IF($B10="","",SUMPRODUCT(COUNTIFS(pbp_PlayType,EM_Type,pbp_Batter,$B10)*EM_AB))</f>
        <v>6</v>
      </c>
      <c r="G10" s="42">
        <f>IF($B10="","",SUMPRODUCT(COUNTIFS(pbp_PlayType,EM_Type,pbp_Batter,$B10)*EM_H))</f>
        <v>3</v>
      </c>
      <c r="H10" s="42">
        <f>IF($B10="","",SUMPRODUCT(COUNTIFS(pbp_PlayType,EM_Type,pbp_Batter,$B10)*EM_2B))</f>
        <v>0</v>
      </c>
      <c r="I10" s="42">
        <f>IF($B10="","",SUMPRODUCT(COUNTIFS(pbp_PlayType,EM_Type,pbp_Batter,$B10)*EM_3B))</f>
        <v>0</v>
      </c>
      <c r="J10" s="42">
        <f>IF($B10="","",SUMPRODUCT(COUNTIFS(pbp_PlayType,EM_Type,pbp_Batter,$B10)*EM_HR))</f>
        <v>0</v>
      </c>
      <c r="K10" s="42">
        <f>IF($B10="","",SUMPRODUCT(COUNTIFS(pbp_PlayType,EM_Type,pbp_Batter,$B10)*EM_1B))</f>
        <v>3</v>
      </c>
      <c r="L10" s="42">
        <f>IF($B10="","",SUMPRODUCT(COUNTIFS(pbp_PlayType,EM_Type,pbp_Batter,$B10)*EM_BB))</f>
        <v>0</v>
      </c>
      <c r="M10" s="42">
        <f>IF($B10="","",SUMPRODUCT(COUNTIFS(pbp_PlayType,EM_Type,pbp_Batter,$B10)*EM_HBP))</f>
        <v>0</v>
      </c>
      <c r="N10" s="42">
        <f>IF($B10="","",COUNTIFS(pbp_PlayType,"?*",pbp_Desc,"*struck out*",pbp_Batter,$B10))</f>
        <v>3</v>
      </c>
      <c r="O10" s="42">
        <f>IF($B10="","",SUMPRODUCT(COUNTIFS(pbp_PlayType,EM_Type,pbp_Batter,$B10)*EM_SF))</f>
        <v>0</v>
      </c>
      <c r="P10" s="42">
        <f>IF($B10="","",SUMIFS(pbp_Runs,pbp_Batter,$B10))</f>
        <v>0</v>
      </c>
      <c r="Q10" s="58">
        <f t="shared" si="0"/>
        <v>0.5</v>
      </c>
      <c r="R10" s="58">
        <f t="shared" si="1"/>
        <v>0.5</v>
      </c>
      <c r="S10" s="58">
        <f t="shared" si="2"/>
        <v>0.5</v>
      </c>
      <c r="T10" s="58">
        <f t="shared" si="3"/>
        <v>1</v>
      </c>
      <c r="U10" s="58">
        <f t="shared" si="4"/>
        <v>0</v>
      </c>
      <c r="V10" s="59">
        <f t="shared" si="5"/>
        <v>0.5</v>
      </c>
      <c r="W10" s="59">
        <f t="shared" si="6"/>
        <v>0</v>
      </c>
      <c r="X10" s="60">
        <f>IF($B10="","",IF((E10)=0,"",(SUMIFS(pbp_Pitches,pbp_Batter,$B10,pbp_PlayType,"?*"))/(E10)))</f>
        <v>4.333333333333333</v>
      </c>
      <c r="Y10" s="42">
        <f t="shared" si="7"/>
        <v>0</v>
      </c>
      <c r="Z10" s="58">
        <f>IF($B10="","",IF((SUMPRODUCT(COUNTIFS(pbp_PlayType,EM_Type,pbp_Batter,$B10,pbp_On2B,"?*")*EM_AB)+SUMPRODUCT(COUNTIFS(pbp_PlayType,EM_Type,pbp_Batter,$B10,pbp_On2B,"",pbp_On3B,"?*")*EM_AB))=0,"",(SUMPRODUCT(COUNTIFS(pbp_PlayType,EM_Type,pbp_Batter,$B10,pbp_On2B,"?*")*EM_H)+SUMPRODUCT(COUNTIFS(pbp_PlayType,EM_Type,pbp_Batter,$B10,pbp_On2B,"",pbp_On3B,"?*")*EM_H))/(SUMPRODUCT(COUNTIFS(pbp_PlayType,EM_Type,pbp_Batter,$B10,pbp_On2B,"?*")*EM_AB)+SUMPRODUCT(COUNTIFS(pbp_PlayType,EM_Type,pbp_Batter,$B10,pbp_On2B,"",pbp_On3B,"?*")*EM_AB))))</f>
        <v>0</v>
      </c>
      <c r="AA10" s="62">
        <f>IF($B10="","",IF(OR(E10&lt;MinPA,T10=""),"",COUNTIFS($E$6:$E$255,"&gt;="&amp;MinPA,$T$6:$T$255,"&gt;"&amp;T10)+COUNTIFS($E$5:E9,"&gt;="&amp;MinPA,$T$5:T9,T10)+1))</f>
        <v>7</v>
      </c>
    </row>
    <row r="11" spans="2:27" x14ac:dyDescent="0.2">
      <c r="B11" s="44" t="str">
        <f t="array" ref="B11">IFERROR(INDEX(pbp_Batter,MATCH(0,COUNTIF($B$5:B10,pbp_Batter)+(pbp_Batter=""),0)),"")</f>
        <v>Nathan Lukes</v>
      </c>
      <c r="C11" s="61" t="str">
        <f>IF($B11="","",IFERROR(INDEX(pbp_BatTeam,MATCH($B11,pbp_Batter,0)),""))</f>
        <v>Toronto Blue Jays</v>
      </c>
      <c r="D11" s="61" t="str">
        <f>IF($B11="","",IFERROR(INDEX(pbp_BatHand,MATCH($B11,pbp_Batter,0)),""))</f>
        <v>L</v>
      </c>
      <c r="E11" s="42">
        <f>IF($B11="","",SUMPRODUCT(COUNTIFS(pbp_PlayType,EM_Type,pbp_Batter,$B11)*EM_PA))</f>
        <v>4</v>
      </c>
      <c r="F11" s="42">
        <f>IF($B11="","",SUMPRODUCT(COUNTIFS(pbp_PlayType,EM_Type,pbp_Batter,$B11)*EM_AB))</f>
        <v>3</v>
      </c>
      <c r="G11" s="42">
        <f>IF($B11="","",SUMPRODUCT(COUNTIFS(pbp_PlayType,EM_Type,pbp_Batter,$B11)*EM_H))</f>
        <v>0</v>
      </c>
      <c r="H11" s="42">
        <f>IF($B11="","",SUMPRODUCT(COUNTIFS(pbp_PlayType,EM_Type,pbp_Batter,$B11)*EM_2B))</f>
        <v>0</v>
      </c>
      <c r="I11" s="42">
        <f>IF($B11="","",SUMPRODUCT(COUNTIFS(pbp_PlayType,EM_Type,pbp_Batter,$B11)*EM_3B))</f>
        <v>0</v>
      </c>
      <c r="J11" s="42">
        <f>IF($B11="","",SUMPRODUCT(COUNTIFS(pbp_PlayType,EM_Type,pbp_Batter,$B11)*EM_HR))</f>
        <v>0</v>
      </c>
      <c r="K11" s="42">
        <f>IF($B11="","",SUMPRODUCT(COUNTIFS(pbp_PlayType,EM_Type,pbp_Batter,$B11)*EM_1B))</f>
        <v>0</v>
      </c>
      <c r="L11" s="42">
        <f>IF($B11="","",SUMPRODUCT(COUNTIFS(pbp_PlayType,EM_Type,pbp_Batter,$B11)*EM_BB))</f>
        <v>0</v>
      </c>
      <c r="M11" s="42">
        <f>IF($B11="","",SUMPRODUCT(COUNTIFS(pbp_PlayType,EM_Type,pbp_Batter,$B11)*EM_HBP))</f>
        <v>0</v>
      </c>
      <c r="N11" s="42">
        <f>IF($B11="","",COUNTIFS(pbp_PlayType,"?*",pbp_Desc,"*struck out*",pbp_Batter,$B11))</f>
        <v>2</v>
      </c>
      <c r="O11" s="42">
        <f>IF($B11="","",SUMPRODUCT(COUNTIFS(pbp_PlayType,EM_Type,pbp_Batter,$B11)*EM_SF))</f>
        <v>0</v>
      </c>
      <c r="P11" s="42">
        <f>IF($B11="","",SUMIFS(pbp_Runs,pbp_Batter,$B11))</f>
        <v>0</v>
      </c>
      <c r="Q11" s="58">
        <f t="shared" si="0"/>
        <v>0</v>
      </c>
      <c r="R11" s="58">
        <f t="shared" si="1"/>
        <v>0</v>
      </c>
      <c r="S11" s="58">
        <f t="shared" si="2"/>
        <v>0</v>
      </c>
      <c r="T11" s="58">
        <f t="shared" si="3"/>
        <v>0</v>
      </c>
      <c r="U11" s="58">
        <f t="shared" si="4"/>
        <v>0</v>
      </c>
      <c r="V11" s="59">
        <f t="shared" si="5"/>
        <v>0.5</v>
      </c>
      <c r="W11" s="59">
        <f t="shared" si="6"/>
        <v>0</v>
      </c>
      <c r="X11" s="60">
        <f>IF($B11="","",IF((E11)=0,"",(SUMIFS(pbp_Pitches,pbp_Batter,$B11,pbp_PlayType,"?*"))/(E11)))</f>
        <v>3.5</v>
      </c>
      <c r="Y11" s="42">
        <f t="shared" si="7"/>
        <v>0</v>
      </c>
      <c r="Z11" s="58">
        <f>IF($B11="","",IF((SUMPRODUCT(COUNTIFS(pbp_PlayType,EM_Type,pbp_Batter,$B11,pbp_On2B,"?*")*EM_AB)+SUMPRODUCT(COUNTIFS(pbp_PlayType,EM_Type,pbp_Batter,$B11,pbp_On2B,"",pbp_On3B,"?*")*EM_AB))=0,"",(SUMPRODUCT(COUNTIFS(pbp_PlayType,EM_Type,pbp_Batter,$B11,pbp_On2B,"?*")*EM_H)+SUMPRODUCT(COUNTIFS(pbp_PlayType,EM_Type,pbp_Batter,$B11,pbp_On2B,"",pbp_On3B,"?*")*EM_H))/(SUMPRODUCT(COUNTIFS(pbp_PlayType,EM_Type,pbp_Batter,$B11,pbp_On2B,"?*")*EM_AB)+SUMPRODUCT(COUNTIFS(pbp_PlayType,EM_Type,pbp_Batter,$B11,pbp_On2B,"",pbp_On3B,"?*")*EM_AB))))</f>
        <v>0</v>
      </c>
      <c r="AA11" s="62">
        <f>IF($B11="","",IF(OR(E11&lt;MinPA,T11=""),"",COUNTIFS($E$6:$E$255,"&gt;="&amp;MinPA,$T$6:$T$255,"&gt;"&amp;T11)+COUNTIFS($E$5:E10,"&gt;="&amp;MinPA,$T$5:T10,T11)+1))</f>
        <v>16</v>
      </c>
    </row>
    <row r="12" spans="2:27" x14ac:dyDescent="0.2">
      <c r="B12" s="44" t="str">
        <f t="array" ref="B12">IFERROR(INDEX(pbp_Batter,MATCH(0,COUNTIF($B$5:B11,pbp_Batter)+(pbp_Batter=""),0)),"")</f>
        <v>Vladimir Guerrero Jr.</v>
      </c>
      <c r="C12" s="61" t="str">
        <f>IF($B12="","",IFERROR(INDEX(pbp_BatTeam,MATCH($B12,pbp_Batter,0)),""))</f>
        <v>Toronto Blue Jays</v>
      </c>
      <c r="D12" s="61" t="str">
        <f>IF($B12="","",IFERROR(INDEX(pbp_BatHand,MATCH($B12,pbp_Batter,0)),""))</f>
        <v>R</v>
      </c>
      <c r="E12" s="42">
        <f>IF($B12="","",SUMPRODUCT(COUNTIFS(pbp_PlayType,EM_Type,pbp_Batter,$B12)*EM_PA))</f>
        <v>6</v>
      </c>
      <c r="F12" s="42">
        <f>IF($B12="","",SUMPRODUCT(COUNTIFS(pbp_PlayType,EM_Type,pbp_Batter,$B12)*EM_AB))</f>
        <v>5</v>
      </c>
      <c r="G12" s="42">
        <f>IF($B12="","",SUMPRODUCT(COUNTIFS(pbp_PlayType,EM_Type,pbp_Batter,$B12)*EM_H))</f>
        <v>1</v>
      </c>
      <c r="H12" s="42">
        <f>IF($B12="","",SUMPRODUCT(COUNTIFS(pbp_PlayType,EM_Type,pbp_Batter,$B12)*EM_2B))</f>
        <v>1</v>
      </c>
      <c r="I12" s="42">
        <f>IF($B12="","",SUMPRODUCT(COUNTIFS(pbp_PlayType,EM_Type,pbp_Batter,$B12)*EM_3B))</f>
        <v>0</v>
      </c>
      <c r="J12" s="42">
        <f>IF($B12="","",SUMPRODUCT(COUNTIFS(pbp_PlayType,EM_Type,pbp_Batter,$B12)*EM_HR))</f>
        <v>0</v>
      </c>
      <c r="K12" s="42">
        <f>IF($B12="","",SUMPRODUCT(COUNTIFS(pbp_PlayType,EM_Type,pbp_Batter,$B12)*EM_1B))</f>
        <v>0</v>
      </c>
      <c r="L12" s="42">
        <f>IF($B12="","",SUMPRODUCT(COUNTIFS(pbp_PlayType,EM_Type,pbp_Batter,$B12)*EM_BB))</f>
        <v>1</v>
      </c>
      <c r="M12" s="42">
        <f>IF($B12="","",SUMPRODUCT(COUNTIFS(pbp_PlayType,EM_Type,pbp_Batter,$B12)*EM_HBP))</f>
        <v>0</v>
      </c>
      <c r="N12" s="42">
        <f>IF($B12="","",COUNTIFS(pbp_PlayType,"?*",pbp_Desc,"*struck out*",pbp_Batter,$B12))</f>
        <v>1</v>
      </c>
      <c r="O12" s="42">
        <f>IF($B12="","",SUMPRODUCT(COUNTIFS(pbp_PlayType,EM_Type,pbp_Batter,$B12)*EM_SF))</f>
        <v>0</v>
      </c>
      <c r="P12" s="42">
        <f>IF($B12="","",SUMIFS(pbp_Runs,pbp_Batter,$B12))</f>
        <v>0</v>
      </c>
      <c r="Q12" s="58">
        <f t="shared" si="0"/>
        <v>0.2</v>
      </c>
      <c r="R12" s="58">
        <f t="shared" si="1"/>
        <v>0.33333333333333331</v>
      </c>
      <c r="S12" s="58">
        <f t="shared" si="2"/>
        <v>0.4</v>
      </c>
      <c r="T12" s="58">
        <f t="shared" si="3"/>
        <v>0.73333333333333339</v>
      </c>
      <c r="U12" s="58">
        <f t="shared" si="4"/>
        <v>0.2</v>
      </c>
      <c r="V12" s="59">
        <f t="shared" si="5"/>
        <v>0.16666666666666666</v>
      </c>
      <c r="W12" s="59">
        <f t="shared" si="6"/>
        <v>0.16666666666666666</v>
      </c>
      <c r="X12" s="60">
        <f>IF($B12="","",IF((E12)=0,"",(SUMIFS(pbp_Pitches,pbp_Batter,$B12,pbp_PlayType,"?*"))/(E12)))</f>
        <v>4</v>
      </c>
      <c r="Y12" s="42">
        <f t="shared" si="7"/>
        <v>1</v>
      </c>
      <c r="Z12" s="58">
        <f>IF($B12="","",IF((SUMPRODUCT(COUNTIFS(pbp_PlayType,EM_Type,pbp_Batter,$B12,pbp_On2B,"?*")*EM_AB)+SUMPRODUCT(COUNTIFS(pbp_PlayType,EM_Type,pbp_Batter,$B12,pbp_On2B,"",pbp_On3B,"?*")*EM_AB))=0,"",(SUMPRODUCT(COUNTIFS(pbp_PlayType,EM_Type,pbp_Batter,$B12,pbp_On2B,"?*")*EM_H)+SUMPRODUCT(COUNTIFS(pbp_PlayType,EM_Type,pbp_Batter,$B12,pbp_On2B,"",pbp_On3B,"?*")*EM_H))/(SUMPRODUCT(COUNTIFS(pbp_PlayType,EM_Type,pbp_Batter,$B12,pbp_On2B,"?*")*EM_AB)+SUMPRODUCT(COUNTIFS(pbp_PlayType,EM_Type,pbp_Batter,$B12,pbp_On2B,"",pbp_On3B,"?*")*EM_AB))))</f>
        <v>0</v>
      </c>
      <c r="AA12" s="62">
        <f>IF($B12="","",IF(OR(E12&lt;MinPA,T12=""),"",COUNTIFS($E$6:$E$255,"&gt;="&amp;MinPA,$T$6:$T$255,"&gt;"&amp;T12)+COUNTIFS($E$5:E11,"&gt;="&amp;MinPA,$T$5:T11,T12)+1))</f>
        <v>11</v>
      </c>
    </row>
    <row r="13" spans="2:27" x14ac:dyDescent="0.2">
      <c r="B13" s="44" t="str">
        <f t="array" ref="B13">IFERROR(INDEX(pbp_Batter,MATCH(0,COUNTIF($B$5:B12,pbp_Batter)+(pbp_Batter=""),0)),"")</f>
        <v>Max Muncy</v>
      </c>
      <c r="C13" s="61" t="str">
        <f>IF($B13="","",IFERROR(INDEX(pbp_BatTeam,MATCH($B13,pbp_Batter,0)),""))</f>
        <v>Los Angeles Dodgers</v>
      </c>
      <c r="D13" s="61" t="str">
        <f>IF($B13="","",IFERROR(INDEX(pbp_BatHand,MATCH($B13,pbp_Batter,0)),""))</f>
        <v>L</v>
      </c>
      <c r="E13" s="42">
        <f>IF($B13="","",SUMPRODUCT(COUNTIFS(pbp_PlayType,EM_Type,pbp_Batter,$B13)*EM_PA))</f>
        <v>5</v>
      </c>
      <c r="F13" s="42">
        <f>IF($B13="","",SUMPRODUCT(COUNTIFS(pbp_PlayType,EM_Type,pbp_Batter,$B13)*EM_AB))</f>
        <v>4</v>
      </c>
      <c r="G13" s="42">
        <f>IF($B13="","",SUMPRODUCT(COUNTIFS(pbp_PlayType,EM_Type,pbp_Batter,$B13)*EM_H))</f>
        <v>3</v>
      </c>
      <c r="H13" s="42">
        <f>IF($B13="","",SUMPRODUCT(COUNTIFS(pbp_PlayType,EM_Type,pbp_Batter,$B13)*EM_2B))</f>
        <v>0</v>
      </c>
      <c r="I13" s="42">
        <f>IF($B13="","",SUMPRODUCT(COUNTIFS(pbp_PlayType,EM_Type,pbp_Batter,$B13)*EM_3B))</f>
        <v>0</v>
      </c>
      <c r="J13" s="42">
        <f>IF($B13="","",SUMPRODUCT(COUNTIFS(pbp_PlayType,EM_Type,pbp_Batter,$B13)*EM_HR))</f>
        <v>1</v>
      </c>
      <c r="K13" s="42">
        <f>IF($B13="","",SUMPRODUCT(COUNTIFS(pbp_PlayType,EM_Type,pbp_Batter,$B13)*EM_1B))</f>
        <v>2</v>
      </c>
      <c r="L13" s="42">
        <f>IF($B13="","",SUMPRODUCT(COUNTIFS(pbp_PlayType,EM_Type,pbp_Batter,$B13)*EM_BB))</f>
        <v>1</v>
      </c>
      <c r="M13" s="42">
        <f>IF($B13="","",SUMPRODUCT(COUNTIFS(pbp_PlayType,EM_Type,pbp_Batter,$B13)*EM_HBP))</f>
        <v>0</v>
      </c>
      <c r="N13" s="42">
        <f>IF($B13="","",COUNTIFS(pbp_PlayType,"?*",pbp_Desc,"*struck out*",pbp_Batter,$B13))</f>
        <v>1</v>
      </c>
      <c r="O13" s="42">
        <f>IF($B13="","",SUMPRODUCT(COUNTIFS(pbp_PlayType,EM_Type,pbp_Batter,$B13)*EM_SF))</f>
        <v>0</v>
      </c>
      <c r="P13" s="42">
        <f>IF($B13="","",SUMIFS(pbp_Runs,pbp_Batter,$B13))</f>
        <v>1</v>
      </c>
      <c r="Q13" s="58">
        <f t="shared" si="0"/>
        <v>0.75</v>
      </c>
      <c r="R13" s="58">
        <f t="shared" si="1"/>
        <v>0.8</v>
      </c>
      <c r="S13" s="58">
        <f t="shared" si="2"/>
        <v>1.5</v>
      </c>
      <c r="T13" s="58">
        <f t="shared" si="3"/>
        <v>2.2999999999999998</v>
      </c>
      <c r="U13" s="58">
        <f t="shared" si="4"/>
        <v>0.75</v>
      </c>
      <c r="V13" s="59">
        <f t="shared" si="5"/>
        <v>0.2</v>
      </c>
      <c r="W13" s="59">
        <f t="shared" si="6"/>
        <v>0.2</v>
      </c>
      <c r="X13" s="60">
        <f>IF($B13="","",IF((E13)=0,"",(SUMIFS(pbp_Pitches,pbp_Batter,$B13,pbp_PlayType,"?*"))/(E13)))</f>
        <v>4.4000000000000004</v>
      </c>
      <c r="Y13" s="42">
        <f t="shared" si="7"/>
        <v>1</v>
      </c>
      <c r="Z13" s="58" t="str">
        <f>IF($B13="","",IF((SUMPRODUCT(COUNTIFS(pbp_PlayType,EM_Type,pbp_Batter,$B13,pbp_On2B,"?*")*EM_AB)+SUMPRODUCT(COUNTIFS(pbp_PlayType,EM_Type,pbp_Batter,$B13,pbp_On2B,"",pbp_On3B,"?*")*EM_AB))=0,"",(SUMPRODUCT(COUNTIFS(pbp_PlayType,EM_Type,pbp_Batter,$B13,pbp_On2B,"?*")*EM_H)+SUMPRODUCT(COUNTIFS(pbp_PlayType,EM_Type,pbp_Batter,$B13,pbp_On2B,"",pbp_On3B,"?*")*EM_H))/(SUMPRODUCT(COUNTIFS(pbp_PlayType,EM_Type,pbp_Batter,$B13,pbp_On2B,"?*")*EM_AB)+SUMPRODUCT(COUNTIFS(pbp_PlayType,EM_Type,pbp_Batter,$B13,pbp_On2B,"",pbp_On3B,"?*")*EM_AB))))</f>
        <v/>
      </c>
      <c r="AA13" s="62">
        <f>IF($B13="","",IF(OR(E13&lt;MinPA,T13=""),"",COUNTIFS($E$6:$E$255,"&gt;="&amp;MinPA,$T$6:$T$255,"&gt;"&amp;T13)+COUNTIFS($E$5:E12,"&gt;="&amp;MinPA,$T$5:T12,T13)+1))</f>
        <v>1</v>
      </c>
    </row>
    <row r="14" spans="2:27" x14ac:dyDescent="0.2">
      <c r="B14" s="44" t="str">
        <f t="array" ref="B14">IFERROR(INDEX(pbp_Batter,MATCH(0,COUNTIF($B$5:B13,pbp_Batter)+(pbp_Batter=""),0)),"")</f>
        <v>Teoscar Hernandez</v>
      </c>
      <c r="C14" s="61" t="str">
        <f>IF($B14="","",IFERROR(INDEX(pbp_BatTeam,MATCH($B14,pbp_Batter,0)),""))</f>
        <v>Los Angeles Dodgers</v>
      </c>
      <c r="D14" s="61" t="str">
        <f>IF($B14="","",IFERROR(INDEX(pbp_BatHand,MATCH($B14,pbp_Batter,0)),""))</f>
        <v>R</v>
      </c>
      <c r="E14" s="42">
        <f>IF($B14="","",SUMPRODUCT(COUNTIFS(pbp_PlayType,EM_Type,pbp_Batter,$B14)*EM_PA))</f>
        <v>5</v>
      </c>
      <c r="F14" s="42">
        <f>IF($B14="","",SUMPRODUCT(COUNTIFS(pbp_PlayType,EM_Type,pbp_Batter,$B14)*EM_AB))</f>
        <v>3</v>
      </c>
      <c r="G14" s="42">
        <f>IF($B14="","",SUMPRODUCT(COUNTIFS(pbp_PlayType,EM_Type,pbp_Batter,$B14)*EM_H))</f>
        <v>0</v>
      </c>
      <c r="H14" s="42">
        <f>IF($B14="","",SUMPRODUCT(COUNTIFS(pbp_PlayType,EM_Type,pbp_Batter,$B14)*EM_2B))</f>
        <v>0</v>
      </c>
      <c r="I14" s="42">
        <f>IF($B14="","",SUMPRODUCT(COUNTIFS(pbp_PlayType,EM_Type,pbp_Batter,$B14)*EM_3B))</f>
        <v>0</v>
      </c>
      <c r="J14" s="42">
        <f>IF($B14="","",SUMPRODUCT(COUNTIFS(pbp_PlayType,EM_Type,pbp_Batter,$B14)*EM_HR))</f>
        <v>0</v>
      </c>
      <c r="K14" s="42">
        <f>IF($B14="","",SUMPRODUCT(COUNTIFS(pbp_PlayType,EM_Type,pbp_Batter,$B14)*EM_1B))</f>
        <v>0</v>
      </c>
      <c r="L14" s="42">
        <f>IF($B14="","",SUMPRODUCT(COUNTIFS(pbp_PlayType,EM_Type,pbp_Batter,$B14)*EM_BB))</f>
        <v>1</v>
      </c>
      <c r="M14" s="42">
        <f>IF($B14="","",SUMPRODUCT(COUNTIFS(pbp_PlayType,EM_Type,pbp_Batter,$B14)*EM_HBP))</f>
        <v>0</v>
      </c>
      <c r="N14" s="42">
        <f>IF($B14="","",COUNTIFS(pbp_PlayType,"?*",pbp_Desc,"*struck out*",pbp_Batter,$B14))</f>
        <v>0</v>
      </c>
      <c r="O14" s="42">
        <f>IF($B14="","",SUMPRODUCT(COUNTIFS(pbp_PlayType,EM_Type,pbp_Batter,$B14)*EM_SF))</f>
        <v>1</v>
      </c>
      <c r="P14" s="42">
        <f>IF($B14="","",SUMIFS(pbp_Runs,pbp_Batter,$B14))</f>
        <v>1</v>
      </c>
      <c r="Q14" s="58">
        <f t="shared" si="0"/>
        <v>0</v>
      </c>
      <c r="R14" s="58">
        <f t="shared" si="1"/>
        <v>0.2</v>
      </c>
      <c r="S14" s="58">
        <f t="shared" si="2"/>
        <v>0</v>
      </c>
      <c r="T14" s="58">
        <f t="shared" si="3"/>
        <v>0.2</v>
      </c>
      <c r="U14" s="58">
        <f t="shared" si="4"/>
        <v>0</v>
      </c>
      <c r="V14" s="59">
        <f t="shared" si="5"/>
        <v>0</v>
      </c>
      <c r="W14" s="59">
        <f t="shared" si="6"/>
        <v>0.2</v>
      </c>
      <c r="X14" s="60">
        <f>IF($B14="","",IF((E14)=0,"",(SUMIFS(pbp_Pitches,pbp_Batter,$B14,pbp_PlayType,"?*"))/(E14)))</f>
        <v>3.6</v>
      </c>
      <c r="Y14" s="42">
        <f t="shared" si="7"/>
        <v>0</v>
      </c>
      <c r="Z14" s="58">
        <f>IF($B14="","",IF((SUMPRODUCT(COUNTIFS(pbp_PlayType,EM_Type,pbp_Batter,$B14,pbp_On2B,"?*")*EM_AB)+SUMPRODUCT(COUNTIFS(pbp_PlayType,EM_Type,pbp_Batter,$B14,pbp_On2B,"",pbp_On3B,"?*")*EM_AB))=0,"",(SUMPRODUCT(COUNTIFS(pbp_PlayType,EM_Type,pbp_Batter,$B14,pbp_On2B,"?*")*EM_H)+SUMPRODUCT(COUNTIFS(pbp_PlayType,EM_Type,pbp_Batter,$B14,pbp_On2B,"",pbp_On3B,"?*")*EM_H))/(SUMPRODUCT(COUNTIFS(pbp_PlayType,EM_Type,pbp_Batter,$B14,pbp_On2B,"?*")*EM_AB)+SUMPRODUCT(COUNTIFS(pbp_PlayType,EM_Type,pbp_Batter,$B14,pbp_On2B,"",pbp_On3B,"?*")*EM_AB))))</f>
        <v>0</v>
      </c>
      <c r="AA14" s="62">
        <f>IF($B14="","",IF(OR(E14&lt;MinPA,T14=""),"",COUNTIFS($E$6:$E$255,"&gt;="&amp;MinPA,$T$6:$T$255,"&gt;"&amp;T14)+COUNTIFS($E$5:E13,"&gt;="&amp;MinPA,$T$5:T13,T14)+1))</f>
        <v>15</v>
      </c>
    </row>
    <row r="15" spans="2:27" x14ac:dyDescent="0.2">
      <c r="B15" s="44" t="str">
        <f t="array" ref="B15">IFERROR(INDEX(pbp_Batter,MATCH(0,COUNTIF($B$5:B14,pbp_Batter)+(pbp_Batter=""),0)),"")</f>
        <v>Tommy Edman</v>
      </c>
      <c r="C15" s="61" t="str">
        <f>IF($B15="","",IFERROR(INDEX(pbp_BatTeam,MATCH($B15,pbp_Batter,0)),""))</f>
        <v>Los Angeles Dodgers</v>
      </c>
      <c r="D15" s="61" t="str">
        <f>IF($B15="","",IFERROR(INDEX(pbp_BatHand,MATCH($B15,pbp_Batter,0)),""))</f>
        <v>S</v>
      </c>
      <c r="E15" s="42">
        <f>IF($B15="","",SUMPRODUCT(COUNTIFS(pbp_PlayType,EM_Type,pbp_Batter,$B15)*EM_PA))</f>
        <v>4</v>
      </c>
      <c r="F15" s="42">
        <f>IF($B15="","",SUMPRODUCT(COUNTIFS(pbp_PlayType,EM_Type,pbp_Batter,$B15)*EM_AB))</f>
        <v>3</v>
      </c>
      <c r="G15" s="42">
        <f>IF($B15="","",SUMPRODUCT(COUNTIFS(pbp_PlayType,EM_Type,pbp_Batter,$B15)*EM_H))</f>
        <v>0</v>
      </c>
      <c r="H15" s="42">
        <f>IF($B15="","",SUMPRODUCT(COUNTIFS(pbp_PlayType,EM_Type,pbp_Batter,$B15)*EM_2B))</f>
        <v>0</v>
      </c>
      <c r="I15" s="42">
        <f>IF($B15="","",SUMPRODUCT(COUNTIFS(pbp_PlayType,EM_Type,pbp_Batter,$B15)*EM_3B))</f>
        <v>0</v>
      </c>
      <c r="J15" s="42">
        <f>IF($B15="","",SUMPRODUCT(COUNTIFS(pbp_PlayType,EM_Type,pbp_Batter,$B15)*EM_HR))</f>
        <v>0</v>
      </c>
      <c r="K15" s="42">
        <f>IF($B15="","",SUMPRODUCT(COUNTIFS(pbp_PlayType,EM_Type,pbp_Batter,$B15)*EM_1B))</f>
        <v>0</v>
      </c>
      <c r="L15" s="42">
        <f>IF($B15="","",SUMPRODUCT(COUNTIFS(pbp_PlayType,EM_Type,pbp_Batter,$B15)*EM_BB))</f>
        <v>0</v>
      </c>
      <c r="M15" s="42">
        <f>IF($B15="","",SUMPRODUCT(COUNTIFS(pbp_PlayType,EM_Type,pbp_Batter,$B15)*EM_HBP))</f>
        <v>0</v>
      </c>
      <c r="N15" s="42">
        <f>IF($B15="","",COUNTIFS(pbp_PlayType,"?*",pbp_Desc,"*struck out*",pbp_Batter,$B15))</f>
        <v>0</v>
      </c>
      <c r="O15" s="42">
        <f>IF($B15="","",SUMPRODUCT(COUNTIFS(pbp_PlayType,EM_Type,pbp_Batter,$B15)*EM_SF))</f>
        <v>1</v>
      </c>
      <c r="P15" s="42">
        <f>IF($B15="","",SUMIFS(pbp_Runs,pbp_Batter,$B15))</f>
        <v>1</v>
      </c>
      <c r="Q15" s="58">
        <f t="shared" si="0"/>
        <v>0</v>
      </c>
      <c r="R15" s="58">
        <f t="shared" si="1"/>
        <v>0</v>
      </c>
      <c r="S15" s="58">
        <f t="shared" si="2"/>
        <v>0</v>
      </c>
      <c r="T15" s="58">
        <f t="shared" si="3"/>
        <v>0</v>
      </c>
      <c r="U15" s="58">
        <f t="shared" si="4"/>
        <v>0</v>
      </c>
      <c r="V15" s="59">
        <f t="shared" si="5"/>
        <v>0</v>
      </c>
      <c r="W15" s="59">
        <f t="shared" si="6"/>
        <v>0</v>
      </c>
      <c r="X15" s="60">
        <f>IF($B15="","",IF((E15)=0,"",(SUMIFS(pbp_Pitches,pbp_Batter,$B15,pbp_PlayType,"?*"))/(E15)))</f>
        <v>3.25</v>
      </c>
      <c r="Y15" s="42">
        <f t="shared" si="7"/>
        <v>0</v>
      </c>
      <c r="Z15" s="58">
        <f>IF($B15="","",IF((SUMPRODUCT(COUNTIFS(pbp_PlayType,EM_Type,pbp_Batter,$B15,pbp_On2B,"?*")*EM_AB)+SUMPRODUCT(COUNTIFS(pbp_PlayType,EM_Type,pbp_Batter,$B15,pbp_On2B,"",pbp_On3B,"?*")*EM_AB))=0,"",(SUMPRODUCT(COUNTIFS(pbp_PlayType,EM_Type,pbp_Batter,$B15,pbp_On2B,"?*")*EM_H)+SUMPRODUCT(COUNTIFS(pbp_PlayType,EM_Type,pbp_Batter,$B15,pbp_On2B,"",pbp_On3B,"?*")*EM_H))/(SUMPRODUCT(COUNTIFS(pbp_PlayType,EM_Type,pbp_Batter,$B15,pbp_On2B,"?*")*EM_AB)+SUMPRODUCT(COUNTIFS(pbp_PlayType,EM_Type,pbp_Batter,$B15,pbp_On2B,"",pbp_On3B,"?*")*EM_AB))))</f>
        <v>0</v>
      </c>
      <c r="AA15" s="62">
        <f>IF($B15="","",IF(OR(E15&lt;MinPA,T15=""),"",COUNTIFS($E$6:$E$255,"&gt;="&amp;MinPA,$T$6:$T$255,"&gt;"&amp;T15)+COUNTIFS($E$5:E14,"&gt;="&amp;MinPA,$T$5:T14,T15)+1))</f>
        <v>17</v>
      </c>
    </row>
    <row r="16" spans="2:27" x14ac:dyDescent="0.2">
      <c r="B16" s="44" t="str">
        <f t="array" ref="B16">IFERROR(INDEX(pbp_Batter,MATCH(0,COUNTIF($B$5:B15,pbp_Batter)+(pbp_Batter=""),0)),"")</f>
        <v>Bo Bichette</v>
      </c>
      <c r="C16" s="61" t="str">
        <f>IF($B16="","",IFERROR(INDEX(pbp_BatTeam,MATCH($B16,pbp_Batter,0)),""))</f>
        <v>Toronto Blue Jays</v>
      </c>
      <c r="D16" s="61" t="str">
        <f>IF($B16="","",IFERROR(INDEX(pbp_BatHand,MATCH($B16,pbp_Batter,0)),""))</f>
        <v>R</v>
      </c>
      <c r="E16" s="42">
        <f>IF($B16="","",SUMPRODUCT(COUNTIFS(pbp_PlayType,EM_Type,pbp_Batter,$B16)*EM_PA))</f>
        <v>5</v>
      </c>
      <c r="F16" s="42">
        <f>IF($B16="","",SUMPRODUCT(COUNTIFS(pbp_PlayType,EM_Type,pbp_Batter,$B16)*EM_AB))</f>
        <v>4</v>
      </c>
      <c r="G16" s="42">
        <f>IF($B16="","",SUMPRODUCT(COUNTIFS(pbp_PlayType,EM_Type,pbp_Batter,$B16)*EM_H))</f>
        <v>2</v>
      </c>
      <c r="H16" s="42">
        <f>IF($B16="","",SUMPRODUCT(COUNTIFS(pbp_PlayType,EM_Type,pbp_Batter,$B16)*EM_2B))</f>
        <v>0</v>
      </c>
      <c r="I16" s="42">
        <f>IF($B16="","",SUMPRODUCT(COUNTIFS(pbp_PlayType,EM_Type,pbp_Batter,$B16)*EM_3B))</f>
        <v>0</v>
      </c>
      <c r="J16" s="42">
        <f>IF($B16="","",SUMPRODUCT(COUNTIFS(pbp_PlayType,EM_Type,pbp_Batter,$B16)*EM_HR))</f>
        <v>1</v>
      </c>
      <c r="K16" s="42">
        <f>IF($B16="","",SUMPRODUCT(COUNTIFS(pbp_PlayType,EM_Type,pbp_Batter,$B16)*EM_1B))</f>
        <v>1</v>
      </c>
      <c r="L16" s="42">
        <f>IF($B16="","",SUMPRODUCT(COUNTIFS(pbp_PlayType,EM_Type,pbp_Batter,$B16)*EM_BB))</f>
        <v>1</v>
      </c>
      <c r="M16" s="42">
        <f>IF($B16="","",SUMPRODUCT(COUNTIFS(pbp_PlayType,EM_Type,pbp_Batter,$B16)*EM_HBP))</f>
        <v>0</v>
      </c>
      <c r="N16" s="42">
        <f>IF($B16="","",COUNTIFS(pbp_PlayType,"?*",pbp_Desc,"*struck out*",pbp_Batter,$B16))</f>
        <v>1</v>
      </c>
      <c r="O16" s="42">
        <f>IF($B16="","",SUMPRODUCT(COUNTIFS(pbp_PlayType,EM_Type,pbp_Batter,$B16)*EM_SF))</f>
        <v>0</v>
      </c>
      <c r="P16" s="42">
        <f>IF($B16="","",SUMIFS(pbp_Runs,pbp_Batter,$B16))</f>
        <v>3</v>
      </c>
      <c r="Q16" s="58">
        <f t="shared" si="0"/>
        <v>0.5</v>
      </c>
      <c r="R16" s="58">
        <f t="shared" si="1"/>
        <v>0.6</v>
      </c>
      <c r="S16" s="58">
        <f t="shared" si="2"/>
        <v>1.25</v>
      </c>
      <c r="T16" s="58">
        <f t="shared" si="3"/>
        <v>1.85</v>
      </c>
      <c r="U16" s="58">
        <f t="shared" si="4"/>
        <v>0.75</v>
      </c>
      <c r="V16" s="59">
        <f t="shared" si="5"/>
        <v>0.2</v>
      </c>
      <c r="W16" s="59">
        <f t="shared" si="6"/>
        <v>0.2</v>
      </c>
      <c r="X16" s="60">
        <f>IF($B16="","",IF((E16)=0,"",(SUMIFS(pbp_Pitches,pbp_Batter,$B16,pbp_PlayType,"?*"))/(E16)))</f>
        <v>3.4</v>
      </c>
      <c r="Y16" s="42">
        <f t="shared" si="7"/>
        <v>1</v>
      </c>
      <c r="Z16" s="58">
        <f>IF($B16="","",IF((SUMPRODUCT(COUNTIFS(pbp_PlayType,EM_Type,pbp_Batter,$B16,pbp_On2B,"?*")*EM_AB)+SUMPRODUCT(COUNTIFS(pbp_PlayType,EM_Type,pbp_Batter,$B16,pbp_On2B,"",pbp_On3B,"?*")*EM_AB))=0,"",(SUMPRODUCT(COUNTIFS(pbp_PlayType,EM_Type,pbp_Batter,$B16,pbp_On2B,"?*")*EM_H)+SUMPRODUCT(COUNTIFS(pbp_PlayType,EM_Type,pbp_Batter,$B16,pbp_On2B,"",pbp_On3B,"?*")*EM_H))/(SUMPRODUCT(COUNTIFS(pbp_PlayType,EM_Type,pbp_Batter,$B16,pbp_On2B,"?*")*EM_AB)+SUMPRODUCT(COUNTIFS(pbp_PlayType,EM_Type,pbp_Batter,$B16,pbp_On2B,"",pbp_On3B,"?*")*EM_AB))))</f>
        <v>1</v>
      </c>
      <c r="AA16" s="62">
        <f>IF($B16="","",IF(OR(E16&lt;MinPA,T16=""),"",COUNTIFS($E$6:$E$255,"&gt;="&amp;MinPA,$T$6:$T$255,"&gt;"&amp;T16)+COUNTIFS($E$5:E15,"&gt;="&amp;MinPA,$T$5:T15,T16)+1))</f>
        <v>2</v>
      </c>
    </row>
    <row r="17" spans="2:27" x14ac:dyDescent="0.2">
      <c r="B17" s="44" t="str">
        <f t="array" ref="B17">IFERROR(INDEX(pbp_Batter,MATCH(0,COUNTIF($B$5:B16,pbp_Batter)+(pbp_Batter=""),0)),"")</f>
        <v>Addison Barger</v>
      </c>
      <c r="C17" s="61" t="str">
        <f>IF($B17="","",IFERROR(INDEX(pbp_BatTeam,MATCH($B17,pbp_Batter,0)),""))</f>
        <v>Toronto Blue Jays</v>
      </c>
      <c r="D17" s="61" t="str">
        <f>IF($B17="","",IFERROR(INDEX(pbp_BatHand,MATCH($B17,pbp_Batter,0)),""))</f>
        <v>L</v>
      </c>
      <c r="E17" s="42">
        <f>IF($B17="","",SUMPRODUCT(COUNTIFS(pbp_PlayType,EM_Type,pbp_Batter,$B17)*EM_PA))</f>
        <v>6</v>
      </c>
      <c r="F17" s="42">
        <f>IF($B17="","",SUMPRODUCT(COUNTIFS(pbp_PlayType,EM_Type,pbp_Batter,$B17)*EM_AB))</f>
        <v>4</v>
      </c>
      <c r="G17" s="42">
        <f>IF($B17="","",SUMPRODUCT(COUNTIFS(pbp_PlayType,EM_Type,pbp_Batter,$B17)*EM_H))</f>
        <v>2</v>
      </c>
      <c r="H17" s="42">
        <f>IF($B17="","",SUMPRODUCT(COUNTIFS(pbp_PlayType,EM_Type,pbp_Batter,$B17)*EM_2B))</f>
        <v>0</v>
      </c>
      <c r="I17" s="42">
        <f>IF($B17="","",SUMPRODUCT(COUNTIFS(pbp_PlayType,EM_Type,pbp_Batter,$B17)*EM_3B))</f>
        <v>0</v>
      </c>
      <c r="J17" s="42">
        <f>IF($B17="","",SUMPRODUCT(COUNTIFS(pbp_PlayType,EM_Type,pbp_Batter,$B17)*EM_HR))</f>
        <v>0</v>
      </c>
      <c r="K17" s="42">
        <f>IF($B17="","",SUMPRODUCT(COUNTIFS(pbp_PlayType,EM_Type,pbp_Batter,$B17)*EM_1B))</f>
        <v>2</v>
      </c>
      <c r="L17" s="42">
        <f>IF($B17="","",SUMPRODUCT(COUNTIFS(pbp_PlayType,EM_Type,pbp_Batter,$B17)*EM_BB))</f>
        <v>2</v>
      </c>
      <c r="M17" s="42">
        <f>IF($B17="","",SUMPRODUCT(COUNTIFS(pbp_PlayType,EM_Type,pbp_Batter,$B17)*EM_HBP))</f>
        <v>0</v>
      </c>
      <c r="N17" s="42">
        <f>IF($B17="","",COUNTIFS(pbp_PlayType,"?*",pbp_Desc,"*struck out*",pbp_Batter,$B17))</f>
        <v>1</v>
      </c>
      <c r="O17" s="42">
        <f>IF($B17="","",SUMPRODUCT(COUNTIFS(pbp_PlayType,EM_Type,pbp_Batter,$B17)*EM_SF))</f>
        <v>0</v>
      </c>
      <c r="P17" s="42">
        <f>IF($B17="","",SUMIFS(pbp_Runs,pbp_Batter,$B17))</f>
        <v>0</v>
      </c>
      <c r="Q17" s="58">
        <f t="shared" si="0"/>
        <v>0.5</v>
      </c>
      <c r="R17" s="58">
        <f t="shared" si="1"/>
        <v>0.66666666666666663</v>
      </c>
      <c r="S17" s="58">
        <f t="shared" si="2"/>
        <v>0.5</v>
      </c>
      <c r="T17" s="58">
        <f t="shared" si="3"/>
        <v>1.1666666666666665</v>
      </c>
      <c r="U17" s="58">
        <f t="shared" si="4"/>
        <v>0</v>
      </c>
      <c r="V17" s="59">
        <f t="shared" si="5"/>
        <v>0.16666666666666666</v>
      </c>
      <c r="W17" s="59">
        <f t="shared" si="6"/>
        <v>0.33333333333333331</v>
      </c>
      <c r="X17" s="60">
        <f>IF($B17="","",IF((E17)=0,"",(SUMIFS(pbp_Pitches,pbp_Batter,$B17,pbp_PlayType,"?*"))/(E17)))</f>
        <v>5.333333333333333</v>
      </c>
      <c r="Y17" s="42">
        <f t="shared" si="7"/>
        <v>0</v>
      </c>
      <c r="Z17" s="58" t="str">
        <f>IF($B17="","",IF((SUMPRODUCT(COUNTIFS(pbp_PlayType,EM_Type,pbp_Batter,$B17,pbp_On2B,"?*")*EM_AB)+SUMPRODUCT(COUNTIFS(pbp_PlayType,EM_Type,pbp_Batter,$B17,pbp_On2B,"",pbp_On3B,"?*")*EM_AB))=0,"",(SUMPRODUCT(COUNTIFS(pbp_PlayType,EM_Type,pbp_Batter,$B17,pbp_On2B,"?*")*EM_H)+SUMPRODUCT(COUNTIFS(pbp_PlayType,EM_Type,pbp_Batter,$B17,pbp_On2B,"",pbp_On3B,"?*")*EM_H))/(SUMPRODUCT(COUNTIFS(pbp_PlayType,EM_Type,pbp_Batter,$B17,pbp_On2B,"?*")*EM_AB)+SUMPRODUCT(COUNTIFS(pbp_PlayType,EM_Type,pbp_Batter,$B17,pbp_On2B,"",pbp_On3B,"?*")*EM_AB))))</f>
        <v/>
      </c>
      <c r="AA17" s="62">
        <f>IF($B17="","",IF(OR(E17&lt;MinPA,T17=""),"",COUNTIFS($E$6:$E$255,"&gt;="&amp;MinPA,$T$6:$T$255,"&gt;"&amp;T17)+COUNTIFS($E$5:E16,"&gt;="&amp;MinPA,$T$5:T16,T17)+1))</f>
        <v>6</v>
      </c>
    </row>
    <row r="18" spans="2:27" x14ac:dyDescent="0.2">
      <c r="B18" s="44" t="str">
        <f t="array" ref="B18">IFERROR(INDEX(pbp_Batter,MATCH(0,COUNTIF($B$5:B17,pbp_Batter)+(pbp_Batter=""),0)),"")</f>
        <v>Alejandro Kirk</v>
      </c>
      <c r="C18" s="61" t="str">
        <f>IF($B18="","",IFERROR(INDEX(pbp_BatTeam,MATCH($B18,pbp_Batter,0)),""))</f>
        <v>Toronto Blue Jays</v>
      </c>
      <c r="D18" s="61" t="str">
        <f>IF($B18="","",IFERROR(INDEX(pbp_BatHand,MATCH($B18,pbp_Batter,0)),""))</f>
        <v>R</v>
      </c>
      <c r="E18" s="42">
        <f>IF($B18="","",SUMPRODUCT(COUNTIFS(pbp_PlayType,EM_Type,pbp_Batter,$B18)*EM_PA))</f>
        <v>6</v>
      </c>
      <c r="F18" s="42">
        <f>IF($B18="","",SUMPRODUCT(COUNTIFS(pbp_PlayType,EM_Type,pbp_Batter,$B18)*EM_AB))</f>
        <v>5</v>
      </c>
      <c r="G18" s="42">
        <f>IF($B18="","",SUMPRODUCT(COUNTIFS(pbp_PlayType,EM_Type,pbp_Batter,$B18)*EM_H))</f>
        <v>2</v>
      </c>
      <c r="H18" s="42">
        <f>IF($B18="","",SUMPRODUCT(COUNTIFS(pbp_PlayType,EM_Type,pbp_Batter,$B18)*EM_2B))</f>
        <v>0</v>
      </c>
      <c r="I18" s="42">
        <f>IF($B18="","",SUMPRODUCT(COUNTIFS(pbp_PlayType,EM_Type,pbp_Batter,$B18)*EM_3B))</f>
        <v>0</v>
      </c>
      <c r="J18" s="42">
        <f>IF($B18="","",SUMPRODUCT(COUNTIFS(pbp_PlayType,EM_Type,pbp_Batter,$B18)*EM_HR))</f>
        <v>0</v>
      </c>
      <c r="K18" s="42">
        <f>IF($B18="","",SUMPRODUCT(COUNTIFS(pbp_PlayType,EM_Type,pbp_Batter,$B18)*EM_1B))</f>
        <v>2</v>
      </c>
      <c r="L18" s="42">
        <f>IF($B18="","",SUMPRODUCT(COUNTIFS(pbp_PlayType,EM_Type,pbp_Batter,$B18)*EM_BB))</f>
        <v>0</v>
      </c>
      <c r="M18" s="42">
        <f>IF($B18="","",SUMPRODUCT(COUNTIFS(pbp_PlayType,EM_Type,pbp_Batter,$B18)*EM_HBP))</f>
        <v>1</v>
      </c>
      <c r="N18" s="42">
        <f>IF($B18="","",COUNTIFS(pbp_PlayType,"?*",pbp_Desc,"*struck out*",pbp_Batter,$B18))</f>
        <v>0</v>
      </c>
      <c r="O18" s="42">
        <f>IF($B18="","",SUMPRODUCT(COUNTIFS(pbp_PlayType,EM_Type,pbp_Batter,$B18)*EM_SF))</f>
        <v>0</v>
      </c>
      <c r="P18" s="42">
        <f>IF($B18="","",SUMIFS(pbp_Runs,pbp_Batter,$B18))</f>
        <v>0</v>
      </c>
      <c r="Q18" s="58">
        <f t="shared" si="0"/>
        <v>0.4</v>
      </c>
      <c r="R18" s="58">
        <f t="shared" si="1"/>
        <v>0.5</v>
      </c>
      <c r="S18" s="58">
        <f t="shared" si="2"/>
        <v>0.4</v>
      </c>
      <c r="T18" s="58">
        <f t="shared" si="3"/>
        <v>0.9</v>
      </c>
      <c r="U18" s="58">
        <f t="shared" si="4"/>
        <v>0</v>
      </c>
      <c r="V18" s="59">
        <f t="shared" si="5"/>
        <v>0</v>
      </c>
      <c r="W18" s="59">
        <f t="shared" si="6"/>
        <v>0</v>
      </c>
      <c r="X18" s="60">
        <f>IF($B18="","",IF((E18)=0,"",(SUMIFS(pbp_Pitches,pbp_Batter,$B18,pbp_PlayType,"?*"))/(E18)))</f>
        <v>2.1666666666666665</v>
      </c>
      <c r="Y18" s="42">
        <f t="shared" si="7"/>
        <v>0</v>
      </c>
      <c r="Z18" s="58">
        <f>IF($B18="","",IF((SUMPRODUCT(COUNTIFS(pbp_PlayType,EM_Type,pbp_Batter,$B18,pbp_On2B,"?*")*EM_AB)+SUMPRODUCT(COUNTIFS(pbp_PlayType,EM_Type,pbp_Batter,$B18,pbp_On2B,"",pbp_On3B,"?*")*EM_AB))=0,"",(SUMPRODUCT(COUNTIFS(pbp_PlayType,EM_Type,pbp_Batter,$B18,pbp_On2B,"?*")*EM_H)+SUMPRODUCT(COUNTIFS(pbp_PlayType,EM_Type,pbp_Batter,$B18,pbp_On2B,"",pbp_On3B,"?*")*EM_H))/(SUMPRODUCT(COUNTIFS(pbp_PlayType,EM_Type,pbp_Batter,$B18,pbp_On2B,"?*")*EM_AB)+SUMPRODUCT(COUNTIFS(pbp_PlayType,EM_Type,pbp_Batter,$B18,pbp_On2B,"",pbp_On3B,"?*")*EM_AB))))</f>
        <v>0</v>
      </c>
      <c r="AA18" s="62">
        <f>IF($B18="","",IF(OR(E18&lt;MinPA,T18=""),"",COUNTIFS($E$6:$E$255,"&gt;="&amp;MinPA,$T$6:$T$255,"&gt;"&amp;T18)+COUNTIFS($E$5:E17,"&gt;="&amp;MinPA,$T$5:T17,T18)+1))</f>
        <v>9</v>
      </c>
    </row>
    <row r="19" spans="2:27" x14ac:dyDescent="0.2">
      <c r="B19" s="44" t="str">
        <f t="array" ref="B19">IFERROR(INDEX(pbp_Batter,MATCH(0,COUNTIF($B$5:B18,pbp_Batter)+(pbp_Batter=""),0)),"")</f>
        <v>Daulton Varsho</v>
      </c>
      <c r="C19" s="61" t="str">
        <f>IF($B19="","",IFERROR(INDEX(pbp_BatTeam,MATCH($B19,pbp_Batter,0)),""))</f>
        <v>Toronto Blue Jays</v>
      </c>
      <c r="D19" s="61" t="str">
        <f>IF($B19="","",IFERROR(INDEX(pbp_BatHand,MATCH($B19,pbp_Batter,0)),""))</f>
        <v>L</v>
      </c>
      <c r="E19" s="42">
        <f>IF($B19="","",SUMPRODUCT(COUNTIFS(pbp_PlayType,EM_Type,pbp_Batter,$B19)*EM_PA))</f>
        <v>5</v>
      </c>
      <c r="F19" s="42">
        <f>IF($B19="","",SUMPRODUCT(COUNTIFS(pbp_PlayType,EM_Type,pbp_Batter,$B19)*EM_AB))</f>
        <v>5</v>
      </c>
      <c r="G19" s="42">
        <f>IF($B19="","",SUMPRODUCT(COUNTIFS(pbp_PlayType,EM_Type,pbp_Batter,$B19)*EM_H))</f>
        <v>0</v>
      </c>
      <c r="H19" s="42">
        <f>IF($B19="","",SUMPRODUCT(COUNTIFS(pbp_PlayType,EM_Type,pbp_Batter,$B19)*EM_2B))</f>
        <v>0</v>
      </c>
      <c r="I19" s="42">
        <f>IF($B19="","",SUMPRODUCT(COUNTIFS(pbp_PlayType,EM_Type,pbp_Batter,$B19)*EM_3B))</f>
        <v>0</v>
      </c>
      <c r="J19" s="42">
        <f>IF($B19="","",SUMPRODUCT(COUNTIFS(pbp_PlayType,EM_Type,pbp_Batter,$B19)*EM_HR))</f>
        <v>0</v>
      </c>
      <c r="K19" s="42">
        <f>IF($B19="","",SUMPRODUCT(COUNTIFS(pbp_PlayType,EM_Type,pbp_Batter,$B19)*EM_1B))</f>
        <v>0</v>
      </c>
      <c r="L19" s="42">
        <f>IF($B19="","",SUMPRODUCT(COUNTIFS(pbp_PlayType,EM_Type,pbp_Batter,$B19)*EM_BB))</f>
        <v>0</v>
      </c>
      <c r="M19" s="42">
        <f>IF($B19="","",SUMPRODUCT(COUNTIFS(pbp_PlayType,EM_Type,pbp_Batter,$B19)*EM_HBP))</f>
        <v>0</v>
      </c>
      <c r="N19" s="42">
        <f>IF($B19="","",COUNTIFS(pbp_PlayType,"?*",pbp_Desc,"*struck out*",pbp_Batter,$B19))</f>
        <v>2</v>
      </c>
      <c r="O19" s="42">
        <f>IF($B19="","",SUMPRODUCT(COUNTIFS(pbp_PlayType,EM_Type,pbp_Batter,$B19)*EM_SF))</f>
        <v>0</v>
      </c>
      <c r="P19" s="42">
        <f>IF($B19="","",SUMIFS(pbp_Runs,pbp_Batter,$B19))</f>
        <v>0</v>
      </c>
      <c r="Q19" s="58">
        <f t="shared" si="0"/>
        <v>0</v>
      </c>
      <c r="R19" s="58">
        <f t="shared" si="1"/>
        <v>0</v>
      </c>
      <c r="S19" s="58">
        <f t="shared" si="2"/>
        <v>0</v>
      </c>
      <c r="T19" s="58">
        <f t="shared" si="3"/>
        <v>0</v>
      </c>
      <c r="U19" s="58">
        <f t="shared" si="4"/>
        <v>0</v>
      </c>
      <c r="V19" s="59">
        <f t="shared" si="5"/>
        <v>0.4</v>
      </c>
      <c r="W19" s="59">
        <f t="shared" si="6"/>
        <v>0</v>
      </c>
      <c r="X19" s="60">
        <f>IF($B19="","",IF((E19)=0,"",(SUMIFS(pbp_Pitches,pbp_Batter,$B19,pbp_PlayType,"?*"))/(E19)))</f>
        <v>4.2</v>
      </c>
      <c r="Y19" s="42">
        <f t="shared" si="7"/>
        <v>0</v>
      </c>
      <c r="Z19" s="58">
        <f>IF($B19="","",IF((SUMPRODUCT(COUNTIFS(pbp_PlayType,EM_Type,pbp_Batter,$B19,pbp_On2B,"?*")*EM_AB)+SUMPRODUCT(COUNTIFS(pbp_PlayType,EM_Type,pbp_Batter,$B19,pbp_On2B,"",pbp_On3B,"?*")*EM_AB))=0,"",(SUMPRODUCT(COUNTIFS(pbp_PlayType,EM_Type,pbp_Batter,$B19,pbp_On2B,"?*")*EM_H)+SUMPRODUCT(COUNTIFS(pbp_PlayType,EM_Type,pbp_Batter,$B19,pbp_On2B,"",pbp_On3B,"?*")*EM_H))/(SUMPRODUCT(COUNTIFS(pbp_PlayType,EM_Type,pbp_Batter,$B19,pbp_On2B,"?*")*EM_AB)+SUMPRODUCT(COUNTIFS(pbp_PlayType,EM_Type,pbp_Batter,$B19,pbp_On2B,"",pbp_On3B,"?*")*EM_AB))))</f>
        <v>0</v>
      </c>
      <c r="AA19" s="62">
        <f>IF($B19="","",IF(OR(E19&lt;MinPA,T19=""),"",COUNTIFS($E$6:$E$255,"&gt;="&amp;MinPA,$T$6:$T$255,"&gt;"&amp;T19)+COUNTIFS($E$5:E18,"&gt;="&amp;MinPA,$T$5:T18,T19)+1))</f>
        <v>18</v>
      </c>
    </row>
    <row r="20" spans="2:27" x14ac:dyDescent="0.2">
      <c r="B20" s="44" t="str">
        <f t="array" ref="B20">IFERROR(INDEX(pbp_Batter,MATCH(0,COUNTIF($B$5:B19,pbp_Batter)+(pbp_Batter=""),0)),"")</f>
        <v>Ernie Clement</v>
      </c>
      <c r="C20" s="61" t="str">
        <f>IF($B20="","",IFERROR(INDEX(pbp_BatTeam,MATCH($B20,pbp_Batter,0)),""))</f>
        <v>Toronto Blue Jays</v>
      </c>
      <c r="D20" s="61" t="str">
        <f>IF($B20="","",IFERROR(INDEX(pbp_BatHand,MATCH($B20,pbp_Batter,0)),""))</f>
        <v>R</v>
      </c>
      <c r="E20" s="42">
        <f>IF($B20="","",SUMPRODUCT(COUNTIFS(pbp_PlayType,EM_Type,pbp_Batter,$B20)*EM_PA))</f>
        <v>5</v>
      </c>
      <c r="F20" s="42">
        <f>IF($B20="","",SUMPRODUCT(COUNTIFS(pbp_PlayType,EM_Type,pbp_Batter,$B20)*EM_AB))</f>
        <v>5</v>
      </c>
      <c r="G20" s="42">
        <f>IF($B20="","",SUMPRODUCT(COUNTIFS(pbp_PlayType,EM_Type,pbp_Batter,$B20)*EM_H))</f>
        <v>3</v>
      </c>
      <c r="H20" s="42">
        <f>IF($B20="","",SUMPRODUCT(COUNTIFS(pbp_PlayType,EM_Type,pbp_Batter,$B20)*EM_2B))</f>
        <v>1</v>
      </c>
      <c r="I20" s="42">
        <f>IF($B20="","",SUMPRODUCT(COUNTIFS(pbp_PlayType,EM_Type,pbp_Batter,$B20)*EM_3B))</f>
        <v>0</v>
      </c>
      <c r="J20" s="42">
        <f>IF($B20="","",SUMPRODUCT(COUNTIFS(pbp_PlayType,EM_Type,pbp_Batter,$B20)*EM_HR))</f>
        <v>0</v>
      </c>
      <c r="K20" s="42">
        <f>IF($B20="","",SUMPRODUCT(COUNTIFS(pbp_PlayType,EM_Type,pbp_Batter,$B20)*EM_1B))</f>
        <v>2</v>
      </c>
      <c r="L20" s="42">
        <f>IF($B20="","",SUMPRODUCT(COUNTIFS(pbp_PlayType,EM_Type,pbp_Batter,$B20)*EM_BB))</f>
        <v>0</v>
      </c>
      <c r="M20" s="42">
        <f>IF($B20="","",SUMPRODUCT(COUNTIFS(pbp_PlayType,EM_Type,pbp_Batter,$B20)*EM_HBP))</f>
        <v>0</v>
      </c>
      <c r="N20" s="42">
        <f>IF($B20="","",COUNTIFS(pbp_PlayType,"?*",pbp_Desc,"*struck out*",pbp_Batter,$B20))</f>
        <v>0</v>
      </c>
      <c r="O20" s="42">
        <f>IF($B20="","",SUMPRODUCT(COUNTIFS(pbp_PlayType,EM_Type,pbp_Batter,$B20)*EM_SF))</f>
        <v>0</v>
      </c>
      <c r="P20" s="42">
        <f>IF($B20="","",SUMIFS(pbp_Runs,pbp_Batter,$B20))</f>
        <v>0</v>
      </c>
      <c r="Q20" s="58">
        <f t="shared" si="0"/>
        <v>0.6</v>
      </c>
      <c r="R20" s="58">
        <f t="shared" si="1"/>
        <v>0.6</v>
      </c>
      <c r="S20" s="58">
        <f t="shared" si="2"/>
        <v>0.8</v>
      </c>
      <c r="T20" s="58">
        <f t="shared" si="3"/>
        <v>1.4</v>
      </c>
      <c r="U20" s="58">
        <f t="shared" si="4"/>
        <v>0.20000000000000007</v>
      </c>
      <c r="V20" s="59">
        <f t="shared" si="5"/>
        <v>0</v>
      </c>
      <c r="W20" s="59">
        <f t="shared" si="6"/>
        <v>0</v>
      </c>
      <c r="X20" s="60">
        <f>IF($B20="","",IF((E20)=0,"",(SUMIFS(pbp_Pitches,pbp_Batter,$B20,pbp_PlayType,"?*"))/(E20)))</f>
        <v>2.8</v>
      </c>
      <c r="Y20" s="42">
        <f t="shared" si="7"/>
        <v>1</v>
      </c>
      <c r="Z20" s="58">
        <f>IF($B20="","",IF((SUMPRODUCT(COUNTIFS(pbp_PlayType,EM_Type,pbp_Batter,$B20,pbp_On2B,"?*")*EM_AB)+SUMPRODUCT(COUNTIFS(pbp_PlayType,EM_Type,pbp_Batter,$B20,pbp_On2B,"",pbp_On3B,"?*")*EM_AB))=0,"",(SUMPRODUCT(COUNTIFS(pbp_PlayType,EM_Type,pbp_Batter,$B20,pbp_On2B,"?*")*EM_H)+SUMPRODUCT(COUNTIFS(pbp_PlayType,EM_Type,pbp_Batter,$B20,pbp_On2B,"",pbp_On3B,"?*")*EM_H))/(SUMPRODUCT(COUNTIFS(pbp_PlayType,EM_Type,pbp_Batter,$B20,pbp_On2B,"?*")*EM_AB)+SUMPRODUCT(COUNTIFS(pbp_PlayType,EM_Type,pbp_Batter,$B20,pbp_On2B,"",pbp_On3B,"?*")*EM_AB))))</f>
        <v>0.5</v>
      </c>
      <c r="AA20" s="62">
        <f>IF($B20="","",IF(OR(E20&lt;MinPA,T20=""),"",COUNTIFS($E$6:$E$255,"&gt;="&amp;MinPA,$T$6:$T$255,"&gt;"&amp;T20)+COUNTIFS($E$5:E19,"&gt;="&amp;MinPA,$T$5:T19,T20)+1))</f>
        <v>3</v>
      </c>
    </row>
    <row r="21" spans="2:27" x14ac:dyDescent="0.2">
      <c r="B21" s="44" t="str">
        <f t="array" ref="B21">IFERROR(INDEX(pbp_Batter,MATCH(0,COUNTIF($B$5:B20,pbp_Batter)+(pbp_Batter=""),0)),"")</f>
        <v>Andres Gimenez</v>
      </c>
      <c r="C21" s="61" t="str">
        <f>IF($B21="","",IFERROR(INDEX(pbp_BatTeam,MATCH($B21,pbp_Batter,0)),""))</f>
        <v>Toronto Blue Jays</v>
      </c>
      <c r="D21" s="61" t="str">
        <f>IF($B21="","",IFERROR(INDEX(pbp_BatHand,MATCH($B21,pbp_Batter,0)),""))</f>
        <v>L</v>
      </c>
      <c r="E21" s="42">
        <f>IF($B21="","",SUMPRODUCT(COUNTIFS(pbp_PlayType,EM_Type,pbp_Batter,$B21)*EM_PA))</f>
        <v>5</v>
      </c>
      <c r="F21" s="42">
        <f>IF($B21="","",SUMPRODUCT(COUNTIFS(pbp_PlayType,EM_Type,pbp_Batter,$B21)*EM_AB))</f>
        <v>4</v>
      </c>
      <c r="G21" s="42">
        <f>IF($B21="","",SUMPRODUCT(COUNTIFS(pbp_PlayType,EM_Type,pbp_Batter,$B21)*EM_H))</f>
        <v>1</v>
      </c>
      <c r="H21" s="42">
        <f>IF($B21="","",SUMPRODUCT(COUNTIFS(pbp_PlayType,EM_Type,pbp_Batter,$B21)*EM_2B))</f>
        <v>1</v>
      </c>
      <c r="I21" s="42">
        <f>IF($B21="","",SUMPRODUCT(COUNTIFS(pbp_PlayType,EM_Type,pbp_Batter,$B21)*EM_3B))</f>
        <v>0</v>
      </c>
      <c r="J21" s="42">
        <f>IF($B21="","",SUMPRODUCT(COUNTIFS(pbp_PlayType,EM_Type,pbp_Batter,$B21)*EM_HR))</f>
        <v>0</v>
      </c>
      <c r="K21" s="42">
        <f>IF($B21="","",SUMPRODUCT(COUNTIFS(pbp_PlayType,EM_Type,pbp_Batter,$B21)*EM_1B))</f>
        <v>0</v>
      </c>
      <c r="L21" s="42">
        <f>IF($B21="","",SUMPRODUCT(COUNTIFS(pbp_PlayType,EM_Type,pbp_Batter,$B21)*EM_BB))</f>
        <v>0</v>
      </c>
      <c r="M21" s="42">
        <f>IF($B21="","",SUMPRODUCT(COUNTIFS(pbp_PlayType,EM_Type,pbp_Batter,$B21)*EM_HBP))</f>
        <v>1</v>
      </c>
      <c r="N21" s="42">
        <f>IF($B21="","",COUNTIFS(pbp_PlayType,"?*",pbp_Desc,"*struck out*",pbp_Batter,$B21))</f>
        <v>1</v>
      </c>
      <c r="O21" s="42">
        <f>IF($B21="","",SUMPRODUCT(COUNTIFS(pbp_PlayType,EM_Type,pbp_Batter,$B21)*EM_SF))</f>
        <v>0</v>
      </c>
      <c r="P21" s="42">
        <f>IF($B21="","",SUMIFS(pbp_Runs,pbp_Batter,$B21))</f>
        <v>1</v>
      </c>
      <c r="Q21" s="58">
        <f t="shared" si="0"/>
        <v>0.25</v>
      </c>
      <c r="R21" s="58">
        <f t="shared" si="1"/>
        <v>0.4</v>
      </c>
      <c r="S21" s="58">
        <f t="shared" si="2"/>
        <v>0.5</v>
      </c>
      <c r="T21" s="58">
        <f t="shared" si="3"/>
        <v>0.9</v>
      </c>
      <c r="U21" s="58">
        <f t="shared" si="4"/>
        <v>0.25</v>
      </c>
      <c r="V21" s="59">
        <f t="shared" si="5"/>
        <v>0.2</v>
      </c>
      <c r="W21" s="59">
        <f t="shared" si="6"/>
        <v>0</v>
      </c>
      <c r="X21" s="60">
        <f>IF($B21="","",IF((E21)=0,"",(SUMIFS(pbp_Pitches,pbp_Batter,$B21,pbp_PlayType,"?*"))/(E21)))</f>
        <v>4.4000000000000004</v>
      </c>
      <c r="Y21" s="42">
        <f t="shared" si="7"/>
        <v>1</v>
      </c>
      <c r="Z21" s="58">
        <f>IF($B21="","",IF((SUMPRODUCT(COUNTIFS(pbp_PlayType,EM_Type,pbp_Batter,$B21,pbp_On2B,"?*")*EM_AB)+SUMPRODUCT(COUNTIFS(pbp_PlayType,EM_Type,pbp_Batter,$B21,pbp_On2B,"",pbp_On3B,"?*")*EM_AB))=0,"",(SUMPRODUCT(COUNTIFS(pbp_PlayType,EM_Type,pbp_Batter,$B21,pbp_On2B,"?*")*EM_H)+SUMPRODUCT(COUNTIFS(pbp_PlayType,EM_Type,pbp_Batter,$B21,pbp_On2B,"",pbp_On3B,"?*")*EM_H))/(SUMPRODUCT(COUNTIFS(pbp_PlayType,EM_Type,pbp_Batter,$B21,pbp_On2B,"?*")*EM_AB)+SUMPRODUCT(COUNTIFS(pbp_PlayType,EM_Type,pbp_Batter,$B21,pbp_On2B,"",pbp_On3B,"?*")*EM_AB))))</f>
        <v>0.33333333333333331</v>
      </c>
      <c r="AA21" s="62">
        <f>IF($B21="","",IF(OR(E21&lt;MinPA,T21=""),"",COUNTIFS($E$6:$E$255,"&gt;="&amp;MinPA,$T$6:$T$255,"&gt;"&amp;T21)+COUNTIFS($E$5:E20,"&gt;="&amp;MinPA,$T$5:T20,T21)+1))</f>
        <v>10</v>
      </c>
    </row>
    <row r="22" spans="2:27" x14ac:dyDescent="0.2">
      <c r="B22" s="44" t="str">
        <f t="array" ref="B22">IFERROR(INDEX(pbp_Batter,MATCH(0,COUNTIF($B$5:B21,pbp_Batter)+(pbp_Batter=""),0)),"")</f>
        <v>Enrique Hernandez</v>
      </c>
      <c r="C22" s="61" t="str">
        <f>IF($B22="","",IFERROR(INDEX(pbp_BatTeam,MATCH($B22,pbp_Batter,0)),""))</f>
        <v>Los Angeles Dodgers</v>
      </c>
      <c r="D22" s="61" t="str">
        <f>IF($B22="","",IFERROR(INDEX(pbp_BatHand,MATCH($B22,pbp_Batter,0)),""))</f>
        <v>R</v>
      </c>
      <c r="E22" s="42">
        <f>IF($B22="","",SUMPRODUCT(COUNTIFS(pbp_PlayType,EM_Type,pbp_Batter,$B22)*EM_PA))</f>
        <v>5</v>
      </c>
      <c r="F22" s="42">
        <f>IF($B22="","",SUMPRODUCT(COUNTIFS(pbp_PlayType,EM_Type,pbp_Batter,$B22)*EM_AB))</f>
        <v>5</v>
      </c>
      <c r="G22" s="42">
        <f>IF($B22="","",SUMPRODUCT(COUNTIFS(pbp_PlayType,EM_Type,pbp_Batter,$B22)*EM_H))</f>
        <v>1</v>
      </c>
      <c r="H22" s="42">
        <f>IF($B22="","",SUMPRODUCT(COUNTIFS(pbp_PlayType,EM_Type,pbp_Batter,$B22)*EM_2B))</f>
        <v>0</v>
      </c>
      <c r="I22" s="42">
        <f>IF($B22="","",SUMPRODUCT(COUNTIFS(pbp_PlayType,EM_Type,pbp_Batter,$B22)*EM_3B))</f>
        <v>0</v>
      </c>
      <c r="J22" s="42">
        <f>IF($B22="","",SUMPRODUCT(COUNTIFS(pbp_PlayType,EM_Type,pbp_Batter,$B22)*EM_HR))</f>
        <v>0</v>
      </c>
      <c r="K22" s="42">
        <f>IF($B22="","",SUMPRODUCT(COUNTIFS(pbp_PlayType,EM_Type,pbp_Batter,$B22)*EM_1B))</f>
        <v>1</v>
      </c>
      <c r="L22" s="42">
        <f>IF($B22="","",SUMPRODUCT(COUNTIFS(pbp_PlayType,EM_Type,pbp_Batter,$B22)*EM_BB))</f>
        <v>0</v>
      </c>
      <c r="M22" s="42">
        <f>IF($B22="","",SUMPRODUCT(COUNTIFS(pbp_PlayType,EM_Type,pbp_Batter,$B22)*EM_HBP))</f>
        <v>0</v>
      </c>
      <c r="N22" s="42">
        <f>IF($B22="","",COUNTIFS(pbp_PlayType,"?*",pbp_Desc,"*struck out*",pbp_Batter,$B22))</f>
        <v>2</v>
      </c>
      <c r="O22" s="42">
        <f>IF($B22="","",SUMPRODUCT(COUNTIFS(pbp_PlayType,EM_Type,pbp_Batter,$B22)*EM_SF))</f>
        <v>0</v>
      </c>
      <c r="P22" s="42">
        <f>IF($B22="","",SUMIFS(pbp_Runs,pbp_Batter,$B22))</f>
        <v>0</v>
      </c>
      <c r="Q22" s="58">
        <f t="shared" si="0"/>
        <v>0.2</v>
      </c>
      <c r="R22" s="58">
        <f t="shared" si="1"/>
        <v>0.2</v>
      </c>
      <c r="S22" s="58">
        <f t="shared" si="2"/>
        <v>0.2</v>
      </c>
      <c r="T22" s="58">
        <f t="shared" si="3"/>
        <v>0.4</v>
      </c>
      <c r="U22" s="58">
        <f t="shared" si="4"/>
        <v>0</v>
      </c>
      <c r="V22" s="59">
        <f t="shared" si="5"/>
        <v>0.4</v>
      </c>
      <c r="W22" s="59">
        <f t="shared" si="6"/>
        <v>0</v>
      </c>
      <c r="X22" s="60">
        <f>IF($B22="","",IF((E22)=0,"",(SUMIFS(pbp_Pitches,pbp_Batter,$B22,pbp_PlayType,"?*"))/(E22)))</f>
        <v>3.6</v>
      </c>
      <c r="Y22" s="42">
        <f t="shared" si="7"/>
        <v>0</v>
      </c>
      <c r="Z22" s="58">
        <f>IF($B22="","",IF((SUMPRODUCT(COUNTIFS(pbp_PlayType,EM_Type,pbp_Batter,$B22,pbp_On2B,"?*")*EM_AB)+SUMPRODUCT(COUNTIFS(pbp_PlayType,EM_Type,pbp_Batter,$B22,pbp_On2B,"",pbp_On3B,"?*")*EM_AB))=0,"",(SUMPRODUCT(COUNTIFS(pbp_PlayType,EM_Type,pbp_Batter,$B22,pbp_On2B,"?*")*EM_H)+SUMPRODUCT(COUNTIFS(pbp_PlayType,EM_Type,pbp_Batter,$B22,pbp_On2B,"",pbp_On3B,"?*")*EM_H))/(SUMPRODUCT(COUNTIFS(pbp_PlayType,EM_Type,pbp_Batter,$B22,pbp_On2B,"?*")*EM_AB)+SUMPRODUCT(COUNTIFS(pbp_PlayType,EM_Type,pbp_Batter,$B22,pbp_On2B,"",pbp_On3B,"?*")*EM_AB))))</f>
        <v>0</v>
      </c>
      <c r="AA22" s="62">
        <f>IF($B22="","",IF(OR(E22&lt;MinPA,T22=""),"",COUNTIFS($E$6:$E$255,"&gt;="&amp;MinPA,$T$6:$T$255,"&gt;"&amp;T22)+COUNTIFS($E$5:E21,"&gt;="&amp;MinPA,$T$5:T21,T22)+1))</f>
        <v>13</v>
      </c>
    </row>
    <row r="23" spans="2:27" x14ac:dyDescent="0.2">
      <c r="B23" s="44" t="str">
        <f t="array" ref="B23">IFERROR(INDEX(pbp_Batter,MATCH(0,COUNTIF($B$5:B22,pbp_Batter)+(pbp_Batter=""),0)),"")</f>
        <v>Miguel Rojas</v>
      </c>
      <c r="C23" s="61" t="str">
        <f>IF($B23="","",IFERROR(INDEX(pbp_BatTeam,MATCH($B23,pbp_Batter,0)),""))</f>
        <v>Los Angeles Dodgers</v>
      </c>
      <c r="D23" s="61" t="str">
        <f>IF($B23="","",IFERROR(INDEX(pbp_BatHand,MATCH($B23,pbp_Batter,0)),""))</f>
        <v>R</v>
      </c>
      <c r="E23" s="42">
        <f>IF($B23="","",SUMPRODUCT(COUNTIFS(pbp_PlayType,EM_Type,pbp_Batter,$B23)*EM_PA))</f>
        <v>5</v>
      </c>
      <c r="F23" s="42">
        <f>IF($B23="","",SUMPRODUCT(COUNTIFS(pbp_PlayType,EM_Type,pbp_Batter,$B23)*EM_AB))</f>
        <v>5</v>
      </c>
      <c r="G23" s="42">
        <f>IF($B23="","",SUMPRODUCT(COUNTIFS(pbp_PlayType,EM_Type,pbp_Batter,$B23)*EM_H))</f>
        <v>2</v>
      </c>
      <c r="H23" s="42">
        <f>IF($B23="","",SUMPRODUCT(COUNTIFS(pbp_PlayType,EM_Type,pbp_Batter,$B23)*EM_2B))</f>
        <v>0</v>
      </c>
      <c r="I23" s="42">
        <f>IF($B23="","",SUMPRODUCT(COUNTIFS(pbp_PlayType,EM_Type,pbp_Batter,$B23)*EM_3B))</f>
        <v>0</v>
      </c>
      <c r="J23" s="42">
        <f>IF($B23="","",SUMPRODUCT(COUNTIFS(pbp_PlayType,EM_Type,pbp_Batter,$B23)*EM_HR))</f>
        <v>1</v>
      </c>
      <c r="K23" s="42">
        <f>IF($B23="","",SUMPRODUCT(COUNTIFS(pbp_PlayType,EM_Type,pbp_Batter,$B23)*EM_1B))</f>
        <v>1</v>
      </c>
      <c r="L23" s="42">
        <f>IF($B23="","",SUMPRODUCT(COUNTIFS(pbp_PlayType,EM_Type,pbp_Batter,$B23)*EM_BB))</f>
        <v>0</v>
      </c>
      <c r="M23" s="42">
        <f>IF($B23="","",SUMPRODUCT(COUNTIFS(pbp_PlayType,EM_Type,pbp_Batter,$B23)*EM_HBP))</f>
        <v>0</v>
      </c>
      <c r="N23" s="42">
        <f>IF($B23="","",COUNTIFS(pbp_PlayType,"?*",pbp_Desc,"*struck out*",pbp_Batter,$B23))</f>
        <v>1</v>
      </c>
      <c r="O23" s="42">
        <f>IF($B23="","",SUMPRODUCT(COUNTIFS(pbp_PlayType,EM_Type,pbp_Batter,$B23)*EM_SF))</f>
        <v>0</v>
      </c>
      <c r="P23" s="42">
        <f>IF($B23="","",SUMIFS(pbp_Runs,pbp_Batter,$B23))</f>
        <v>1</v>
      </c>
      <c r="Q23" s="58">
        <f t="shared" si="0"/>
        <v>0.4</v>
      </c>
      <c r="R23" s="58">
        <f t="shared" si="1"/>
        <v>0.4</v>
      </c>
      <c r="S23" s="58">
        <f t="shared" si="2"/>
        <v>1</v>
      </c>
      <c r="T23" s="58">
        <f t="shared" si="3"/>
        <v>1.4</v>
      </c>
      <c r="U23" s="58">
        <f t="shared" si="4"/>
        <v>0.6</v>
      </c>
      <c r="V23" s="59">
        <f t="shared" si="5"/>
        <v>0.2</v>
      </c>
      <c r="W23" s="59">
        <f t="shared" si="6"/>
        <v>0</v>
      </c>
      <c r="X23" s="60">
        <f>IF($B23="","",IF((E23)=0,"",(SUMIFS(pbp_Pitches,pbp_Batter,$B23,pbp_PlayType,"?*"))/(E23)))</f>
        <v>4.4000000000000004</v>
      </c>
      <c r="Y23" s="42">
        <f t="shared" si="7"/>
        <v>1</v>
      </c>
      <c r="Z23" s="58">
        <f>IF($B23="","",IF((SUMPRODUCT(COUNTIFS(pbp_PlayType,EM_Type,pbp_Batter,$B23,pbp_On2B,"?*")*EM_AB)+SUMPRODUCT(COUNTIFS(pbp_PlayType,EM_Type,pbp_Batter,$B23,pbp_On2B,"",pbp_On3B,"?*")*EM_AB))=0,"",(SUMPRODUCT(COUNTIFS(pbp_PlayType,EM_Type,pbp_Batter,$B23,pbp_On2B,"?*")*EM_H)+SUMPRODUCT(COUNTIFS(pbp_PlayType,EM_Type,pbp_Batter,$B23,pbp_On2B,"",pbp_On3B,"?*")*EM_H))/(SUMPRODUCT(COUNTIFS(pbp_PlayType,EM_Type,pbp_Batter,$B23,pbp_On2B,"?*")*EM_AB)+SUMPRODUCT(COUNTIFS(pbp_PlayType,EM_Type,pbp_Batter,$B23,pbp_On2B,"",pbp_On3B,"?*")*EM_AB))))</f>
        <v>0</v>
      </c>
      <c r="AA23" s="62">
        <f>IF($B23="","",IF(OR(E23&lt;MinPA,T23=""),"",COUNTIFS($E$6:$E$255,"&gt;="&amp;MinPA,$T$6:$T$255,"&gt;"&amp;T23)+COUNTIFS($E$5:E22,"&gt;="&amp;MinPA,$T$5:T22,T23)+1))</f>
        <v>4</v>
      </c>
    </row>
    <row r="24" spans="2:27" x14ac:dyDescent="0.2">
      <c r="B24" s="44" t="str">
        <f t="array" ref="B24">IFERROR(INDEX(pbp_Batter,MATCH(0,COUNTIF($B$5:B23,pbp_Batter)+(pbp_Batter=""),0)),"")</f>
        <v>Davis Schneider</v>
      </c>
      <c r="C24" s="61" t="str">
        <f>IF($B24="","",IFERROR(INDEX(pbp_BatTeam,MATCH($B24,pbp_Batter,0)),""))</f>
        <v>Toronto Blue Jays</v>
      </c>
      <c r="D24" s="61" t="str">
        <f>IF($B24="","",IFERROR(INDEX(pbp_BatHand,MATCH($B24,pbp_Batter,0)),""))</f>
        <v>R</v>
      </c>
      <c r="E24" s="42">
        <f>IF($B24="","",SUMPRODUCT(COUNTIFS(pbp_PlayType,EM_Type,pbp_Batter,$B24)*EM_PA))</f>
        <v>1</v>
      </c>
      <c r="F24" s="42">
        <f>IF($B24="","",SUMPRODUCT(COUNTIFS(pbp_PlayType,EM_Type,pbp_Batter,$B24)*EM_AB))</f>
        <v>1</v>
      </c>
      <c r="G24" s="42">
        <f>IF($B24="","",SUMPRODUCT(COUNTIFS(pbp_PlayType,EM_Type,pbp_Batter,$B24)*EM_H))</f>
        <v>0</v>
      </c>
      <c r="H24" s="42">
        <f>IF($B24="","",SUMPRODUCT(COUNTIFS(pbp_PlayType,EM_Type,pbp_Batter,$B24)*EM_2B))</f>
        <v>0</v>
      </c>
      <c r="I24" s="42">
        <f>IF($B24="","",SUMPRODUCT(COUNTIFS(pbp_PlayType,EM_Type,pbp_Batter,$B24)*EM_3B))</f>
        <v>0</v>
      </c>
      <c r="J24" s="42">
        <f>IF($B24="","",SUMPRODUCT(COUNTIFS(pbp_PlayType,EM_Type,pbp_Batter,$B24)*EM_HR))</f>
        <v>0</v>
      </c>
      <c r="K24" s="42">
        <f>IF($B24="","",SUMPRODUCT(COUNTIFS(pbp_PlayType,EM_Type,pbp_Batter,$B24)*EM_1B))</f>
        <v>0</v>
      </c>
      <c r="L24" s="42">
        <f>IF($B24="","",SUMPRODUCT(COUNTIFS(pbp_PlayType,EM_Type,pbp_Batter,$B24)*EM_BB))</f>
        <v>0</v>
      </c>
      <c r="M24" s="42">
        <f>IF($B24="","",SUMPRODUCT(COUNTIFS(pbp_PlayType,EM_Type,pbp_Batter,$B24)*EM_HBP))</f>
        <v>0</v>
      </c>
      <c r="N24" s="42">
        <f>IF($B24="","",COUNTIFS(pbp_PlayType,"?*",pbp_Desc,"*struck out*",pbp_Batter,$B24))</f>
        <v>1</v>
      </c>
      <c r="O24" s="42">
        <f>IF($B24="","",SUMPRODUCT(COUNTIFS(pbp_PlayType,EM_Type,pbp_Batter,$B24)*EM_SF))</f>
        <v>0</v>
      </c>
      <c r="P24" s="42">
        <f>IF($B24="","",SUMIFS(pbp_Runs,pbp_Batter,$B24))</f>
        <v>0</v>
      </c>
      <c r="Q24" s="58">
        <f t="shared" si="0"/>
        <v>0</v>
      </c>
      <c r="R24" s="58">
        <f t="shared" si="1"/>
        <v>0</v>
      </c>
      <c r="S24" s="58">
        <f t="shared" si="2"/>
        <v>0</v>
      </c>
      <c r="T24" s="58">
        <f t="shared" si="3"/>
        <v>0</v>
      </c>
      <c r="U24" s="58">
        <f t="shared" si="4"/>
        <v>0</v>
      </c>
      <c r="V24" s="59">
        <f t="shared" si="5"/>
        <v>1</v>
      </c>
      <c r="W24" s="59">
        <f t="shared" si="6"/>
        <v>0</v>
      </c>
      <c r="X24" s="60">
        <f>IF($B24="","",IF((E24)=0,"",(SUMIFS(pbp_Pitches,pbp_Batter,$B24,pbp_PlayType,"?*"))/(E24)))</f>
        <v>5</v>
      </c>
      <c r="Y24" s="42">
        <f t="shared" si="7"/>
        <v>0</v>
      </c>
      <c r="Z24" s="58">
        <f>IF($B24="","",IF((SUMPRODUCT(COUNTIFS(pbp_PlayType,EM_Type,pbp_Batter,$B24,pbp_On2B,"?*")*EM_AB)+SUMPRODUCT(COUNTIFS(pbp_PlayType,EM_Type,pbp_Batter,$B24,pbp_On2B,"",pbp_On3B,"?*")*EM_AB))=0,"",(SUMPRODUCT(COUNTIFS(pbp_PlayType,EM_Type,pbp_Batter,$B24,pbp_On2B,"?*")*EM_H)+SUMPRODUCT(COUNTIFS(pbp_PlayType,EM_Type,pbp_Batter,$B24,pbp_On2B,"",pbp_On3B,"?*")*EM_H))/(SUMPRODUCT(COUNTIFS(pbp_PlayType,EM_Type,pbp_Batter,$B24,pbp_On2B,"?*")*EM_AB)+SUMPRODUCT(COUNTIFS(pbp_PlayType,EM_Type,pbp_Batter,$B24,pbp_On2B,"",pbp_On3B,"?*")*EM_AB))))</f>
        <v>0</v>
      </c>
      <c r="AA24" s="62" t="str">
        <f>IF($B24="","",IF(OR(E24&lt;MinPA,T24=""),"",COUNTIFS($E$6:$E$255,"&gt;="&amp;MinPA,$T$6:$T$255,"&gt;"&amp;T24)+COUNTIFS($E$5:E23,"&gt;="&amp;MinPA,$T$5:T23,T24)+1))</f>
        <v/>
      </c>
    </row>
    <row r="25" spans="2:27" x14ac:dyDescent="0.2">
      <c r="B25" s="44" t="str">
        <f t="array" ref="B25">IFERROR(INDEX(pbp_Batter,MATCH(0,COUNTIF($B$5:B24,pbp_Batter)+(pbp_Batter=""),0)),"")</f>
        <v>Andy Pages</v>
      </c>
      <c r="C25" s="61" t="str">
        <f>IF($B25="","",IFERROR(INDEX(pbp_BatTeam,MATCH($B25,pbp_Batter,0)),""))</f>
        <v>Los Angeles Dodgers</v>
      </c>
      <c r="D25" s="61" t="str">
        <f>IF($B25="","",IFERROR(INDEX(pbp_BatHand,MATCH($B25,pbp_Batter,0)),""))</f>
        <v>R</v>
      </c>
      <c r="E25" s="42">
        <f>IF($B25="","",SUMPRODUCT(COUNTIFS(pbp_PlayType,EM_Type,pbp_Batter,$B25)*EM_PA))</f>
        <v>1</v>
      </c>
      <c r="F25" s="42">
        <f>IF($B25="","",SUMPRODUCT(COUNTIFS(pbp_PlayType,EM_Type,pbp_Batter,$B25)*EM_AB))</f>
        <v>1</v>
      </c>
      <c r="G25" s="42">
        <f>IF($B25="","",SUMPRODUCT(COUNTIFS(pbp_PlayType,EM_Type,pbp_Batter,$B25)*EM_H))</f>
        <v>0</v>
      </c>
      <c r="H25" s="42">
        <f>IF($B25="","",SUMPRODUCT(COUNTIFS(pbp_PlayType,EM_Type,pbp_Batter,$B25)*EM_2B))</f>
        <v>0</v>
      </c>
      <c r="I25" s="42">
        <f>IF($B25="","",SUMPRODUCT(COUNTIFS(pbp_PlayType,EM_Type,pbp_Batter,$B25)*EM_3B))</f>
        <v>0</v>
      </c>
      <c r="J25" s="42">
        <f>IF($B25="","",SUMPRODUCT(COUNTIFS(pbp_PlayType,EM_Type,pbp_Batter,$B25)*EM_HR))</f>
        <v>0</v>
      </c>
      <c r="K25" s="42">
        <f>IF($B25="","",SUMPRODUCT(COUNTIFS(pbp_PlayType,EM_Type,pbp_Batter,$B25)*EM_1B))</f>
        <v>0</v>
      </c>
      <c r="L25" s="42">
        <f>IF($B25="","",SUMPRODUCT(COUNTIFS(pbp_PlayType,EM_Type,pbp_Batter,$B25)*EM_BB))</f>
        <v>0</v>
      </c>
      <c r="M25" s="42">
        <f>IF($B25="","",SUMPRODUCT(COUNTIFS(pbp_PlayType,EM_Type,pbp_Batter,$B25)*EM_HBP))</f>
        <v>0</v>
      </c>
      <c r="N25" s="42">
        <f>IF($B25="","",COUNTIFS(pbp_PlayType,"?*",pbp_Desc,"*struck out*",pbp_Batter,$B25))</f>
        <v>0</v>
      </c>
      <c r="O25" s="42">
        <f>IF($B25="","",SUMPRODUCT(COUNTIFS(pbp_PlayType,EM_Type,pbp_Batter,$B25)*EM_SF))</f>
        <v>0</v>
      </c>
      <c r="P25" s="42">
        <f>IF($B25="","",SUMIFS(pbp_Runs,pbp_Batter,$B25))</f>
        <v>0</v>
      </c>
      <c r="Q25" s="58">
        <f t="shared" si="0"/>
        <v>0</v>
      </c>
      <c r="R25" s="58">
        <f t="shared" si="1"/>
        <v>0</v>
      </c>
      <c r="S25" s="58">
        <f t="shared" si="2"/>
        <v>0</v>
      </c>
      <c r="T25" s="58">
        <f t="shared" si="3"/>
        <v>0</v>
      </c>
      <c r="U25" s="58">
        <f t="shared" si="4"/>
        <v>0</v>
      </c>
      <c r="V25" s="59">
        <f t="shared" si="5"/>
        <v>0</v>
      </c>
      <c r="W25" s="59">
        <f t="shared" si="6"/>
        <v>0</v>
      </c>
      <c r="X25" s="60">
        <f>IF($B25="","",IF((E25)=0,"",(SUMIFS(pbp_Pitches,pbp_Batter,$B25,pbp_PlayType,"?*"))/(E25)))</f>
        <v>4</v>
      </c>
      <c r="Y25" s="42">
        <f t="shared" si="7"/>
        <v>0</v>
      </c>
      <c r="Z25" s="58">
        <f>IF($B25="","",IF((SUMPRODUCT(COUNTIFS(pbp_PlayType,EM_Type,pbp_Batter,$B25,pbp_On2B,"?*")*EM_AB)+SUMPRODUCT(COUNTIFS(pbp_PlayType,EM_Type,pbp_Batter,$B25,pbp_On2B,"",pbp_On3B,"?*")*EM_AB))=0,"",(SUMPRODUCT(COUNTIFS(pbp_PlayType,EM_Type,pbp_Batter,$B25,pbp_On2B,"?*")*EM_H)+SUMPRODUCT(COUNTIFS(pbp_PlayType,EM_Type,pbp_Batter,$B25,pbp_On2B,"",pbp_On3B,"?*")*EM_H))/(SUMPRODUCT(COUNTIFS(pbp_PlayType,EM_Type,pbp_Batter,$B25,pbp_On2B,"?*")*EM_AB)+SUMPRODUCT(COUNTIFS(pbp_PlayType,EM_Type,pbp_Batter,$B25,pbp_On2B,"",pbp_On3B,"?*")*EM_AB))))</f>
        <v>0</v>
      </c>
      <c r="AA25" s="62" t="str">
        <f>IF($B25="","",IF(OR(E25&lt;MinPA,T25=""),"",COUNTIFS($E$6:$E$255,"&gt;="&amp;MinPA,$T$6:$T$255,"&gt;"&amp;T25)+COUNTIFS($E$5:E24,"&gt;="&amp;MinPA,$T$5:T24,T25)+1))</f>
        <v/>
      </c>
    </row>
    <row r="26" spans="2:27" x14ac:dyDescent="0.2">
      <c r="B26" s="44" t="str">
        <f t="array" ref="B26">IFERROR(INDEX(pbp_Batter,MATCH(0,COUNTIF($B$5:B25,pbp_Batter)+(pbp_Batter=""),0)),"")</f>
        <v>Myles Straw</v>
      </c>
      <c r="C26" s="61" t="str">
        <f>IF($B26="","",IFERROR(INDEX(pbp_BatTeam,MATCH($B26,pbp_Batter,0)),""))</f>
        <v>Toronto Blue Jays</v>
      </c>
      <c r="D26" s="61" t="str">
        <f>IF($B26="","",IFERROR(INDEX(pbp_BatHand,MATCH($B26,pbp_Batter,0)),""))</f>
        <v>R</v>
      </c>
      <c r="E26" s="42">
        <f>IF($B26="","",SUMPRODUCT(COUNTIFS(pbp_PlayType,EM_Type,pbp_Batter,$B26)*EM_PA))</f>
        <v>1</v>
      </c>
      <c r="F26" s="42">
        <f>IF($B26="","",SUMPRODUCT(COUNTIFS(pbp_PlayType,EM_Type,pbp_Batter,$B26)*EM_AB))</f>
        <v>1</v>
      </c>
      <c r="G26" s="42">
        <f>IF($B26="","",SUMPRODUCT(COUNTIFS(pbp_PlayType,EM_Type,pbp_Batter,$B26)*EM_H))</f>
        <v>0</v>
      </c>
      <c r="H26" s="42">
        <f>IF($B26="","",SUMPRODUCT(COUNTIFS(pbp_PlayType,EM_Type,pbp_Batter,$B26)*EM_2B))</f>
        <v>0</v>
      </c>
      <c r="I26" s="42">
        <f>IF($B26="","",SUMPRODUCT(COUNTIFS(pbp_PlayType,EM_Type,pbp_Batter,$B26)*EM_3B))</f>
        <v>0</v>
      </c>
      <c r="J26" s="42">
        <f>IF($B26="","",SUMPRODUCT(COUNTIFS(pbp_PlayType,EM_Type,pbp_Batter,$B26)*EM_HR))</f>
        <v>0</v>
      </c>
      <c r="K26" s="42">
        <f>IF($B26="","",SUMPRODUCT(COUNTIFS(pbp_PlayType,EM_Type,pbp_Batter,$B26)*EM_1B))</f>
        <v>0</v>
      </c>
      <c r="L26" s="42">
        <f>IF($B26="","",SUMPRODUCT(COUNTIFS(pbp_PlayType,EM_Type,pbp_Batter,$B26)*EM_BB))</f>
        <v>0</v>
      </c>
      <c r="M26" s="42">
        <f>IF($B26="","",SUMPRODUCT(COUNTIFS(pbp_PlayType,EM_Type,pbp_Batter,$B26)*EM_HBP))</f>
        <v>0</v>
      </c>
      <c r="N26" s="42">
        <f>IF($B26="","",COUNTIFS(pbp_PlayType,"?*",pbp_Desc,"*struck out*",pbp_Batter,$B26))</f>
        <v>0</v>
      </c>
      <c r="O26" s="42">
        <f>IF($B26="","",SUMPRODUCT(COUNTIFS(pbp_PlayType,EM_Type,pbp_Batter,$B26)*EM_SF))</f>
        <v>0</v>
      </c>
      <c r="P26" s="42">
        <f>IF($B26="","",SUMIFS(pbp_Runs,pbp_Batter,$B26))</f>
        <v>0</v>
      </c>
      <c r="Q26" s="58">
        <f t="shared" si="0"/>
        <v>0</v>
      </c>
      <c r="R26" s="58">
        <f t="shared" si="1"/>
        <v>0</v>
      </c>
      <c r="S26" s="58">
        <f t="shared" si="2"/>
        <v>0</v>
      </c>
      <c r="T26" s="58">
        <f t="shared" si="3"/>
        <v>0</v>
      </c>
      <c r="U26" s="58">
        <f t="shared" si="4"/>
        <v>0</v>
      </c>
      <c r="V26" s="59">
        <f t="shared" si="5"/>
        <v>0</v>
      </c>
      <c r="W26" s="59">
        <f t="shared" si="6"/>
        <v>0</v>
      </c>
      <c r="X26" s="60">
        <f>IF($B26="","",IF((E26)=0,"",(SUMIFS(pbp_Pitches,pbp_Batter,$B26,pbp_PlayType,"?*"))/(E26)))</f>
        <v>3</v>
      </c>
      <c r="Y26" s="42">
        <f t="shared" si="7"/>
        <v>0</v>
      </c>
      <c r="Z26" s="58" t="str">
        <f>IF($B26="","",IF((SUMPRODUCT(COUNTIFS(pbp_PlayType,EM_Type,pbp_Batter,$B26,pbp_On2B,"?*")*EM_AB)+SUMPRODUCT(COUNTIFS(pbp_PlayType,EM_Type,pbp_Batter,$B26,pbp_On2B,"",pbp_On3B,"?*")*EM_AB))=0,"",(SUMPRODUCT(COUNTIFS(pbp_PlayType,EM_Type,pbp_Batter,$B26,pbp_On2B,"?*")*EM_H)+SUMPRODUCT(COUNTIFS(pbp_PlayType,EM_Type,pbp_Batter,$B26,pbp_On2B,"",pbp_On3B,"?*")*EM_H))/(SUMPRODUCT(COUNTIFS(pbp_PlayType,EM_Type,pbp_Batter,$B26,pbp_On2B,"?*")*EM_AB)+SUMPRODUCT(COUNTIFS(pbp_PlayType,EM_Type,pbp_Batter,$B26,pbp_On2B,"",pbp_On3B,"?*")*EM_AB))))</f>
        <v/>
      </c>
      <c r="AA26" s="62" t="str">
        <f>IF($B26="","",IF(OR(E26&lt;MinPA,T26=""),"",COUNTIFS($E$6:$E$255,"&gt;="&amp;MinPA,$T$6:$T$255,"&gt;"&amp;T26)+COUNTIFS($E$5:E25,"&gt;="&amp;MinPA,$T$5:T25,T26)+1))</f>
        <v/>
      </c>
    </row>
    <row r="27" spans="2:27" x14ac:dyDescent="0.2">
      <c r="B27" s="44" t="str">
        <f t="array" ref="B27">IFERROR(INDEX(pbp_Batter,MATCH(0,COUNTIF($B$5:B26,pbp_Batter)+(pbp_Batter=""),0)),"")</f>
        <v>Isiah Kiner-Falefa</v>
      </c>
      <c r="C27" s="61" t="str">
        <f>IF($B27="","",IFERROR(INDEX(pbp_BatTeam,MATCH($B27,pbp_Batter,0)),""))</f>
        <v>Toronto Blue Jays</v>
      </c>
      <c r="D27" s="61" t="str">
        <f>IF($B27="","",IFERROR(INDEX(pbp_BatHand,MATCH($B27,pbp_Batter,0)),""))</f>
        <v>R</v>
      </c>
      <c r="E27" s="42">
        <f>IF($B27="","",SUMPRODUCT(COUNTIFS(pbp_PlayType,EM_Type,pbp_Batter,$B27)*EM_PA))</f>
        <v>1</v>
      </c>
      <c r="F27" s="42">
        <f>IF($B27="","",SUMPRODUCT(COUNTIFS(pbp_PlayType,EM_Type,pbp_Batter,$B27)*EM_AB))</f>
        <v>0</v>
      </c>
      <c r="G27" s="42">
        <f>IF($B27="","",SUMPRODUCT(COUNTIFS(pbp_PlayType,EM_Type,pbp_Batter,$B27)*EM_H))</f>
        <v>0</v>
      </c>
      <c r="H27" s="42">
        <f>IF($B27="","",SUMPRODUCT(COUNTIFS(pbp_PlayType,EM_Type,pbp_Batter,$B27)*EM_2B))</f>
        <v>0</v>
      </c>
      <c r="I27" s="42">
        <f>IF($B27="","",SUMPRODUCT(COUNTIFS(pbp_PlayType,EM_Type,pbp_Batter,$B27)*EM_3B))</f>
        <v>0</v>
      </c>
      <c r="J27" s="42">
        <f>IF($B27="","",SUMPRODUCT(COUNTIFS(pbp_PlayType,EM_Type,pbp_Batter,$B27)*EM_HR))</f>
        <v>0</v>
      </c>
      <c r="K27" s="42">
        <f>IF($B27="","",SUMPRODUCT(COUNTIFS(pbp_PlayType,EM_Type,pbp_Batter,$B27)*EM_1B))</f>
        <v>0</v>
      </c>
      <c r="L27" s="42">
        <f>IF($B27="","",SUMPRODUCT(COUNTIFS(pbp_PlayType,EM_Type,pbp_Batter,$B27)*EM_BB))</f>
        <v>0</v>
      </c>
      <c r="M27" s="42">
        <f>IF($B27="","",SUMPRODUCT(COUNTIFS(pbp_PlayType,EM_Type,pbp_Batter,$B27)*EM_HBP))</f>
        <v>0</v>
      </c>
      <c r="N27" s="42">
        <f>IF($B27="","",COUNTIFS(pbp_PlayType,"?*",pbp_Desc,"*struck out*",pbp_Batter,$B27))</f>
        <v>0</v>
      </c>
      <c r="O27" s="42">
        <f>IF($B27="","",SUMPRODUCT(COUNTIFS(pbp_PlayType,EM_Type,pbp_Batter,$B27)*EM_SF))</f>
        <v>0</v>
      </c>
      <c r="P27" s="42">
        <f>IF($B27="","",SUMIFS(pbp_Runs,pbp_Batter,$B27))</f>
        <v>0</v>
      </c>
      <c r="Q27" s="58" t="str">
        <f t="shared" si="0"/>
        <v/>
      </c>
      <c r="R27" s="58" t="str">
        <f t="shared" si="1"/>
        <v/>
      </c>
      <c r="S27" s="58" t="str">
        <f t="shared" si="2"/>
        <v/>
      </c>
      <c r="T27" s="58" t="str">
        <f t="shared" si="3"/>
        <v/>
      </c>
      <c r="U27" s="58" t="str">
        <f t="shared" si="4"/>
        <v/>
      </c>
      <c r="V27" s="59">
        <f t="shared" si="5"/>
        <v>0</v>
      </c>
      <c r="W27" s="59">
        <f t="shared" si="6"/>
        <v>0</v>
      </c>
      <c r="X27" s="60">
        <f>IF($B27="","",IF((E27)=0,"",(SUMIFS(pbp_Pitches,pbp_Batter,$B27,pbp_PlayType,"?*"))/(E27)))</f>
        <v>1</v>
      </c>
      <c r="Y27" s="42">
        <f t="shared" si="7"/>
        <v>0</v>
      </c>
      <c r="Z27" s="58" t="str">
        <f>IF($B27="","",IF((SUMPRODUCT(COUNTIFS(pbp_PlayType,EM_Type,pbp_Batter,$B27,pbp_On2B,"?*")*EM_AB)+SUMPRODUCT(COUNTIFS(pbp_PlayType,EM_Type,pbp_Batter,$B27,pbp_On2B,"",pbp_On3B,"?*")*EM_AB))=0,"",(SUMPRODUCT(COUNTIFS(pbp_PlayType,EM_Type,pbp_Batter,$B27,pbp_On2B,"?*")*EM_H)+SUMPRODUCT(COUNTIFS(pbp_PlayType,EM_Type,pbp_Batter,$B27,pbp_On2B,"",pbp_On3B,"?*")*EM_H))/(SUMPRODUCT(COUNTIFS(pbp_PlayType,EM_Type,pbp_Batter,$B27,pbp_On2B,"?*")*EM_AB)+SUMPRODUCT(COUNTIFS(pbp_PlayType,EM_Type,pbp_Batter,$B27,pbp_On2B,"",pbp_On3B,"?*")*EM_AB))))</f>
        <v/>
      </c>
      <c r="AA27" s="62" t="str">
        <f>IF($B27="","",IF(OR(E27&lt;MinPA,T27=""),"",COUNTIFS($E$6:$E$255,"&gt;="&amp;MinPA,$T$6:$T$255,"&gt;"&amp;T27)+COUNTIFS($E$5:E26,"&gt;="&amp;MinPA,$T$5:T26,T27)+1))</f>
        <v/>
      </c>
    </row>
    <row r="28" spans="2:27" x14ac:dyDescent="0.2">
      <c r="B28" s="44" t="str">
        <f t="array" ref="B28">IFERROR(INDEX(pbp_Batter,MATCH(0,COUNTIF($B$5:B27,pbp_Batter)+(pbp_Batter=""),0)),"")</f>
        <v/>
      </c>
      <c r="C28" s="61" t="str">
        <f>IF($B28="","",IFERROR(INDEX(pbp_BatTeam,MATCH($B28,pbp_Batter,0)),""))</f>
        <v/>
      </c>
      <c r="D28" s="61" t="str">
        <f>IF($B28="","",IFERROR(INDEX(pbp_BatHand,MATCH($B28,pbp_Batter,0)),""))</f>
        <v/>
      </c>
      <c r="E28" s="42" t="str">
        <f>IF($B28="","",SUMPRODUCT(COUNTIFS(pbp_PlayType,EM_Type,pbp_Batter,$B28)*EM_PA))</f>
        <v/>
      </c>
      <c r="F28" s="42" t="str">
        <f>IF($B28="","",SUMPRODUCT(COUNTIFS(pbp_PlayType,EM_Type,pbp_Batter,$B28)*EM_AB))</f>
        <v/>
      </c>
      <c r="G28" s="42" t="str">
        <f>IF($B28="","",SUMPRODUCT(COUNTIFS(pbp_PlayType,EM_Type,pbp_Batter,$B28)*EM_H))</f>
        <v/>
      </c>
      <c r="H28" s="42" t="str">
        <f>IF($B28="","",SUMPRODUCT(COUNTIFS(pbp_PlayType,EM_Type,pbp_Batter,$B28)*EM_2B))</f>
        <v/>
      </c>
      <c r="I28" s="42" t="str">
        <f>IF($B28="","",SUMPRODUCT(COUNTIFS(pbp_PlayType,EM_Type,pbp_Batter,$B28)*EM_3B))</f>
        <v/>
      </c>
      <c r="J28" s="42" t="str">
        <f>IF($B28="","",SUMPRODUCT(COUNTIFS(pbp_PlayType,EM_Type,pbp_Batter,$B28)*EM_HR))</f>
        <v/>
      </c>
      <c r="K28" s="42" t="str">
        <f>IF($B28="","",SUMPRODUCT(COUNTIFS(pbp_PlayType,EM_Type,pbp_Batter,$B28)*EM_1B))</f>
        <v/>
      </c>
      <c r="L28" s="42" t="str">
        <f>IF($B28="","",SUMPRODUCT(COUNTIFS(pbp_PlayType,EM_Type,pbp_Batter,$B28)*EM_BB))</f>
        <v/>
      </c>
      <c r="M28" s="42" t="str">
        <f>IF($B28="","",SUMPRODUCT(COUNTIFS(pbp_PlayType,EM_Type,pbp_Batter,$B28)*EM_HBP))</f>
        <v/>
      </c>
      <c r="N28" s="42" t="str">
        <f>IF($B28="","",COUNTIFS(pbp_PlayType,"?*",pbp_Desc,"*struck out*",pbp_Batter,$B28))</f>
        <v/>
      </c>
      <c r="O28" s="42" t="str">
        <f>IF($B28="","",SUMPRODUCT(COUNTIFS(pbp_PlayType,EM_Type,pbp_Batter,$B28)*EM_SF))</f>
        <v/>
      </c>
      <c r="P28" s="42" t="str">
        <f>IF($B28="","",SUMIFS(pbp_Runs,pbp_Batter,$B28))</f>
        <v/>
      </c>
      <c r="Q28" s="58" t="str">
        <f t="shared" si="0"/>
        <v/>
      </c>
      <c r="R28" s="58" t="str">
        <f t="shared" si="1"/>
        <v/>
      </c>
      <c r="S28" s="58" t="str">
        <f t="shared" si="2"/>
        <v/>
      </c>
      <c r="T28" s="58" t="str">
        <f t="shared" si="3"/>
        <v/>
      </c>
      <c r="U28" s="58" t="str">
        <f t="shared" si="4"/>
        <v/>
      </c>
      <c r="V28" s="59" t="str">
        <f t="shared" si="5"/>
        <v/>
      </c>
      <c r="W28" s="59" t="str">
        <f t="shared" si="6"/>
        <v/>
      </c>
      <c r="X28" s="60" t="str">
        <f>IF($B28="","",IF((E28)=0,"",(SUMIFS(pbp_Pitches,pbp_Batter,$B28,pbp_PlayType,"?*"))/(E28)))</f>
        <v/>
      </c>
      <c r="Y28" s="42" t="str">
        <f t="shared" si="7"/>
        <v/>
      </c>
      <c r="Z28" s="58" t="str">
        <f>IF($B28="","",IF((SUMPRODUCT(COUNTIFS(pbp_PlayType,EM_Type,pbp_Batter,$B28,pbp_On2B,"?*")*EM_AB)+SUMPRODUCT(COUNTIFS(pbp_PlayType,EM_Type,pbp_Batter,$B28,pbp_On2B,"",pbp_On3B,"?*")*EM_AB))=0,"",(SUMPRODUCT(COUNTIFS(pbp_PlayType,EM_Type,pbp_Batter,$B28,pbp_On2B,"?*")*EM_H)+SUMPRODUCT(COUNTIFS(pbp_PlayType,EM_Type,pbp_Batter,$B28,pbp_On2B,"",pbp_On3B,"?*")*EM_H))/(SUMPRODUCT(COUNTIFS(pbp_PlayType,EM_Type,pbp_Batter,$B28,pbp_On2B,"?*")*EM_AB)+SUMPRODUCT(COUNTIFS(pbp_PlayType,EM_Type,pbp_Batter,$B28,pbp_On2B,"",pbp_On3B,"?*")*EM_AB))))</f>
        <v/>
      </c>
      <c r="AA28" s="62" t="str">
        <f>IF($B28="","",IF(OR(E28&lt;MinPA,T28=""),"",COUNTIFS($E$6:$E$255,"&gt;="&amp;MinPA,$T$6:$T$255,"&gt;"&amp;T28)+COUNTIFS($E$5:E27,"&gt;="&amp;MinPA,$T$5:T27,T28)+1))</f>
        <v/>
      </c>
    </row>
    <row r="29" spans="2:27" x14ac:dyDescent="0.2">
      <c r="B29" s="44" t="str">
        <f t="array" ref="B29">IFERROR(INDEX(pbp_Batter,MATCH(0,COUNTIF($B$5:B28,pbp_Batter)+(pbp_Batter=""),0)),"")</f>
        <v/>
      </c>
      <c r="C29" s="61" t="str">
        <f>IF($B29="","",IFERROR(INDEX(pbp_BatTeam,MATCH($B29,pbp_Batter,0)),""))</f>
        <v/>
      </c>
      <c r="D29" s="61" t="str">
        <f>IF($B29="","",IFERROR(INDEX(pbp_BatHand,MATCH($B29,pbp_Batter,0)),""))</f>
        <v/>
      </c>
      <c r="E29" s="42" t="str">
        <f>IF($B29="","",SUMPRODUCT(COUNTIFS(pbp_PlayType,EM_Type,pbp_Batter,$B29)*EM_PA))</f>
        <v/>
      </c>
      <c r="F29" s="42" t="str">
        <f>IF($B29="","",SUMPRODUCT(COUNTIFS(pbp_PlayType,EM_Type,pbp_Batter,$B29)*EM_AB))</f>
        <v/>
      </c>
      <c r="G29" s="42" t="str">
        <f>IF($B29="","",SUMPRODUCT(COUNTIFS(pbp_PlayType,EM_Type,pbp_Batter,$B29)*EM_H))</f>
        <v/>
      </c>
      <c r="H29" s="42" t="str">
        <f>IF($B29="","",SUMPRODUCT(COUNTIFS(pbp_PlayType,EM_Type,pbp_Batter,$B29)*EM_2B))</f>
        <v/>
      </c>
      <c r="I29" s="42" t="str">
        <f>IF($B29="","",SUMPRODUCT(COUNTIFS(pbp_PlayType,EM_Type,pbp_Batter,$B29)*EM_3B))</f>
        <v/>
      </c>
      <c r="J29" s="42" t="str">
        <f>IF($B29="","",SUMPRODUCT(COUNTIFS(pbp_PlayType,EM_Type,pbp_Batter,$B29)*EM_HR))</f>
        <v/>
      </c>
      <c r="K29" s="42" t="str">
        <f>IF($B29="","",SUMPRODUCT(COUNTIFS(pbp_PlayType,EM_Type,pbp_Batter,$B29)*EM_1B))</f>
        <v/>
      </c>
      <c r="L29" s="42" t="str">
        <f>IF($B29="","",SUMPRODUCT(COUNTIFS(pbp_PlayType,EM_Type,pbp_Batter,$B29)*EM_BB))</f>
        <v/>
      </c>
      <c r="M29" s="42" t="str">
        <f>IF($B29="","",SUMPRODUCT(COUNTIFS(pbp_PlayType,EM_Type,pbp_Batter,$B29)*EM_HBP))</f>
        <v/>
      </c>
      <c r="N29" s="42" t="str">
        <f>IF($B29="","",COUNTIFS(pbp_PlayType,"?*",pbp_Desc,"*struck out*",pbp_Batter,$B29))</f>
        <v/>
      </c>
      <c r="O29" s="42" t="str">
        <f>IF($B29="","",SUMPRODUCT(COUNTIFS(pbp_PlayType,EM_Type,pbp_Batter,$B29)*EM_SF))</f>
        <v/>
      </c>
      <c r="P29" s="42" t="str">
        <f>IF($B29="","",SUMIFS(pbp_Runs,pbp_Batter,$B29))</f>
        <v/>
      </c>
      <c r="Q29" s="58" t="str">
        <f t="shared" si="0"/>
        <v/>
      </c>
      <c r="R29" s="58" t="str">
        <f t="shared" si="1"/>
        <v/>
      </c>
      <c r="S29" s="58" t="str">
        <f t="shared" si="2"/>
        <v/>
      </c>
      <c r="T29" s="58" t="str">
        <f t="shared" si="3"/>
        <v/>
      </c>
      <c r="U29" s="58" t="str">
        <f t="shared" si="4"/>
        <v/>
      </c>
      <c r="V29" s="59" t="str">
        <f t="shared" si="5"/>
        <v/>
      </c>
      <c r="W29" s="59" t="str">
        <f t="shared" si="6"/>
        <v/>
      </c>
      <c r="X29" s="60" t="str">
        <f>IF($B29="","",IF((E29)=0,"",(SUMIFS(pbp_Pitches,pbp_Batter,$B29,pbp_PlayType,"?*"))/(E29)))</f>
        <v/>
      </c>
      <c r="Y29" s="42" t="str">
        <f t="shared" si="7"/>
        <v/>
      </c>
      <c r="Z29" s="58" t="str">
        <f>IF($B29="","",IF((SUMPRODUCT(COUNTIFS(pbp_PlayType,EM_Type,pbp_Batter,$B29,pbp_On2B,"?*")*EM_AB)+SUMPRODUCT(COUNTIFS(pbp_PlayType,EM_Type,pbp_Batter,$B29,pbp_On2B,"",pbp_On3B,"?*")*EM_AB))=0,"",(SUMPRODUCT(COUNTIFS(pbp_PlayType,EM_Type,pbp_Batter,$B29,pbp_On2B,"?*")*EM_H)+SUMPRODUCT(COUNTIFS(pbp_PlayType,EM_Type,pbp_Batter,$B29,pbp_On2B,"",pbp_On3B,"?*")*EM_H))/(SUMPRODUCT(COUNTIFS(pbp_PlayType,EM_Type,pbp_Batter,$B29,pbp_On2B,"?*")*EM_AB)+SUMPRODUCT(COUNTIFS(pbp_PlayType,EM_Type,pbp_Batter,$B29,pbp_On2B,"",pbp_On3B,"?*")*EM_AB))))</f>
        <v/>
      </c>
      <c r="AA29" s="62" t="str">
        <f>IF($B29="","",IF(OR(E29&lt;MinPA,T29=""),"",COUNTIFS($E$6:$E$255,"&gt;="&amp;MinPA,$T$6:$T$255,"&gt;"&amp;T29)+COUNTIFS($E$5:E28,"&gt;="&amp;MinPA,$T$5:T28,T29)+1))</f>
        <v/>
      </c>
    </row>
    <row r="30" spans="2:27" x14ac:dyDescent="0.2">
      <c r="B30" s="44" t="str">
        <f t="array" ref="B30">IFERROR(INDEX(pbp_Batter,MATCH(0,COUNTIF($B$5:B29,pbp_Batter)+(pbp_Batter=""),0)),"")</f>
        <v/>
      </c>
      <c r="C30" s="61" t="str">
        <f>IF($B30="","",IFERROR(INDEX(pbp_BatTeam,MATCH($B30,pbp_Batter,0)),""))</f>
        <v/>
      </c>
      <c r="D30" s="61" t="str">
        <f>IF($B30="","",IFERROR(INDEX(pbp_BatHand,MATCH($B30,pbp_Batter,0)),""))</f>
        <v/>
      </c>
      <c r="E30" s="42" t="str">
        <f>IF($B30="","",SUMPRODUCT(COUNTIFS(pbp_PlayType,EM_Type,pbp_Batter,$B30)*EM_PA))</f>
        <v/>
      </c>
      <c r="F30" s="42" t="str">
        <f>IF($B30="","",SUMPRODUCT(COUNTIFS(pbp_PlayType,EM_Type,pbp_Batter,$B30)*EM_AB))</f>
        <v/>
      </c>
      <c r="G30" s="42" t="str">
        <f>IF($B30="","",SUMPRODUCT(COUNTIFS(pbp_PlayType,EM_Type,pbp_Batter,$B30)*EM_H))</f>
        <v/>
      </c>
      <c r="H30" s="42" t="str">
        <f>IF($B30="","",SUMPRODUCT(COUNTIFS(pbp_PlayType,EM_Type,pbp_Batter,$B30)*EM_2B))</f>
        <v/>
      </c>
      <c r="I30" s="42" t="str">
        <f>IF($B30="","",SUMPRODUCT(COUNTIFS(pbp_PlayType,EM_Type,pbp_Batter,$B30)*EM_3B))</f>
        <v/>
      </c>
      <c r="J30" s="42" t="str">
        <f>IF($B30="","",SUMPRODUCT(COUNTIFS(pbp_PlayType,EM_Type,pbp_Batter,$B30)*EM_HR))</f>
        <v/>
      </c>
      <c r="K30" s="42" t="str">
        <f>IF($B30="","",SUMPRODUCT(COUNTIFS(pbp_PlayType,EM_Type,pbp_Batter,$B30)*EM_1B))</f>
        <v/>
      </c>
      <c r="L30" s="42" t="str">
        <f>IF($B30="","",SUMPRODUCT(COUNTIFS(pbp_PlayType,EM_Type,pbp_Batter,$B30)*EM_BB))</f>
        <v/>
      </c>
      <c r="M30" s="42" t="str">
        <f>IF($B30="","",SUMPRODUCT(COUNTIFS(pbp_PlayType,EM_Type,pbp_Batter,$B30)*EM_HBP))</f>
        <v/>
      </c>
      <c r="N30" s="42" t="str">
        <f>IF($B30="","",COUNTIFS(pbp_PlayType,"?*",pbp_Desc,"*struck out*",pbp_Batter,$B30))</f>
        <v/>
      </c>
      <c r="O30" s="42" t="str">
        <f>IF($B30="","",SUMPRODUCT(COUNTIFS(pbp_PlayType,EM_Type,pbp_Batter,$B30)*EM_SF))</f>
        <v/>
      </c>
      <c r="P30" s="42" t="str">
        <f>IF($B30="","",SUMIFS(pbp_Runs,pbp_Batter,$B30))</f>
        <v/>
      </c>
      <c r="Q30" s="58" t="str">
        <f t="shared" si="0"/>
        <v/>
      </c>
      <c r="R30" s="58" t="str">
        <f t="shared" si="1"/>
        <v/>
      </c>
      <c r="S30" s="58" t="str">
        <f t="shared" si="2"/>
        <v/>
      </c>
      <c r="T30" s="58" t="str">
        <f t="shared" si="3"/>
        <v/>
      </c>
      <c r="U30" s="58" t="str">
        <f t="shared" si="4"/>
        <v/>
      </c>
      <c r="V30" s="59" t="str">
        <f t="shared" si="5"/>
        <v/>
      </c>
      <c r="W30" s="59" t="str">
        <f t="shared" si="6"/>
        <v/>
      </c>
      <c r="X30" s="60" t="str">
        <f>IF($B30="","",IF((E30)=0,"",(SUMIFS(pbp_Pitches,pbp_Batter,$B30,pbp_PlayType,"?*"))/(E30)))</f>
        <v/>
      </c>
      <c r="Y30" s="42" t="str">
        <f t="shared" si="7"/>
        <v/>
      </c>
      <c r="Z30" s="58" t="str">
        <f>IF($B30="","",IF((SUMPRODUCT(COUNTIFS(pbp_PlayType,EM_Type,pbp_Batter,$B30,pbp_On2B,"?*")*EM_AB)+SUMPRODUCT(COUNTIFS(pbp_PlayType,EM_Type,pbp_Batter,$B30,pbp_On2B,"",pbp_On3B,"?*")*EM_AB))=0,"",(SUMPRODUCT(COUNTIFS(pbp_PlayType,EM_Type,pbp_Batter,$B30,pbp_On2B,"?*")*EM_H)+SUMPRODUCT(COUNTIFS(pbp_PlayType,EM_Type,pbp_Batter,$B30,pbp_On2B,"",pbp_On3B,"?*")*EM_H))/(SUMPRODUCT(COUNTIFS(pbp_PlayType,EM_Type,pbp_Batter,$B30,pbp_On2B,"?*")*EM_AB)+SUMPRODUCT(COUNTIFS(pbp_PlayType,EM_Type,pbp_Batter,$B30,pbp_On2B,"",pbp_On3B,"?*")*EM_AB))))</f>
        <v/>
      </c>
      <c r="AA30" s="62" t="str">
        <f>IF($B30="","",IF(OR(E30&lt;MinPA,T30=""),"",COUNTIFS($E$6:$E$255,"&gt;="&amp;MinPA,$T$6:$T$255,"&gt;"&amp;T30)+COUNTIFS($E$5:E29,"&gt;="&amp;MinPA,$T$5:T29,T30)+1))</f>
        <v/>
      </c>
    </row>
    <row r="31" spans="2:27" x14ac:dyDescent="0.2">
      <c r="B31" s="44" t="str">
        <f t="array" ref="B31">IFERROR(INDEX(pbp_Batter,MATCH(0,COUNTIF($B$5:B30,pbp_Batter)+(pbp_Batter=""),0)),"")</f>
        <v/>
      </c>
      <c r="C31" s="61" t="str">
        <f>IF($B31="","",IFERROR(INDEX(pbp_BatTeam,MATCH($B31,pbp_Batter,0)),""))</f>
        <v/>
      </c>
      <c r="D31" s="61" t="str">
        <f>IF($B31="","",IFERROR(INDEX(pbp_BatHand,MATCH($B31,pbp_Batter,0)),""))</f>
        <v/>
      </c>
      <c r="E31" s="42" t="str">
        <f>IF($B31="","",SUMPRODUCT(COUNTIFS(pbp_PlayType,EM_Type,pbp_Batter,$B31)*EM_PA))</f>
        <v/>
      </c>
      <c r="F31" s="42" t="str">
        <f>IF($B31="","",SUMPRODUCT(COUNTIFS(pbp_PlayType,EM_Type,pbp_Batter,$B31)*EM_AB))</f>
        <v/>
      </c>
      <c r="G31" s="42" t="str">
        <f>IF($B31="","",SUMPRODUCT(COUNTIFS(pbp_PlayType,EM_Type,pbp_Batter,$B31)*EM_H))</f>
        <v/>
      </c>
      <c r="H31" s="42" t="str">
        <f>IF($B31="","",SUMPRODUCT(COUNTIFS(pbp_PlayType,EM_Type,pbp_Batter,$B31)*EM_2B))</f>
        <v/>
      </c>
      <c r="I31" s="42" t="str">
        <f>IF($B31="","",SUMPRODUCT(COUNTIFS(pbp_PlayType,EM_Type,pbp_Batter,$B31)*EM_3B))</f>
        <v/>
      </c>
      <c r="J31" s="42" t="str">
        <f>IF($B31="","",SUMPRODUCT(COUNTIFS(pbp_PlayType,EM_Type,pbp_Batter,$B31)*EM_HR))</f>
        <v/>
      </c>
      <c r="K31" s="42" t="str">
        <f>IF($B31="","",SUMPRODUCT(COUNTIFS(pbp_PlayType,EM_Type,pbp_Batter,$B31)*EM_1B))</f>
        <v/>
      </c>
      <c r="L31" s="42" t="str">
        <f>IF($B31="","",SUMPRODUCT(COUNTIFS(pbp_PlayType,EM_Type,pbp_Batter,$B31)*EM_BB))</f>
        <v/>
      </c>
      <c r="M31" s="42" t="str">
        <f>IF($B31="","",SUMPRODUCT(COUNTIFS(pbp_PlayType,EM_Type,pbp_Batter,$B31)*EM_HBP))</f>
        <v/>
      </c>
      <c r="N31" s="42" t="str">
        <f>IF($B31="","",COUNTIFS(pbp_PlayType,"?*",pbp_Desc,"*struck out*",pbp_Batter,$B31))</f>
        <v/>
      </c>
      <c r="O31" s="42" t="str">
        <f>IF($B31="","",SUMPRODUCT(COUNTIFS(pbp_PlayType,EM_Type,pbp_Batter,$B31)*EM_SF))</f>
        <v/>
      </c>
      <c r="P31" s="42" t="str">
        <f>IF($B31="","",SUMIFS(pbp_Runs,pbp_Batter,$B31))</f>
        <v/>
      </c>
      <c r="Q31" s="58" t="str">
        <f t="shared" si="0"/>
        <v/>
      </c>
      <c r="R31" s="58" t="str">
        <f t="shared" si="1"/>
        <v/>
      </c>
      <c r="S31" s="58" t="str">
        <f t="shared" si="2"/>
        <v/>
      </c>
      <c r="T31" s="58" t="str">
        <f t="shared" si="3"/>
        <v/>
      </c>
      <c r="U31" s="58" t="str">
        <f t="shared" si="4"/>
        <v/>
      </c>
      <c r="V31" s="59" t="str">
        <f t="shared" si="5"/>
        <v/>
      </c>
      <c r="W31" s="59" t="str">
        <f t="shared" si="6"/>
        <v/>
      </c>
      <c r="X31" s="60" t="str">
        <f>IF($B31="","",IF((E31)=0,"",(SUMIFS(pbp_Pitches,pbp_Batter,$B31,pbp_PlayType,"?*"))/(E31)))</f>
        <v/>
      </c>
      <c r="Y31" s="42" t="str">
        <f t="shared" si="7"/>
        <v/>
      </c>
      <c r="Z31" s="58" t="str">
        <f>IF($B31="","",IF((SUMPRODUCT(COUNTIFS(pbp_PlayType,EM_Type,pbp_Batter,$B31,pbp_On2B,"?*")*EM_AB)+SUMPRODUCT(COUNTIFS(pbp_PlayType,EM_Type,pbp_Batter,$B31,pbp_On2B,"",pbp_On3B,"?*")*EM_AB))=0,"",(SUMPRODUCT(COUNTIFS(pbp_PlayType,EM_Type,pbp_Batter,$B31,pbp_On2B,"?*")*EM_H)+SUMPRODUCT(COUNTIFS(pbp_PlayType,EM_Type,pbp_Batter,$B31,pbp_On2B,"",pbp_On3B,"?*")*EM_H))/(SUMPRODUCT(COUNTIFS(pbp_PlayType,EM_Type,pbp_Batter,$B31,pbp_On2B,"?*")*EM_AB)+SUMPRODUCT(COUNTIFS(pbp_PlayType,EM_Type,pbp_Batter,$B31,pbp_On2B,"",pbp_On3B,"?*")*EM_AB))))</f>
        <v/>
      </c>
      <c r="AA31" s="62" t="str">
        <f>IF($B31="","",IF(OR(E31&lt;MinPA,T31=""),"",COUNTIFS($E$6:$E$255,"&gt;="&amp;MinPA,$T$6:$T$255,"&gt;"&amp;T31)+COUNTIFS($E$5:E30,"&gt;="&amp;MinPA,$T$5:T30,T31)+1))</f>
        <v/>
      </c>
    </row>
    <row r="32" spans="2:27" x14ac:dyDescent="0.2">
      <c r="B32" s="44" t="str">
        <f t="array" ref="B32">IFERROR(INDEX(pbp_Batter,MATCH(0,COUNTIF($B$5:B31,pbp_Batter)+(pbp_Batter=""),0)),"")</f>
        <v/>
      </c>
      <c r="C32" s="61" t="str">
        <f>IF($B32="","",IFERROR(INDEX(pbp_BatTeam,MATCH($B32,pbp_Batter,0)),""))</f>
        <v/>
      </c>
      <c r="D32" s="61" t="str">
        <f>IF($B32="","",IFERROR(INDEX(pbp_BatHand,MATCH($B32,pbp_Batter,0)),""))</f>
        <v/>
      </c>
      <c r="E32" s="42" t="str">
        <f>IF($B32="","",SUMPRODUCT(COUNTIFS(pbp_PlayType,EM_Type,pbp_Batter,$B32)*EM_PA))</f>
        <v/>
      </c>
      <c r="F32" s="42" t="str">
        <f>IF($B32="","",SUMPRODUCT(COUNTIFS(pbp_PlayType,EM_Type,pbp_Batter,$B32)*EM_AB))</f>
        <v/>
      </c>
      <c r="G32" s="42" t="str">
        <f>IF($B32="","",SUMPRODUCT(COUNTIFS(pbp_PlayType,EM_Type,pbp_Batter,$B32)*EM_H))</f>
        <v/>
      </c>
      <c r="H32" s="42" t="str">
        <f>IF($B32="","",SUMPRODUCT(COUNTIFS(pbp_PlayType,EM_Type,pbp_Batter,$B32)*EM_2B))</f>
        <v/>
      </c>
      <c r="I32" s="42" t="str">
        <f>IF($B32="","",SUMPRODUCT(COUNTIFS(pbp_PlayType,EM_Type,pbp_Batter,$B32)*EM_3B))</f>
        <v/>
      </c>
      <c r="J32" s="42" t="str">
        <f>IF($B32="","",SUMPRODUCT(COUNTIFS(pbp_PlayType,EM_Type,pbp_Batter,$B32)*EM_HR))</f>
        <v/>
      </c>
      <c r="K32" s="42" t="str">
        <f>IF($B32="","",SUMPRODUCT(COUNTIFS(pbp_PlayType,EM_Type,pbp_Batter,$B32)*EM_1B))</f>
        <v/>
      </c>
      <c r="L32" s="42" t="str">
        <f>IF($B32="","",SUMPRODUCT(COUNTIFS(pbp_PlayType,EM_Type,pbp_Batter,$B32)*EM_BB))</f>
        <v/>
      </c>
      <c r="M32" s="42" t="str">
        <f>IF($B32="","",SUMPRODUCT(COUNTIFS(pbp_PlayType,EM_Type,pbp_Batter,$B32)*EM_HBP))</f>
        <v/>
      </c>
      <c r="N32" s="42" t="str">
        <f>IF($B32="","",COUNTIFS(pbp_PlayType,"?*",pbp_Desc,"*struck out*",pbp_Batter,$B32))</f>
        <v/>
      </c>
      <c r="O32" s="42" t="str">
        <f>IF($B32="","",SUMPRODUCT(COUNTIFS(pbp_PlayType,EM_Type,pbp_Batter,$B32)*EM_SF))</f>
        <v/>
      </c>
      <c r="P32" s="42" t="str">
        <f>IF($B32="","",SUMIFS(pbp_Runs,pbp_Batter,$B32))</f>
        <v/>
      </c>
      <c r="Q32" s="58" t="str">
        <f t="shared" si="0"/>
        <v/>
      </c>
      <c r="R32" s="58" t="str">
        <f t="shared" si="1"/>
        <v/>
      </c>
      <c r="S32" s="58" t="str">
        <f t="shared" si="2"/>
        <v/>
      </c>
      <c r="T32" s="58" t="str">
        <f t="shared" si="3"/>
        <v/>
      </c>
      <c r="U32" s="58" t="str">
        <f t="shared" si="4"/>
        <v/>
      </c>
      <c r="V32" s="59" t="str">
        <f t="shared" si="5"/>
        <v/>
      </c>
      <c r="W32" s="59" t="str">
        <f t="shared" si="6"/>
        <v/>
      </c>
      <c r="X32" s="60" t="str">
        <f>IF($B32="","",IF((E32)=0,"",(SUMIFS(pbp_Pitches,pbp_Batter,$B32,pbp_PlayType,"?*"))/(E32)))</f>
        <v/>
      </c>
      <c r="Y32" s="42" t="str">
        <f t="shared" si="7"/>
        <v/>
      </c>
      <c r="Z32" s="58" t="str">
        <f>IF($B32="","",IF((SUMPRODUCT(COUNTIFS(pbp_PlayType,EM_Type,pbp_Batter,$B32,pbp_On2B,"?*")*EM_AB)+SUMPRODUCT(COUNTIFS(pbp_PlayType,EM_Type,pbp_Batter,$B32,pbp_On2B,"",pbp_On3B,"?*")*EM_AB))=0,"",(SUMPRODUCT(COUNTIFS(pbp_PlayType,EM_Type,pbp_Batter,$B32,pbp_On2B,"?*")*EM_H)+SUMPRODUCT(COUNTIFS(pbp_PlayType,EM_Type,pbp_Batter,$B32,pbp_On2B,"",pbp_On3B,"?*")*EM_H))/(SUMPRODUCT(COUNTIFS(pbp_PlayType,EM_Type,pbp_Batter,$B32,pbp_On2B,"?*")*EM_AB)+SUMPRODUCT(COUNTIFS(pbp_PlayType,EM_Type,pbp_Batter,$B32,pbp_On2B,"",pbp_On3B,"?*")*EM_AB))))</f>
        <v/>
      </c>
      <c r="AA32" s="62" t="str">
        <f>IF($B32="","",IF(OR(E32&lt;MinPA,T32=""),"",COUNTIFS($E$6:$E$255,"&gt;="&amp;MinPA,$T$6:$T$255,"&gt;"&amp;T32)+COUNTIFS($E$5:E31,"&gt;="&amp;MinPA,$T$5:T31,T32)+1))</f>
        <v/>
      </c>
    </row>
    <row r="33" spans="2:27" x14ac:dyDescent="0.2">
      <c r="B33" s="44" t="str">
        <f t="array" ref="B33">IFERROR(INDEX(pbp_Batter,MATCH(0,COUNTIF($B$5:B32,pbp_Batter)+(pbp_Batter=""),0)),"")</f>
        <v/>
      </c>
      <c r="C33" s="61" t="str">
        <f>IF($B33="","",IFERROR(INDEX(pbp_BatTeam,MATCH($B33,pbp_Batter,0)),""))</f>
        <v/>
      </c>
      <c r="D33" s="61" t="str">
        <f>IF($B33="","",IFERROR(INDEX(pbp_BatHand,MATCH($B33,pbp_Batter,0)),""))</f>
        <v/>
      </c>
      <c r="E33" s="42" t="str">
        <f>IF($B33="","",SUMPRODUCT(COUNTIFS(pbp_PlayType,EM_Type,pbp_Batter,$B33)*EM_PA))</f>
        <v/>
      </c>
      <c r="F33" s="42" t="str">
        <f>IF($B33="","",SUMPRODUCT(COUNTIFS(pbp_PlayType,EM_Type,pbp_Batter,$B33)*EM_AB))</f>
        <v/>
      </c>
      <c r="G33" s="42" t="str">
        <f>IF($B33="","",SUMPRODUCT(COUNTIFS(pbp_PlayType,EM_Type,pbp_Batter,$B33)*EM_H))</f>
        <v/>
      </c>
      <c r="H33" s="42" t="str">
        <f>IF($B33="","",SUMPRODUCT(COUNTIFS(pbp_PlayType,EM_Type,pbp_Batter,$B33)*EM_2B))</f>
        <v/>
      </c>
      <c r="I33" s="42" t="str">
        <f>IF($B33="","",SUMPRODUCT(COUNTIFS(pbp_PlayType,EM_Type,pbp_Batter,$B33)*EM_3B))</f>
        <v/>
      </c>
      <c r="J33" s="42" t="str">
        <f>IF($B33="","",SUMPRODUCT(COUNTIFS(pbp_PlayType,EM_Type,pbp_Batter,$B33)*EM_HR))</f>
        <v/>
      </c>
      <c r="K33" s="42" t="str">
        <f>IF($B33="","",SUMPRODUCT(COUNTIFS(pbp_PlayType,EM_Type,pbp_Batter,$B33)*EM_1B))</f>
        <v/>
      </c>
      <c r="L33" s="42" t="str">
        <f>IF($B33="","",SUMPRODUCT(COUNTIFS(pbp_PlayType,EM_Type,pbp_Batter,$B33)*EM_BB))</f>
        <v/>
      </c>
      <c r="M33" s="42" t="str">
        <f>IF($B33="","",SUMPRODUCT(COUNTIFS(pbp_PlayType,EM_Type,pbp_Batter,$B33)*EM_HBP))</f>
        <v/>
      </c>
      <c r="N33" s="42" t="str">
        <f>IF($B33="","",COUNTIFS(pbp_PlayType,"?*",pbp_Desc,"*struck out*",pbp_Batter,$B33))</f>
        <v/>
      </c>
      <c r="O33" s="42" t="str">
        <f>IF($B33="","",SUMPRODUCT(COUNTIFS(pbp_PlayType,EM_Type,pbp_Batter,$B33)*EM_SF))</f>
        <v/>
      </c>
      <c r="P33" s="42" t="str">
        <f>IF($B33="","",SUMIFS(pbp_Runs,pbp_Batter,$B33))</f>
        <v/>
      </c>
      <c r="Q33" s="58" t="str">
        <f t="shared" si="0"/>
        <v/>
      </c>
      <c r="R33" s="58" t="str">
        <f t="shared" si="1"/>
        <v/>
      </c>
      <c r="S33" s="58" t="str">
        <f t="shared" si="2"/>
        <v/>
      </c>
      <c r="T33" s="58" t="str">
        <f t="shared" si="3"/>
        <v/>
      </c>
      <c r="U33" s="58" t="str">
        <f t="shared" si="4"/>
        <v/>
      </c>
      <c r="V33" s="59" t="str">
        <f t="shared" si="5"/>
        <v/>
      </c>
      <c r="W33" s="59" t="str">
        <f t="shared" si="6"/>
        <v/>
      </c>
      <c r="X33" s="60" t="str">
        <f>IF($B33="","",IF((E33)=0,"",(SUMIFS(pbp_Pitches,pbp_Batter,$B33,pbp_PlayType,"?*"))/(E33)))</f>
        <v/>
      </c>
      <c r="Y33" s="42" t="str">
        <f t="shared" si="7"/>
        <v/>
      </c>
      <c r="Z33" s="58" t="str">
        <f>IF($B33="","",IF((SUMPRODUCT(COUNTIFS(pbp_PlayType,EM_Type,pbp_Batter,$B33,pbp_On2B,"?*")*EM_AB)+SUMPRODUCT(COUNTIFS(pbp_PlayType,EM_Type,pbp_Batter,$B33,pbp_On2B,"",pbp_On3B,"?*")*EM_AB))=0,"",(SUMPRODUCT(COUNTIFS(pbp_PlayType,EM_Type,pbp_Batter,$B33,pbp_On2B,"?*")*EM_H)+SUMPRODUCT(COUNTIFS(pbp_PlayType,EM_Type,pbp_Batter,$B33,pbp_On2B,"",pbp_On3B,"?*")*EM_H))/(SUMPRODUCT(COUNTIFS(pbp_PlayType,EM_Type,pbp_Batter,$B33,pbp_On2B,"?*")*EM_AB)+SUMPRODUCT(COUNTIFS(pbp_PlayType,EM_Type,pbp_Batter,$B33,pbp_On2B,"",pbp_On3B,"?*")*EM_AB))))</f>
        <v/>
      </c>
      <c r="AA33" s="62" t="str">
        <f>IF($B33="","",IF(OR(E33&lt;MinPA,T33=""),"",COUNTIFS($E$6:$E$255,"&gt;="&amp;MinPA,$T$6:$T$255,"&gt;"&amp;T33)+COUNTIFS($E$5:E32,"&gt;="&amp;MinPA,$T$5:T32,T33)+1))</f>
        <v/>
      </c>
    </row>
    <row r="34" spans="2:27" x14ac:dyDescent="0.2">
      <c r="B34" s="44" t="str">
        <f t="array" ref="B34">IFERROR(INDEX(pbp_Batter,MATCH(0,COUNTIF($B$5:B33,pbp_Batter)+(pbp_Batter=""),0)),"")</f>
        <v/>
      </c>
      <c r="C34" s="61" t="str">
        <f>IF($B34="","",IFERROR(INDEX(pbp_BatTeam,MATCH($B34,pbp_Batter,0)),""))</f>
        <v/>
      </c>
      <c r="D34" s="61" t="str">
        <f>IF($B34="","",IFERROR(INDEX(pbp_BatHand,MATCH($B34,pbp_Batter,0)),""))</f>
        <v/>
      </c>
      <c r="E34" s="42" t="str">
        <f>IF($B34="","",SUMPRODUCT(COUNTIFS(pbp_PlayType,EM_Type,pbp_Batter,$B34)*EM_PA))</f>
        <v/>
      </c>
      <c r="F34" s="42" t="str">
        <f>IF($B34="","",SUMPRODUCT(COUNTIFS(pbp_PlayType,EM_Type,pbp_Batter,$B34)*EM_AB))</f>
        <v/>
      </c>
      <c r="G34" s="42" t="str">
        <f>IF($B34="","",SUMPRODUCT(COUNTIFS(pbp_PlayType,EM_Type,pbp_Batter,$B34)*EM_H))</f>
        <v/>
      </c>
      <c r="H34" s="42" t="str">
        <f>IF($B34="","",SUMPRODUCT(COUNTIFS(pbp_PlayType,EM_Type,pbp_Batter,$B34)*EM_2B))</f>
        <v/>
      </c>
      <c r="I34" s="42" t="str">
        <f>IF($B34="","",SUMPRODUCT(COUNTIFS(pbp_PlayType,EM_Type,pbp_Batter,$B34)*EM_3B))</f>
        <v/>
      </c>
      <c r="J34" s="42" t="str">
        <f>IF($B34="","",SUMPRODUCT(COUNTIFS(pbp_PlayType,EM_Type,pbp_Batter,$B34)*EM_HR))</f>
        <v/>
      </c>
      <c r="K34" s="42" t="str">
        <f>IF($B34="","",SUMPRODUCT(COUNTIFS(pbp_PlayType,EM_Type,pbp_Batter,$B34)*EM_1B))</f>
        <v/>
      </c>
      <c r="L34" s="42" t="str">
        <f>IF($B34="","",SUMPRODUCT(COUNTIFS(pbp_PlayType,EM_Type,pbp_Batter,$B34)*EM_BB))</f>
        <v/>
      </c>
      <c r="M34" s="42" t="str">
        <f>IF($B34="","",SUMPRODUCT(COUNTIFS(pbp_PlayType,EM_Type,pbp_Batter,$B34)*EM_HBP))</f>
        <v/>
      </c>
      <c r="N34" s="42" t="str">
        <f>IF($B34="","",COUNTIFS(pbp_PlayType,"?*",pbp_Desc,"*struck out*",pbp_Batter,$B34))</f>
        <v/>
      </c>
      <c r="O34" s="42" t="str">
        <f>IF($B34="","",SUMPRODUCT(COUNTIFS(pbp_PlayType,EM_Type,pbp_Batter,$B34)*EM_SF))</f>
        <v/>
      </c>
      <c r="P34" s="42" t="str">
        <f>IF($B34="","",SUMIFS(pbp_Runs,pbp_Batter,$B34))</f>
        <v/>
      </c>
      <c r="Q34" s="58" t="str">
        <f t="shared" si="0"/>
        <v/>
      </c>
      <c r="R34" s="58" t="str">
        <f t="shared" si="1"/>
        <v/>
      </c>
      <c r="S34" s="58" t="str">
        <f t="shared" si="2"/>
        <v/>
      </c>
      <c r="T34" s="58" t="str">
        <f t="shared" si="3"/>
        <v/>
      </c>
      <c r="U34" s="58" t="str">
        <f t="shared" si="4"/>
        <v/>
      </c>
      <c r="V34" s="59" t="str">
        <f t="shared" si="5"/>
        <v/>
      </c>
      <c r="W34" s="59" t="str">
        <f t="shared" si="6"/>
        <v/>
      </c>
      <c r="X34" s="60" t="str">
        <f>IF($B34="","",IF((E34)=0,"",(SUMIFS(pbp_Pitches,pbp_Batter,$B34,pbp_PlayType,"?*"))/(E34)))</f>
        <v/>
      </c>
      <c r="Y34" s="42" t="str">
        <f t="shared" si="7"/>
        <v/>
      </c>
      <c r="Z34" s="58" t="str">
        <f>IF($B34="","",IF((SUMPRODUCT(COUNTIFS(pbp_PlayType,EM_Type,pbp_Batter,$B34,pbp_On2B,"?*")*EM_AB)+SUMPRODUCT(COUNTIFS(pbp_PlayType,EM_Type,pbp_Batter,$B34,pbp_On2B,"",pbp_On3B,"?*")*EM_AB))=0,"",(SUMPRODUCT(COUNTIFS(pbp_PlayType,EM_Type,pbp_Batter,$B34,pbp_On2B,"?*")*EM_H)+SUMPRODUCT(COUNTIFS(pbp_PlayType,EM_Type,pbp_Batter,$B34,pbp_On2B,"",pbp_On3B,"?*")*EM_H))/(SUMPRODUCT(COUNTIFS(pbp_PlayType,EM_Type,pbp_Batter,$B34,pbp_On2B,"?*")*EM_AB)+SUMPRODUCT(COUNTIFS(pbp_PlayType,EM_Type,pbp_Batter,$B34,pbp_On2B,"",pbp_On3B,"?*")*EM_AB))))</f>
        <v/>
      </c>
      <c r="AA34" s="62" t="str">
        <f>IF($B34="","",IF(OR(E34&lt;MinPA,T34=""),"",COUNTIFS($E$6:$E$255,"&gt;="&amp;MinPA,$T$6:$T$255,"&gt;"&amp;T34)+COUNTIFS($E$5:E33,"&gt;="&amp;MinPA,$T$5:T33,T34)+1))</f>
        <v/>
      </c>
    </row>
    <row r="35" spans="2:27" x14ac:dyDescent="0.2">
      <c r="B35" s="44" t="str">
        <f t="array" ref="B35">IFERROR(INDEX(pbp_Batter,MATCH(0,COUNTIF($B$5:B34,pbp_Batter)+(pbp_Batter=""),0)),"")</f>
        <v/>
      </c>
      <c r="C35" s="61" t="str">
        <f>IF($B35="","",IFERROR(INDEX(pbp_BatTeam,MATCH($B35,pbp_Batter,0)),""))</f>
        <v/>
      </c>
      <c r="D35" s="61" t="str">
        <f>IF($B35="","",IFERROR(INDEX(pbp_BatHand,MATCH($B35,pbp_Batter,0)),""))</f>
        <v/>
      </c>
      <c r="E35" s="42" t="str">
        <f>IF($B35="","",SUMPRODUCT(COUNTIFS(pbp_PlayType,EM_Type,pbp_Batter,$B35)*EM_PA))</f>
        <v/>
      </c>
      <c r="F35" s="42" t="str">
        <f>IF($B35="","",SUMPRODUCT(COUNTIFS(pbp_PlayType,EM_Type,pbp_Batter,$B35)*EM_AB))</f>
        <v/>
      </c>
      <c r="G35" s="42" t="str">
        <f>IF($B35="","",SUMPRODUCT(COUNTIFS(pbp_PlayType,EM_Type,pbp_Batter,$B35)*EM_H))</f>
        <v/>
      </c>
      <c r="H35" s="42" t="str">
        <f>IF($B35="","",SUMPRODUCT(COUNTIFS(pbp_PlayType,EM_Type,pbp_Batter,$B35)*EM_2B))</f>
        <v/>
      </c>
      <c r="I35" s="42" t="str">
        <f>IF($B35="","",SUMPRODUCT(COUNTIFS(pbp_PlayType,EM_Type,pbp_Batter,$B35)*EM_3B))</f>
        <v/>
      </c>
      <c r="J35" s="42" t="str">
        <f>IF($B35="","",SUMPRODUCT(COUNTIFS(pbp_PlayType,EM_Type,pbp_Batter,$B35)*EM_HR))</f>
        <v/>
      </c>
      <c r="K35" s="42" t="str">
        <f>IF($B35="","",SUMPRODUCT(COUNTIFS(pbp_PlayType,EM_Type,pbp_Batter,$B35)*EM_1B))</f>
        <v/>
      </c>
      <c r="L35" s="42" t="str">
        <f>IF($B35="","",SUMPRODUCT(COUNTIFS(pbp_PlayType,EM_Type,pbp_Batter,$B35)*EM_BB))</f>
        <v/>
      </c>
      <c r="M35" s="42" t="str">
        <f>IF($B35="","",SUMPRODUCT(COUNTIFS(pbp_PlayType,EM_Type,pbp_Batter,$B35)*EM_HBP))</f>
        <v/>
      </c>
      <c r="N35" s="42" t="str">
        <f>IF($B35="","",COUNTIFS(pbp_PlayType,"?*",pbp_Desc,"*struck out*",pbp_Batter,$B35))</f>
        <v/>
      </c>
      <c r="O35" s="42" t="str">
        <f>IF($B35="","",SUMPRODUCT(COUNTIFS(pbp_PlayType,EM_Type,pbp_Batter,$B35)*EM_SF))</f>
        <v/>
      </c>
      <c r="P35" s="42" t="str">
        <f>IF($B35="","",SUMIFS(pbp_Runs,pbp_Batter,$B35))</f>
        <v/>
      </c>
      <c r="Q35" s="58" t="str">
        <f t="shared" si="0"/>
        <v/>
      </c>
      <c r="R35" s="58" t="str">
        <f t="shared" si="1"/>
        <v/>
      </c>
      <c r="S35" s="58" t="str">
        <f t="shared" si="2"/>
        <v/>
      </c>
      <c r="T35" s="58" t="str">
        <f t="shared" si="3"/>
        <v/>
      </c>
      <c r="U35" s="58" t="str">
        <f t="shared" si="4"/>
        <v/>
      </c>
      <c r="V35" s="59" t="str">
        <f t="shared" si="5"/>
        <v/>
      </c>
      <c r="W35" s="59" t="str">
        <f t="shared" si="6"/>
        <v/>
      </c>
      <c r="X35" s="60" t="str">
        <f>IF($B35="","",IF((E35)=0,"",(SUMIFS(pbp_Pitches,pbp_Batter,$B35,pbp_PlayType,"?*"))/(E35)))</f>
        <v/>
      </c>
      <c r="Y35" s="42" t="str">
        <f t="shared" si="7"/>
        <v/>
      </c>
      <c r="Z35" s="58" t="str">
        <f>IF($B35="","",IF((SUMPRODUCT(COUNTIFS(pbp_PlayType,EM_Type,pbp_Batter,$B35,pbp_On2B,"?*")*EM_AB)+SUMPRODUCT(COUNTIFS(pbp_PlayType,EM_Type,pbp_Batter,$B35,pbp_On2B,"",pbp_On3B,"?*")*EM_AB))=0,"",(SUMPRODUCT(COUNTIFS(pbp_PlayType,EM_Type,pbp_Batter,$B35,pbp_On2B,"?*")*EM_H)+SUMPRODUCT(COUNTIFS(pbp_PlayType,EM_Type,pbp_Batter,$B35,pbp_On2B,"",pbp_On3B,"?*")*EM_H))/(SUMPRODUCT(COUNTIFS(pbp_PlayType,EM_Type,pbp_Batter,$B35,pbp_On2B,"?*")*EM_AB)+SUMPRODUCT(COUNTIFS(pbp_PlayType,EM_Type,pbp_Batter,$B35,pbp_On2B,"",pbp_On3B,"?*")*EM_AB))))</f>
        <v/>
      </c>
      <c r="AA35" s="62" t="str">
        <f>IF($B35="","",IF(OR(E35&lt;MinPA,T35=""),"",COUNTIFS($E$6:$E$255,"&gt;="&amp;MinPA,$T$6:$T$255,"&gt;"&amp;T35)+COUNTIFS($E$5:E34,"&gt;="&amp;MinPA,$T$5:T34,T35)+1))</f>
        <v/>
      </c>
    </row>
    <row r="36" spans="2:27" x14ac:dyDescent="0.2">
      <c r="B36" s="44" t="str">
        <f t="array" ref="B36">IFERROR(INDEX(pbp_Batter,MATCH(0,COUNTIF($B$5:B35,pbp_Batter)+(pbp_Batter=""),0)),"")</f>
        <v/>
      </c>
      <c r="C36" s="61" t="str">
        <f>IF($B36="","",IFERROR(INDEX(pbp_BatTeam,MATCH($B36,pbp_Batter,0)),""))</f>
        <v/>
      </c>
      <c r="D36" s="61" t="str">
        <f>IF($B36="","",IFERROR(INDEX(pbp_BatHand,MATCH($B36,pbp_Batter,0)),""))</f>
        <v/>
      </c>
      <c r="E36" s="42" t="str">
        <f>IF($B36="","",SUMPRODUCT(COUNTIFS(pbp_PlayType,EM_Type,pbp_Batter,$B36)*EM_PA))</f>
        <v/>
      </c>
      <c r="F36" s="42" t="str">
        <f>IF($B36="","",SUMPRODUCT(COUNTIFS(pbp_PlayType,EM_Type,pbp_Batter,$B36)*EM_AB))</f>
        <v/>
      </c>
      <c r="G36" s="42" t="str">
        <f>IF($B36="","",SUMPRODUCT(COUNTIFS(pbp_PlayType,EM_Type,pbp_Batter,$B36)*EM_H))</f>
        <v/>
      </c>
      <c r="H36" s="42" t="str">
        <f>IF($B36="","",SUMPRODUCT(COUNTIFS(pbp_PlayType,EM_Type,pbp_Batter,$B36)*EM_2B))</f>
        <v/>
      </c>
      <c r="I36" s="42" t="str">
        <f>IF($B36="","",SUMPRODUCT(COUNTIFS(pbp_PlayType,EM_Type,pbp_Batter,$B36)*EM_3B))</f>
        <v/>
      </c>
      <c r="J36" s="42" t="str">
        <f>IF($B36="","",SUMPRODUCT(COUNTIFS(pbp_PlayType,EM_Type,pbp_Batter,$B36)*EM_HR))</f>
        <v/>
      </c>
      <c r="K36" s="42" t="str">
        <f>IF($B36="","",SUMPRODUCT(COUNTIFS(pbp_PlayType,EM_Type,pbp_Batter,$B36)*EM_1B))</f>
        <v/>
      </c>
      <c r="L36" s="42" t="str">
        <f>IF($B36="","",SUMPRODUCT(COUNTIFS(pbp_PlayType,EM_Type,pbp_Batter,$B36)*EM_BB))</f>
        <v/>
      </c>
      <c r="M36" s="42" t="str">
        <f>IF($B36="","",SUMPRODUCT(COUNTIFS(pbp_PlayType,EM_Type,pbp_Batter,$B36)*EM_HBP))</f>
        <v/>
      </c>
      <c r="N36" s="42" t="str">
        <f>IF($B36="","",COUNTIFS(pbp_PlayType,"?*",pbp_Desc,"*struck out*",pbp_Batter,$B36))</f>
        <v/>
      </c>
      <c r="O36" s="42" t="str">
        <f>IF($B36="","",SUMPRODUCT(COUNTIFS(pbp_PlayType,EM_Type,pbp_Batter,$B36)*EM_SF))</f>
        <v/>
      </c>
      <c r="P36" s="42" t="str">
        <f>IF($B36="","",SUMIFS(pbp_Runs,pbp_Batter,$B36))</f>
        <v/>
      </c>
      <c r="Q36" s="58" t="str">
        <f t="shared" si="0"/>
        <v/>
      </c>
      <c r="R36" s="58" t="str">
        <f t="shared" si="1"/>
        <v/>
      </c>
      <c r="S36" s="58" t="str">
        <f t="shared" si="2"/>
        <v/>
      </c>
      <c r="T36" s="58" t="str">
        <f t="shared" si="3"/>
        <v/>
      </c>
      <c r="U36" s="58" t="str">
        <f t="shared" si="4"/>
        <v/>
      </c>
      <c r="V36" s="59" t="str">
        <f t="shared" si="5"/>
        <v/>
      </c>
      <c r="W36" s="59" t="str">
        <f t="shared" si="6"/>
        <v/>
      </c>
      <c r="X36" s="60" t="str">
        <f>IF($B36="","",IF((E36)=0,"",(SUMIFS(pbp_Pitches,pbp_Batter,$B36,pbp_PlayType,"?*"))/(E36)))</f>
        <v/>
      </c>
      <c r="Y36" s="42" t="str">
        <f t="shared" si="7"/>
        <v/>
      </c>
      <c r="Z36" s="58" t="str">
        <f>IF($B36="","",IF((SUMPRODUCT(COUNTIFS(pbp_PlayType,EM_Type,pbp_Batter,$B36,pbp_On2B,"?*")*EM_AB)+SUMPRODUCT(COUNTIFS(pbp_PlayType,EM_Type,pbp_Batter,$B36,pbp_On2B,"",pbp_On3B,"?*")*EM_AB))=0,"",(SUMPRODUCT(COUNTIFS(pbp_PlayType,EM_Type,pbp_Batter,$B36,pbp_On2B,"?*")*EM_H)+SUMPRODUCT(COUNTIFS(pbp_PlayType,EM_Type,pbp_Batter,$B36,pbp_On2B,"",pbp_On3B,"?*")*EM_H))/(SUMPRODUCT(COUNTIFS(pbp_PlayType,EM_Type,pbp_Batter,$B36,pbp_On2B,"?*")*EM_AB)+SUMPRODUCT(COUNTIFS(pbp_PlayType,EM_Type,pbp_Batter,$B36,pbp_On2B,"",pbp_On3B,"?*")*EM_AB))))</f>
        <v/>
      </c>
      <c r="AA36" s="62" t="str">
        <f>IF($B36="","",IF(OR(E36&lt;MinPA,T36=""),"",COUNTIFS($E$6:$E$255,"&gt;="&amp;MinPA,$T$6:$T$255,"&gt;"&amp;T36)+COUNTIFS($E$5:E35,"&gt;="&amp;MinPA,$T$5:T35,T36)+1))</f>
        <v/>
      </c>
    </row>
    <row r="37" spans="2:27" x14ac:dyDescent="0.2">
      <c r="B37" s="44" t="str">
        <f t="array" ref="B37">IFERROR(INDEX(pbp_Batter,MATCH(0,COUNTIF($B$5:B36,pbp_Batter)+(pbp_Batter=""),0)),"")</f>
        <v/>
      </c>
      <c r="C37" s="61" t="str">
        <f>IF($B37="","",IFERROR(INDEX(pbp_BatTeam,MATCH($B37,pbp_Batter,0)),""))</f>
        <v/>
      </c>
      <c r="D37" s="61" t="str">
        <f>IF($B37="","",IFERROR(INDEX(pbp_BatHand,MATCH($B37,pbp_Batter,0)),""))</f>
        <v/>
      </c>
      <c r="E37" s="42" t="str">
        <f>IF($B37="","",SUMPRODUCT(COUNTIFS(pbp_PlayType,EM_Type,pbp_Batter,$B37)*EM_PA))</f>
        <v/>
      </c>
      <c r="F37" s="42" t="str">
        <f>IF($B37="","",SUMPRODUCT(COUNTIFS(pbp_PlayType,EM_Type,pbp_Batter,$B37)*EM_AB))</f>
        <v/>
      </c>
      <c r="G37" s="42" t="str">
        <f>IF($B37="","",SUMPRODUCT(COUNTIFS(pbp_PlayType,EM_Type,pbp_Batter,$B37)*EM_H))</f>
        <v/>
      </c>
      <c r="H37" s="42" t="str">
        <f>IF($B37="","",SUMPRODUCT(COUNTIFS(pbp_PlayType,EM_Type,pbp_Batter,$B37)*EM_2B))</f>
        <v/>
      </c>
      <c r="I37" s="42" t="str">
        <f>IF($B37="","",SUMPRODUCT(COUNTIFS(pbp_PlayType,EM_Type,pbp_Batter,$B37)*EM_3B))</f>
        <v/>
      </c>
      <c r="J37" s="42" t="str">
        <f>IF($B37="","",SUMPRODUCT(COUNTIFS(pbp_PlayType,EM_Type,pbp_Batter,$B37)*EM_HR))</f>
        <v/>
      </c>
      <c r="K37" s="42" t="str">
        <f>IF($B37="","",SUMPRODUCT(COUNTIFS(pbp_PlayType,EM_Type,pbp_Batter,$B37)*EM_1B))</f>
        <v/>
      </c>
      <c r="L37" s="42" t="str">
        <f>IF($B37="","",SUMPRODUCT(COUNTIFS(pbp_PlayType,EM_Type,pbp_Batter,$B37)*EM_BB))</f>
        <v/>
      </c>
      <c r="M37" s="42" t="str">
        <f>IF($B37="","",SUMPRODUCT(COUNTIFS(pbp_PlayType,EM_Type,pbp_Batter,$B37)*EM_HBP))</f>
        <v/>
      </c>
      <c r="N37" s="42" t="str">
        <f>IF($B37="","",COUNTIFS(pbp_PlayType,"?*",pbp_Desc,"*struck out*",pbp_Batter,$B37))</f>
        <v/>
      </c>
      <c r="O37" s="42" t="str">
        <f>IF($B37="","",SUMPRODUCT(COUNTIFS(pbp_PlayType,EM_Type,pbp_Batter,$B37)*EM_SF))</f>
        <v/>
      </c>
      <c r="P37" s="42" t="str">
        <f>IF($B37="","",SUMIFS(pbp_Runs,pbp_Batter,$B37))</f>
        <v/>
      </c>
      <c r="Q37" s="58" t="str">
        <f t="shared" si="0"/>
        <v/>
      </c>
      <c r="R37" s="58" t="str">
        <f t="shared" si="1"/>
        <v/>
      </c>
      <c r="S37" s="58" t="str">
        <f t="shared" si="2"/>
        <v/>
      </c>
      <c r="T37" s="58" t="str">
        <f t="shared" si="3"/>
        <v/>
      </c>
      <c r="U37" s="58" t="str">
        <f t="shared" si="4"/>
        <v/>
      </c>
      <c r="V37" s="59" t="str">
        <f t="shared" si="5"/>
        <v/>
      </c>
      <c r="W37" s="59" t="str">
        <f t="shared" si="6"/>
        <v/>
      </c>
      <c r="X37" s="60" t="str">
        <f>IF($B37="","",IF((E37)=0,"",(SUMIFS(pbp_Pitches,pbp_Batter,$B37,pbp_PlayType,"?*"))/(E37)))</f>
        <v/>
      </c>
      <c r="Y37" s="42" t="str">
        <f t="shared" si="7"/>
        <v/>
      </c>
      <c r="Z37" s="58" t="str">
        <f>IF($B37="","",IF((SUMPRODUCT(COUNTIFS(pbp_PlayType,EM_Type,pbp_Batter,$B37,pbp_On2B,"?*")*EM_AB)+SUMPRODUCT(COUNTIFS(pbp_PlayType,EM_Type,pbp_Batter,$B37,pbp_On2B,"",pbp_On3B,"?*")*EM_AB))=0,"",(SUMPRODUCT(COUNTIFS(pbp_PlayType,EM_Type,pbp_Batter,$B37,pbp_On2B,"?*")*EM_H)+SUMPRODUCT(COUNTIFS(pbp_PlayType,EM_Type,pbp_Batter,$B37,pbp_On2B,"",pbp_On3B,"?*")*EM_H))/(SUMPRODUCT(COUNTIFS(pbp_PlayType,EM_Type,pbp_Batter,$B37,pbp_On2B,"?*")*EM_AB)+SUMPRODUCT(COUNTIFS(pbp_PlayType,EM_Type,pbp_Batter,$B37,pbp_On2B,"",pbp_On3B,"?*")*EM_AB))))</f>
        <v/>
      </c>
      <c r="AA37" s="62" t="str">
        <f>IF($B37="","",IF(OR(E37&lt;MinPA,T37=""),"",COUNTIFS($E$6:$E$255,"&gt;="&amp;MinPA,$T$6:$T$255,"&gt;"&amp;T37)+COUNTIFS($E$5:E36,"&gt;="&amp;MinPA,$T$5:T36,T37)+1))</f>
        <v/>
      </c>
    </row>
    <row r="38" spans="2:27" x14ac:dyDescent="0.2">
      <c r="B38" s="44" t="str">
        <f t="array" ref="B38">IFERROR(INDEX(pbp_Batter,MATCH(0,COUNTIF($B$5:B37,pbp_Batter)+(pbp_Batter=""),0)),"")</f>
        <v/>
      </c>
      <c r="C38" s="61" t="str">
        <f>IF($B38="","",IFERROR(INDEX(pbp_BatTeam,MATCH($B38,pbp_Batter,0)),""))</f>
        <v/>
      </c>
      <c r="D38" s="61" t="str">
        <f>IF($B38="","",IFERROR(INDEX(pbp_BatHand,MATCH($B38,pbp_Batter,0)),""))</f>
        <v/>
      </c>
      <c r="E38" s="42" t="str">
        <f>IF($B38="","",SUMPRODUCT(COUNTIFS(pbp_PlayType,EM_Type,pbp_Batter,$B38)*EM_PA))</f>
        <v/>
      </c>
      <c r="F38" s="42" t="str">
        <f>IF($B38="","",SUMPRODUCT(COUNTIFS(pbp_PlayType,EM_Type,pbp_Batter,$B38)*EM_AB))</f>
        <v/>
      </c>
      <c r="G38" s="42" t="str">
        <f>IF($B38="","",SUMPRODUCT(COUNTIFS(pbp_PlayType,EM_Type,pbp_Batter,$B38)*EM_H))</f>
        <v/>
      </c>
      <c r="H38" s="42" t="str">
        <f>IF($B38="","",SUMPRODUCT(COUNTIFS(pbp_PlayType,EM_Type,pbp_Batter,$B38)*EM_2B))</f>
        <v/>
      </c>
      <c r="I38" s="42" t="str">
        <f>IF($B38="","",SUMPRODUCT(COUNTIFS(pbp_PlayType,EM_Type,pbp_Batter,$B38)*EM_3B))</f>
        <v/>
      </c>
      <c r="J38" s="42" t="str">
        <f>IF($B38="","",SUMPRODUCT(COUNTIFS(pbp_PlayType,EM_Type,pbp_Batter,$B38)*EM_HR))</f>
        <v/>
      </c>
      <c r="K38" s="42" t="str">
        <f>IF($B38="","",SUMPRODUCT(COUNTIFS(pbp_PlayType,EM_Type,pbp_Batter,$B38)*EM_1B))</f>
        <v/>
      </c>
      <c r="L38" s="42" t="str">
        <f>IF($B38="","",SUMPRODUCT(COUNTIFS(pbp_PlayType,EM_Type,pbp_Batter,$B38)*EM_BB))</f>
        <v/>
      </c>
      <c r="M38" s="42" t="str">
        <f>IF($B38="","",SUMPRODUCT(COUNTIFS(pbp_PlayType,EM_Type,pbp_Batter,$B38)*EM_HBP))</f>
        <v/>
      </c>
      <c r="N38" s="42" t="str">
        <f>IF($B38="","",COUNTIFS(pbp_PlayType,"?*",pbp_Desc,"*struck out*",pbp_Batter,$B38))</f>
        <v/>
      </c>
      <c r="O38" s="42" t="str">
        <f>IF($B38="","",SUMPRODUCT(COUNTIFS(pbp_PlayType,EM_Type,pbp_Batter,$B38)*EM_SF))</f>
        <v/>
      </c>
      <c r="P38" s="42" t="str">
        <f>IF($B38="","",SUMIFS(pbp_Runs,pbp_Batter,$B38))</f>
        <v/>
      </c>
      <c r="Q38" s="58" t="str">
        <f t="shared" si="0"/>
        <v/>
      </c>
      <c r="R38" s="58" t="str">
        <f t="shared" si="1"/>
        <v/>
      </c>
      <c r="S38" s="58" t="str">
        <f t="shared" si="2"/>
        <v/>
      </c>
      <c r="T38" s="58" t="str">
        <f t="shared" si="3"/>
        <v/>
      </c>
      <c r="U38" s="58" t="str">
        <f t="shared" si="4"/>
        <v/>
      </c>
      <c r="V38" s="59" t="str">
        <f t="shared" si="5"/>
        <v/>
      </c>
      <c r="W38" s="59" t="str">
        <f t="shared" si="6"/>
        <v/>
      </c>
      <c r="X38" s="60" t="str">
        <f>IF($B38="","",IF((E38)=0,"",(SUMIFS(pbp_Pitches,pbp_Batter,$B38,pbp_PlayType,"?*"))/(E38)))</f>
        <v/>
      </c>
      <c r="Y38" s="42" t="str">
        <f t="shared" si="7"/>
        <v/>
      </c>
      <c r="Z38" s="58" t="str">
        <f>IF($B38="","",IF((SUMPRODUCT(COUNTIFS(pbp_PlayType,EM_Type,pbp_Batter,$B38,pbp_On2B,"?*")*EM_AB)+SUMPRODUCT(COUNTIFS(pbp_PlayType,EM_Type,pbp_Batter,$B38,pbp_On2B,"",pbp_On3B,"?*")*EM_AB))=0,"",(SUMPRODUCT(COUNTIFS(pbp_PlayType,EM_Type,pbp_Batter,$B38,pbp_On2B,"?*")*EM_H)+SUMPRODUCT(COUNTIFS(pbp_PlayType,EM_Type,pbp_Batter,$B38,pbp_On2B,"",pbp_On3B,"?*")*EM_H))/(SUMPRODUCT(COUNTIFS(pbp_PlayType,EM_Type,pbp_Batter,$B38,pbp_On2B,"?*")*EM_AB)+SUMPRODUCT(COUNTIFS(pbp_PlayType,EM_Type,pbp_Batter,$B38,pbp_On2B,"",pbp_On3B,"?*")*EM_AB))))</f>
        <v/>
      </c>
      <c r="AA38" s="62" t="str">
        <f>IF($B38="","",IF(OR(E38&lt;MinPA,T38=""),"",COUNTIFS($E$6:$E$255,"&gt;="&amp;MinPA,$T$6:$T$255,"&gt;"&amp;T38)+COUNTIFS($E$5:E37,"&gt;="&amp;MinPA,$T$5:T37,T38)+1))</f>
        <v/>
      </c>
    </row>
    <row r="39" spans="2:27" x14ac:dyDescent="0.2">
      <c r="B39" s="44" t="str">
        <f t="array" ref="B39">IFERROR(INDEX(pbp_Batter,MATCH(0,COUNTIF($B$5:B38,pbp_Batter)+(pbp_Batter=""),0)),"")</f>
        <v/>
      </c>
      <c r="C39" s="61" t="str">
        <f>IF($B39="","",IFERROR(INDEX(pbp_BatTeam,MATCH($B39,pbp_Batter,0)),""))</f>
        <v/>
      </c>
      <c r="D39" s="61" t="str">
        <f>IF($B39="","",IFERROR(INDEX(pbp_BatHand,MATCH($B39,pbp_Batter,0)),""))</f>
        <v/>
      </c>
      <c r="E39" s="42" t="str">
        <f>IF($B39="","",SUMPRODUCT(COUNTIFS(pbp_PlayType,EM_Type,pbp_Batter,$B39)*EM_PA))</f>
        <v/>
      </c>
      <c r="F39" s="42" t="str">
        <f>IF($B39="","",SUMPRODUCT(COUNTIFS(pbp_PlayType,EM_Type,pbp_Batter,$B39)*EM_AB))</f>
        <v/>
      </c>
      <c r="G39" s="42" t="str">
        <f>IF($B39="","",SUMPRODUCT(COUNTIFS(pbp_PlayType,EM_Type,pbp_Batter,$B39)*EM_H))</f>
        <v/>
      </c>
      <c r="H39" s="42" t="str">
        <f>IF($B39="","",SUMPRODUCT(COUNTIFS(pbp_PlayType,EM_Type,pbp_Batter,$B39)*EM_2B))</f>
        <v/>
      </c>
      <c r="I39" s="42" t="str">
        <f>IF($B39="","",SUMPRODUCT(COUNTIFS(pbp_PlayType,EM_Type,pbp_Batter,$B39)*EM_3B))</f>
        <v/>
      </c>
      <c r="J39" s="42" t="str">
        <f>IF($B39="","",SUMPRODUCT(COUNTIFS(pbp_PlayType,EM_Type,pbp_Batter,$B39)*EM_HR))</f>
        <v/>
      </c>
      <c r="K39" s="42" t="str">
        <f>IF($B39="","",SUMPRODUCT(COUNTIFS(pbp_PlayType,EM_Type,pbp_Batter,$B39)*EM_1B))</f>
        <v/>
      </c>
      <c r="L39" s="42" t="str">
        <f>IF($B39="","",SUMPRODUCT(COUNTIFS(pbp_PlayType,EM_Type,pbp_Batter,$B39)*EM_BB))</f>
        <v/>
      </c>
      <c r="M39" s="42" t="str">
        <f>IF($B39="","",SUMPRODUCT(COUNTIFS(pbp_PlayType,EM_Type,pbp_Batter,$B39)*EM_HBP))</f>
        <v/>
      </c>
      <c r="N39" s="42" t="str">
        <f>IF($B39="","",COUNTIFS(pbp_PlayType,"?*",pbp_Desc,"*struck out*",pbp_Batter,$B39))</f>
        <v/>
      </c>
      <c r="O39" s="42" t="str">
        <f>IF($B39="","",SUMPRODUCT(COUNTIFS(pbp_PlayType,EM_Type,pbp_Batter,$B39)*EM_SF))</f>
        <v/>
      </c>
      <c r="P39" s="42" t="str">
        <f>IF($B39="","",SUMIFS(pbp_Runs,pbp_Batter,$B39))</f>
        <v/>
      </c>
      <c r="Q39" s="58" t="str">
        <f t="shared" si="0"/>
        <v/>
      </c>
      <c r="R39" s="58" t="str">
        <f t="shared" si="1"/>
        <v/>
      </c>
      <c r="S39" s="58" t="str">
        <f t="shared" si="2"/>
        <v/>
      </c>
      <c r="T39" s="58" t="str">
        <f t="shared" si="3"/>
        <v/>
      </c>
      <c r="U39" s="58" t="str">
        <f t="shared" si="4"/>
        <v/>
      </c>
      <c r="V39" s="59" t="str">
        <f t="shared" si="5"/>
        <v/>
      </c>
      <c r="W39" s="59" t="str">
        <f t="shared" si="6"/>
        <v/>
      </c>
      <c r="X39" s="60" t="str">
        <f>IF($B39="","",IF((E39)=0,"",(SUMIFS(pbp_Pitches,pbp_Batter,$B39,pbp_PlayType,"?*"))/(E39)))</f>
        <v/>
      </c>
      <c r="Y39" s="42" t="str">
        <f t="shared" si="7"/>
        <v/>
      </c>
      <c r="Z39" s="58" t="str">
        <f>IF($B39="","",IF((SUMPRODUCT(COUNTIFS(pbp_PlayType,EM_Type,pbp_Batter,$B39,pbp_On2B,"?*")*EM_AB)+SUMPRODUCT(COUNTIFS(pbp_PlayType,EM_Type,pbp_Batter,$B39,pbp_On2B,"",pbp_On3B,"?*")*EM_AB))=0,"",(SUMPRODUCT(COUNTIFS(pbp_PlayType,EM_Type,pbp_Batter,$B39,pbp_On2B,"?*")*EM_H)+SUMPRODUCT(COUNTIFS(pbp_PlayType,EM_Type,pbp_Batter,$B39,pbp_On2B,"",pbp_On3B,"?*")*EM_H))/(SUMPRODUCT(COUNTIFS(pbp_PlayType,EM_Type,pbp_Batter,$B39,pbp_On2B,"?*")*EM_AB)+SUMPRODUCT(COUNTIFS(pbp_PlayType,EM_Type,pbp_Batter,$B39,pbp_On2B,"",pbp_On3B,"?*")*EM_AB))))</f>
        <v/>
      </c>
      <c r="AA39" s="62" t="str">
        <f>IF($B39="","",IF(OR(E39&lt;MinPA,T39=""),"",COUNTIFS($E$6:$E$255,"&gt;="&amp;MinPA,$T$6:$T$255,"&gt;"&amp;T39)+COUNTIFS($E$5:E38,"&gt;="&amp;MinPA,$T$5:T38,T39)+1))</f>
        <v/>
      </c>
    </row>
    <row r="40" spans="2:27" x14ac:dyDescent="0.2">
      <c r="B40" s="44" t="str">
        <f t="array" ref="B40">IFERROR(INDEX(pbp_Batter,MATCH(0,COUNTIF($B$5:B39,pbp_Batter)+(pbp_Batter=""),0)),"")</f>
        <v/>
      </c>
      <c r="C40" s="61" t="str">
        <f>IF($B40="","",IFERROR(INDEX(pbp_BatTeam,MATCH($B40,pbp_Batter,0)),""))</f>
        <v/>
      </c>
      <c r="D40" s="61" t="str">
        <f>IF($B40="","",IFERROR(INDEX(pbp_BatHand,MATCH($B40,pbp_Batter,0)),""))</f>
        <v/>
      </c>
      <c r="E40" s="42" t="str">
        <f>IF($B40="","",SUMPRODUCT(COUNTIFS(pbp_PlayType,EM_Type,pbp_Batter,$B40)*EM_PA))</f>
        <v/>
      </c>
      <c r="F40" s="42" t="str">
        <f>IF($B40="","",SUMPRODUCT(COUNTIFS(pbp_PlayType,EM_Type,pbp_Batter,$B40)*EM_AB))</f>
        <v/>
      </c>
      <c r="G40" s="42" t="str">
        <f>IF($B40="","",SUMPRODUCT(COUNTIFS(pbp_PlayType,EM_Type,pbp_Batter,$B40)*EM_H))</f>
        <v/>
      </c>
      <c r="H40" s="42" t="str">
        <f>IF($B40="","",SUMPRODUCT(COUNTIFS(pbp_PlayType,EM_Type,pbp_Batter,$B40)*EM_2B))</f>
        <v/>
      </c>
      <c r="I40" s="42" t="str">
        <f>IF($B40="","",SUMPRODUCT(COUNTIFS(pbp_PlayType,EM_Type,pbp_Batter,$B40)*EM_3B))</f>
        <v/>
      </c>
      <c r="J40" s="42" t="str">
        <f>IF($B40="","",SUMPRODUCT(COUNTIFS(pbp_PlayType,EM_Type,pbp_Batter,$B40)*EM_HR))</f>
        <v/>
      </c>
      <c r="K40" s="42" t="str">
        <f>IF($B40="","",SUMPRODUCT(COUNTIFS(pbp_PlayType,EM_Type,pbp_Batter,$B40)*EM_1B))</f>
        <v/>
      </c>
      <c r="L40" s="42" t="str">
        <f>IF($B40="","",SUMPRODUCT(COUNTIFS(pbp_PlayType,EM_Type,pbp_Batter,$B40)*EM_BB))</f>
        <v/>
      </c>
      <c r="M40" s="42" t="str">
        <f>IF($B40="","",SUMPRODUCT(COUNTIFS(pbp_PlayType,EM_Type,pbp_Batter,$B40)*EM_HBP))</f>
        <v/>
      </c>
      <c r="N40" s="42" t="str">
        <f>IF($B40="","",COUNTIFS(pbp_PlayType,"?*",pbp_Desc,"*struck out*",pbp_Batter,$B40))</f>
        <v/>
      </c>
      <c r="O40" s="42" t="str">
        <f>IF($B40="","",SUMPRODUCT(COUNTIFS(pbp_PlayType,EM_Type,pbp_Batter,$B40)*EM_SF))</f>
        <v/>
      </c>
      <c r="P40" s="42" t="str">
        <f>IF($B40="","",SUMIFS(pbp_Runs,pbp_Batter,$B40))</f>
        <v/>
      </c>
      <c r="Q40" s="58" t="str">
        <f t="shared" si="0"/>
        <v/>
      </c>
      <c r="R40" s="58" t="str">
        <f t="shared" si="1"/>
        <v/>
      </c>
      <c r="S40" s="58" t="str">
        <f t="shared" si="2"/>
        <v/>
      </c>
      <c r="T40" s="58" t="str">
        <f t="shared" si="3"/>
        <v/>
      </c>
      <c r="U40" s="58" t="str">
        <f t="shared" si="4"/>
        <v/>
      </c>
      <c r="V40" s="59" t="str">
        <f t="shared" si="5"/>
        <v/>
      </c>
      <c r="W40" s="59" t="str">
        <f t="shared" si="6"/>
        <v/>
      </c>
      <c r="X40" s="60" t="str">
        <f>IF($B40="","",IF((E40)=0,"",(SUMIFS(pbp_Pitches,pbp_Batter,$B40,pbp_PlayType,"?*"))/(E40)))</f>
        <v/>
      </c>
      <c r="Y40" s="42" t="str">
        <f t="shared" si="7"/>
        <v/>
      </c>
      <c r="Z40" s="58" t="str">
        <f>IF($B40="","",IF((SUMPRODUCT(COUNTIFS(pbp_PlayType,EM_Type,pbp_Batter,$B40,pbp_On2B,"?*")*EM_AB)+SUMPRODUCT(COUNTIFS(pbp_PlayType,EM_Type,pbp_Batter,$B40,pbp_On2B,"",pbp_On3B,"?*")*EM_AB))=0,"",(SUMPRODUCT(COUNTIFS(pbp_PlayType,EM_Type,pbp_Batter,$B40,pbp_On2B,"?*")*EM_H)+SUMPRODUCT(COUNTIFS(pbp_PlayType,EM_Type,pbp_Batter,$B40,pbp_On2B,"",pbp_On3B,"?*")*EM_H))/(SUMPRODUCT(COUNTIFS(pbp_PlayType,EM_Type,pbp_Batter,$B40,pbp_On2B,"?*")*EM_AB)+SUMPRODUCT(COUNTIFS(pbp_PlayType,EM_Type,pbp_Batter,$B40,pbp_On2B,"",pbp_On3B,"?*")*EM_AB))))</f>
        <v/>
      </c>
      <c r="AA40" s="62" t="str">
        <f>IF($B40="","",IF(OR(E40&lt;MinPA,T40=""),"",COUNTIFS($E$6:$E$255,"&gt;="&amp;MinPA,$T$6:$T$255,"&gt;"&amp;T40)+COUNTIFS($E$5:E39,"&gt;="&amp;MinPA,$T$5:T39,T40)+1))</f>
        <v/>
      </c>
    </row>
    <row r="41" spans="2:27" x14ac:dyDescent="0.2">
      <c r="B41" s="44" t="str">
        <f t="array" ref="B41">IFERROR(INDEX(pbp_Batter,MATCH(0,COUNTIF($B$5:B40,pbp_Batter)+(pbp_Batter=""),0)),"")</f>
        <v/>
      </c>
      <c r="C41" s="61" t="str">
        <f>IF($B41="","",IFERROR(INDEX(pbp_BatTeam,MATCH($B41,pbp_Batter,0)),""))</f>
        <v/>
      </c>
      <c r="D41" s="61" t="str">
        <f>IF($B41="","",IFERROR(INDEX(pbp_BatHand,MATCH($B41,pbp_Batter,0)),""))</f>
        <v/>
      </c>
      <c r="E41" s="42" t="str">
        <f>IF($B41="","",SUMPRODUCT(COUNTIFS(pbp_PlayType,EM_Type,pbp_Batter,$B41)*EM_PA))</f>
        <v/>
      </c>
      <c r="F41" s="42" t="str">
        <f>IF($B41="","",SUMPRODUCT(COUNTIFS(pbp_PlayType,EM_Type,pbp_Batter,$B41)*EM_AB))</f>
        <v/>
      </c>
      <c r="G41" s="42" t="str">
        <f>IF($B41="","",SUMPRODUCT(COUNTIFS(pbp_PlayType,EM_Type,pbp_Batter,$B41)*EM_H))</f>
        <v/>
      </c>
      <c r="H41" s="42" t="str">
        <f>IF($B41="","",SUMPRODUCT(COUNTIFS(pbp_PlayType,EM_Type,pbp_Batter,$B41)*EM_2B))</f>
        <v/>
      </c>
      <c r="I41" s="42" t="str">
        <f>IF($B41="","",SUMPRODUCT(COUNTIFS(pbp_PlayType,EM_Type,pbp_Batter,$B41)*EM_3B))</f>
        <v/>
      </c>
      <c r="J41" s="42" t="str">
        <f>IF($B41="","",SUMPRODUCT(COUNTIFS(pbp_PlayType,EM_Type,pbp_Batter,$B41)*EM_HR))</f>
        <v/>
      </c>
      <c r="K41" s="42" t="str">
        <f>IF($B41="","",SUMPRODUCT(COUNTIFS(pbp_PlayType,EM_Type,pbp_Batter,$B41)*EM_1B))</f>
        <v/>
      </c>
      <c r="L41" s="42" t="str">
        <f>IF($B41="","",SUMPRODUCT(COUNTIFS(pbp_PlayType,EM_Type,pbp_Batter,$B41)*EM_BB))</f>
        <v/>
      </c>
      <c r="M41" s="42" t="str">
        <f>IF($B41="","",SUMPRODUCT(COUNTIFS(pbp_PlayType,EM_Type,pbp_Batter,$B41)*EM_HBP))</f>
        <v/>
      </c>
      <c r="N41" s="42" t="str">
        <f>IF($B41="","",COUNTIFS(pbp_PlayType,"?*",pbp_Desc,"*struck out*",pbp_Batter,$B41))</f>
        <v/>
      </c>
      <c r="O41" s="42" t="str">
        <f>IF($B41="","",SUMPRODUCT(COUNTIFS(pbp_PlayType,EM_Type,pbp_Batter,$B41)*EM_SF))</f>
        <v/>
      </c>
      <c r="P41" s="42" t="str">
        <f>IF($B41="","",SUMIFS(pbp_Runs,pbp_Batter,$B41))</f>
        <v/>
      </c>
      <c r="Q41" s="58" t="str">
        <f t="shared" si="0"/>
        <v/>
      </c>
      <c r="R41" s="58" t="str">
        <f t="shared" si="1"/>
        <v/>
      </c>
      <c r="S41" s="58" t="str">
        <f t="shared" si="2"/>
        <v/>
      </c>
      <c r="T41" s="58" t="str">
        <f t="shared" si="3"/>
        <v/>
      </c>
      <c r="U41" s="58" t="str">
        <f t="shared" si="4"/>
        <v/>
      </c>
      <c r="V41" s="59" t="str">
        <f t="shared" si="5"/>
        <v/>
      </c>
      <c r="W41" s="59" t="str">
        <f t="shared" si="6"/>
        <v/>
      </c>
      <c r="X41" s="60" t="str">
        <f>IF($B41="","",IF((E41)=0,"",(SUMIFS(pbp_Pitches,pbp_Batter,$B41,pbp_PlayType,"?*"))/(E41)))</f>
        <v/>
      </c>
      <c r="Y41" s="42" t="str">
        <f t="shared" si="7"/>
        <v/>
      </c>
      <c r="Z41" s="58" t="str">
        <f>IF($B41="","",IF((SUMPRODUCT(COUNTIFS(pbp_PlayType,EM_Type,pbp_Batter,$B41,pbp_On2B,"?*")*EM_AB)+SUMPRODUCT(COUNTIFS(pbp_PlayType,EM_Type,pbp_Batter,$B41,pbp_On2B,"",pbp_On3B,"?*")*EM_AB))=0,"",(SUMPRODUCT(COUNTIFS(pbp_PlayType,EM_Type,pbp_Batter,$B41,pbp_On2B,"?*")*EM_H)+SUMPRODUCT(COUNTIFS(pbp_PlayType,EM_Type,pbp_Batter,$B41,pbp_On2B,"",pbp_On3B,"?*")*EM_H))/(SUMPRODUCT(COUNTIFS(pbp_PlayType,EM_Type,pbp_Batter,$B41,pbp_On2B,"?*")*EM_AB)+SUMPRODUCT(COUNTIFS(pbp_PlayType,EM_Type,pbp_Batter,$B41,pbp_On2B,"",pbp_On3B,"?*")*EM_AB))))</f>
        <v/>
      </c>
      <c r="AA41" s="62" t="str">
        <f>IF($B41="","",IF(OR(E41&lt;MinPA,T41=""),"",COUNTIFS($E$6:$E$255,"&gt;="&amp;MinPA,$T$6:$T$255,"&gt;"&amp;T41)+COUNTIFS($E$5:E40,"&gt;="&amp;MinPA,$T$5:T40,T41)+1))</f>
        <v/>
      </c>
    </row>
    <row r="42" spans="2:27" x14ac:dyDescent="0.2">
      <c r="B42" s="44" t="str">
        <f t="array" ref="B42">IFERROR(INDEX(pbp_Batter,MATCH(0,COUNTIF($B$5:B41,pbp_Batter)+(pbp_Batter=""),0)),"")</f>
        <v/>
      </c>
      <c r="C42" s="61" t="str">
        <f>IF($B42="","",IFERROR(INDEX(pbp_BatTeam,MATCH($B42,pbp_Batter,0)),""))</f>
        <v/>
      </c>
      <c r="D42" s="61" t="str">
        <f>IF($B42="","",IFERROR(INDEX(pbp_BatHand,MATCH($B42,pbp_Batter,0)),""))</f>
        <v/>
      </c>
      <c r="E42" s="42" t="str">
        <f>IF($B42="","",SUMPRODUCT(COUNTIFS(pbp_PlayType,EM_Type,pbp_Batter,$B42)*EM_PA))</f>
        <v/>
      </c>
      <c r="F42" s="42" t="str">
        <f>IF($B42="","",SUMPRODUCT(COUNTIFS(pbp_PlayType,EM_Type,pbp_Batter,$B42)*EM_AB))</f>
        <v/>
      </c>
      <c r="G42" s="42" t="str">
        <f>IF($B42="","",SUMPRODUCT(COUNTIFS(pbp_PlayType,EM_Type,pbp_Batter,$B42)*EM_H))</f>
        <v/>
      </c>
      <c r="H42" s="42" t="str">
        <f>IF($B42="","",SUMPRODUCT(COUNTIFS(pbp_PlayType,EM_Type,pbp_Batter,$B42)*EM_2B))</f>
        <v/>
      </c>
      <c r="I42" s="42" t="str">
        <f>IF($B42="","",SUMPRODUCT(COUNTIFS(pbp_PlayType,EM_Type,pbp_Batter,$B42)*EM_3B))</f>
        <v/>
      </c>
      <c r="J42" s="42" t="str">
        <f>IF($B42="","",SUMPRODUCT(COUNTIFS(pbp_PlayType,EM_Type,pbp_Batter,$B42)*EM_HR))</f>
        <v/>
      </c>
      <c r="K42" s="42" t="str">
        <f>IF($B42="","",SUMPRODUCT(COUNTIFS(pbp_PlayType,EM_Type,pbp_Batter,$B42)*EM_1B))</f>
        <v/>
      </c>
      <c r="L42" s="42" t="str">
        <f>IF($B42="","",SUMPRODUCT(COUNTIFS(pbp_PlayType,EM_Type,pbp_Batter,$B42)*EM_BB))</f>
        <v/>
      </c>
      <c r="M42" s="42" t="str">
        <f>IF($B42="","",SUMPRODUCT(COUNTIFS(pbp_PlayType,EM_Type,pbp_Batter,$B42)*EM_HBP))</f>
        <v/>
      </c>
      <c r="N42" s="42" t="str">
        <f>IF($B42="","",COUNTIFS(pbp_PlayType,"?*",pbp_Desc,"*struck out*",pbp_Batter,$B42))</f>
        <v/>
      </c>
      <c r="O42" s="42" t="str">
        <f>IF($B42="","",SUMPRODUCT(COUNTIFS(pbp_PlayType,EM_Type,pbp_Batter,$B42)*EM_SF))</f>
        <v/>
      </c>
      <c r="P42" s="42" t="str">
        <f>IF($B42="","",SUMIFS(pbp_Runs,pbp_Batter,$B42))</f>
        <v/>
      </c>
      <c r="Q42" s="58" t="str">
        <f t="shared" si="0"/>
        <v/>
      </c>
      <c r="R42" s="58" t="str">
        <f t="shared" si="1"/>
        <v/>
      </c>
      <c r="S42" s="58" t="str">
        <f t="shared" si="2"/>
        <v/>
      </c>
      <c r="T42" s="58" t="str">
        <f t="shared" si="3"/>
        <v/>
      </c>
      <c r="U42" s="58" t="str">
        <f t="shared" si="4"/>
        <v/>
      </c>
      <c r="V42" s="59" t="str">
        <f t="shared" si="5"/>
        <v/>
      </c>
      <c r="W42" s="59" t="str">
        <f t="shared" si="6"/>
        <v/>
      </c>
      <c r="X42" s="60" t="str">
        <f>IF($B42="","",IF((E42)=0,"",(SUMIFS(pbp_Pitches,pbp_Batter,$B42,pbp_PlayType,"?*"))/(E42)))</f>
        <v/>
      </c>
      <c r="Y42" s="42" t="str">
        <f t="shared" si="7"/>
        <v/>
      </c>
      <c r="Z42" s="58" t="str">
        <f>IF($B42="","",IF((SUMPRODUCT(COUNTIFS(pbp_PlayType,EM_Type,pbp_Batter,$B42,pbp_On2B,"?*")*EM_AB)+SUMPRODUCT(COUNTIFS(pbp_PlayType,EM_Type,pbp_Batter,$B42,pbp_On2B,"",pbp_On3B,"?*")*EM_AB))=0,"",(SUMPRODUCT(COUNTIFS(pbp_PlayType,EM_Type,pbp_Batter,$B42,pbp_On2B,"?*")*EM_H)+SUMPRODUCT(COUNTIFS(pbp_PlayType,EM_Type,pbp_Batter,$B42,pbp_On2B,"",pbp_On3B,"?*")*EM_H))/(SUMPRODUCT(COUNTIFS(pbp_PlayType,EM_Type,pbp_Batter,$B42,pbp_On2B,"?*")*EM_AB)+SUMPRODUCT(COUNTIFS(pbp_PlayType,EM_Type,pbp_Batter,$B42,pbp_On2B,"",pbp_On3B,"?*")*EM_AB))))</f>
        <v/>
      </c>
      <c r="AA42" s="62" t="str">
        <f>IF($B42="","",IF(OR(E42&lt;MinPA,T42=""),"",COUNTIFS($E$6:$E$255,"&gt;="&amp;MinPA,$T$6:$T$255,"&gt;"&amp;T42)+COUNTIFS($E$5:E41,"&gt;="&amp;MinPA,$T$5:T41,T42)+1))</f>
        <v/>
      </c>
    </row>
    <row r="43" spans="2:27" x14ac:dyDescent="0.2">
      <c r="B43" s="44" t="str">
        <f t="array" ref="B43">IFERROR(INDEX(pbp_Batter,MATCH(0,COUNTIF($B$5:B42,pbp_Batter)+(pbp_Batter=""),0)),"")</f>
        <v/>
      </c>
      <c r="C43" s="61" t="str">
        <f>IF($B43="","",IFERROR(INDEX(pbp_BatTeam,MATCH($B43,pbp_Batter,0)),""))</f>
        <v/>
      </c>
      <c r="D43" s="61" t="str">
        <f>IF($B43="","",IFERROR(INDEX(pbp_BatHand,MATCH($B43,pbp_Batter,0)),""))</f>
        <v/>
      </c>
      <c r="E43" s="42" t="str">
        <f>IF($B43="","",SUMPRODUCT(COUNTIFS(pbp_PlayType,EM_Type,pbp_Batter,$B43)*EM_PA))</f>
        <v/>
      </c>
      <c r="F43" s="42" t="str">
        <f>IF($B43="","",SUMPRODUCT(COUNTIFS(pbp_PlayType,EM_Type,pbp_Batter,$B43)*EM_AB))</f>
        <v/>
      </c>
      <c r="G43" s="42" t="str">
        <f>IF($B43="","",SUMPRODUCT(COUNTIFS(pbp_PlayType,EM_Type,pbp_Batter,$B43)*EM_H))</f>
        <v/>
      </c>
      <c r="H43" s="42" t="str">
        <f>IF($B43="","",SUMPRODUCT(COUNTIFS(pbp_PlayType,EM_Type,pbp_Batter,$B43)*EM_2B))</f>
        <v/>
      </c>
      <c r="I43" s="42" t="str">
        <f>IF($B43="","",SUMPRODUCT(COUNTIFS(pbp_PlayType,EM_Type,pbp_Batter,$B43)*EM_3B))</f>
        <v/>
      </c>
      <c r="J43" s="42" t="str">
        <f>IF($B43="","",SUMPRODUCT(COUNTIFS(pbp_PlayType,EM_Type,pbp_Batter,$B43)*EM_HR))</f>
        <v/>
      </c>
      <c r="K43" s="42" t="str">
        <f>IF($B43="","",SUMPRODUCT(COUNTIFS(pbp_PlayType,EM_Type,pbp_Batter,$B43)*EM_1B))</f>
        <v/>
      </c>
      <c r="L43" s="42" t="str">
        <f>IF($B43="","",SUMPRODUCT(COUNTIFS(pbp_PlayType,EM_Type,pbp_Batter,$B43)*EM_BB))</f>
        <v/>
      </c>
      <c r="M43" s="42" t="str">
        <f>IF($B43="","",SUMPRODUCT(COUNTIFS(pbp_PlayType,EM_Type,pbp_Batter,$B43)*EM_HBP))</f>
        <v/>
      </c>
      <c r="N43" s="42" t="str">
        <f>IF($B43="","",COUNTIFS(pbp_PlayType,"?*",pbp_Desc,"*struck out*",pbp_Batter,$B43))</f>
        <v/>
      </c>
      <c r="O43" s="42" t="str">
        <f>IF($B43="","",SUMPRODUCT(COUNTIFS(pbp_PlayType,EM_Type,pbp_Batter,$B43)*EM_SF))</f>
        <v/>
      </c>
      <c r="P43" s="42" t="str">
        <f>IF($B43="","",SUMIFS(pbp_Runs,pbp_Batter,$B43))</f>
        <v/>
      </c>
      <c r="Q43" s="58" t="str">
        <f t="shared" si="0"/>
        <v/>
      </c>
      <c r="R43" s="58" t="str">
        <f t="shared" si="1"/>
        <v/>
      </c>
      <c r="S43" s="58" t="str">
        <f t="shared" si="2"/>
        <v/>
      </c>
      <c r="T43" s="58" t="str">
        <f t="shared" si="3"/>
        <v/>
      </c>
      <c r="U43" s="58" t="str">
        <f t="shared" si="4"/>
        <v/>
      </c>
      <c r="V43" s="59" t="str">
        <f t="shared" si="5"/>
        <v/>
      </c>
      <c r="W43" s="59" t="str">
        <f t="shared" si="6"/>
        <v/>
      </c>
      <c r="X43" s="60" t="str">
        <f>IF($B43="","",IF((E43)=0,"",(SUMIFS(pbp_Pitches,pbp_Batter,$B43,pbp_PlayType,"?*"))/(E43)))</f>
        <v/>
      </c>
      <c r="Y43" s="42" t="str">
        <f t="shared" si="7"/>
        <v/>
      </c>
      <c r="Z43" s="58" t="str">
        <f>IF($B43="","",IF((SUMPRODUCT(COUNTIFS(pbp_PlayType,EM_Type,pbp_Batter,$B43,pbp_On2B,"?*")*EM_AB)+SUMPRODUCT(COUNTIFS(pbp_PlayType,EM_Type,pbp_Batter,$B43,pbp_On2B,"",pbp_On3B,"?*")*EM_AB))=0,"",(SUMPRODUCT(COUNTIFS(pbp_PlayType,EM_Type,pbp_Batter,$B43,pbp_On2B,"?*")*EM_H)+SUMPRODUCT(COUNTIFS(pbp_PlayType,EM_Type,pbp_Batter,$B43,pbp_On2B,"",pbp_On3B,"?*")*EM_H))/(SUMPRODUCT(COUNTIFS(pbp_PlayType,EM_Type,pbp_Batter,$B43,pbp_On2B,"?*")*EM_AB)+SUMPRODUCT(COUNTIFS(pbp_PlayType,EM_Type,pbp_Batter,$B43,pbp_On2B,"",pbp_On3B,"?*")*EM_AB))))</f>
        <v/>
      </c>
      <c r="AA43" s="62" t="str">
        <f>IF($B43="","",IF(OR(E43&lt;MinPA,T43=""),"",COUNTIFS($E$6:$E$255,"&gt;="&amp;MinPA,$T$6:$T$255,"&gt;"&amp;T43)+COUNTIFS($E$5:E42,"&gt;="&amp;MinPA,$T$5:T42,T43)+1))</f>
        <v/>
      </c>
    </row>
    <row r="44" spans="2:27" x14ac:dyDescent="0.2">
      <c r="B44" s="44" t="str">
        <f t="array" ref="B44">IFERROR(INDEX(pbp_Batter,MATCH(0,COUNTIF($B$5:B43,pbp_Batter)+(pbp_Batter=""),0)),"")</f>
        <v/>
      </c>
      <c r="C44" s="61" t="str">
        <f>IF($B44="","",IFERROR(INDEX(pbp_BatTeam,MATCH($B44,pbp_Batter,0)),""))</f>
        <v/>
      </c>
      <c r="D44" s="61" t="str">
        <f>IF($B44="","",IFERROR(INDEX(pbp_BatHand,MATCH($B44,pbp_Batter,0)),""))</f>
        <v/>
      </c>
      <c r="E44" s="42" t="str">
        <f>IF($B44="","",SUMPRODUCT(COUNTIFS(pbp_PlayType,EM_Type,pbp_Batter,$B44)*EM_PA))</f>
        <v/>
      </c>
      <c r="F44" s="42" t="str">
        <f>IF($B44="","",SUMPRODUCT(COUNTIFS(pbp_PlayType,EM_Type,pbp_Batter,$B44)*EM_AB))</f>
        <v/>
      </c>
      <c r="G44" s="42" t="str">
        <f>IF($B44="","",SUMPRODUCT(COUNTIFS(pbp_PlayType,EM_Type,pbp_Batter,$B44)*EM_H))</f>
        <v/>
      </c>
      <c r="H44" s="42" t="str">
        <f>IF($B44="","",SUMPRODUCT(COUNTIFS(pbp_PlayType,EM_Type,pbp_Batter,$B44)*EM_2B))</f>
        <v/>
      </c>
      <c r="I44" s="42" t="str">
        <f>IF($B44="","",SUMPRODUCT(COUNTIFS(pbp_PlayType,EM_Type,pbp_Batter,$B44)*EM_3B))</f>
        <v/>
      </c>
      <c r="J44" s="42" t="str">
        <f>IF($B44="","",SUMPRODUCT(COUNTIFS(pbp_PlayType,EM_Type,pbp_Batter,$B44)*EM_HR))</f>
        <v/>
      </c>
      <c r="K44" s="42" t="str">
        <f>IF($B44="","",SUMPRODUCT(COUNTIFS(pbp_PlayType,EM_Type,pbp_Batter,$B44)*EM_1B))</f>
        <v/>
      </c>
      <c r="L44" s="42" t="str">
        <f>IF($B44="","",SUMPRODUCT(COUNTIFS(pbp_PlayType,EM_Type,pbp_Batter,$B44)*EM_BB))</f>
        <v/>
      </c>
      <c r="M44" s="42" t="str">
        <f>IF($B44="","",SUMPRODUCT(COUNTIFS(pbp_PlayType,EM_Type,pbp_Batter,$B44)*EM_HBP))</f>
        <v/>
      </c>
      <c r="N44" s="42" t="str">
        <f>IF($B44="","",COUNTIFS(pbp_PlayType,"?*",pbp_Desc,"*struck out*",pbp_Batter,$B44))</f>
        <v/>
      </c>
      <c r="O44" s="42" t="str">
        <f>IF($B44="","",SUMPRODUCT(COUNTIFS(pbp_PlayType,EM_Type,pbp_Batter,$B44)*EM_SF))</f>
        <v/>
      </c>
      <c r="P44" s="42" t="str">
        <f>IF($B44="","",SUMIFS(pbp_Runs,pbp_Batter,$B44))</f>
        <v/>
      </c>
      <c r="Q44" s="58" t="str">
        <f t="shared" si="0"/>
        <v/>
      </c>
      <c r="R44" s="58" t="str">
        <f t="shared" si="1"/>
        <v/>
      </c>
      <c r="S44" s="58" t="str">
        <f t="shared" si="2"/>
        <v/>
      </c>
      <c r="T44" s="58" t="str">
        <f t="shared" si="3"/>
        <v/>
      </c>
      <c r="U44" s="58" t="str">
        <f t="shared" si="4"/>
        <v/>
      </c>
      <c r="V44" s="59" t="str">
        <f t="shared" si="5"/>
        <v/>
      </c>
      <c r="W44" s="59" t="str">
        <f t="shared" si="6"/>
        <v/>
      </c>
      <c r="X44" s="60" t="str">
        <f>IF($B44="","",IF((E44)=0,"",(SUMIFS(pbp_Pitches,pbp_Batter,$B44,pbp_PlayType,"?*"))/(E44)))</f>
        <v/>
      </c>
      <c r="Y44" s="42" t="str">
        <f t="shared" si="7"/>
        <v/>
      </c>
      <c r="Z44" s="58" t="str">
        <f>IF($B44="","",IF((SUMPRODUCT(COUNTIFS(pbp_PlayType,EM_Type,pbp_Batter,$B44,pbp_On2B,"?*")*EM_AB)+SUMPRODUCT(COUNTIFS(pbp_PlayType,EM_Type,pbp_Batter,$B44,pbp_On2B,"",pbp_On3B,"?*")*EM_AB))=0,"",(SUMPRODUCT(COUNTIFS(pbp_PlayType,EM_Type,pbp_Batter,$B44,pbp_On2B,"?*")*EM_H)+SUMPRODUCT(COUNTIFS(pbp_PlayType,EM_Type,pbp_Batter,$B44,pbp_On2B,"",pbp_On3B,"?*")*EM_H))/(SUMPRODUCT(COUNTIFS(pbp_PlayType,EM_Type,pbp_Batter,$B44,pbp_On2B,"?*")*EM_AB)+SUMPRODUCT(COUNTIFS(pbp_PlayType,EM_Type,pbp_Batter,$B44,pbp_On2B,"",pbp_On3B,"?*")*EM_AB))))</f>
        <v/>
      </c>
      <c r="AA44" s="62" t="str">
        <f>IF($B44="","",IF(OR(E44&lt;MinPA,T44=""),"",COUNTIFS($E$6:$E$255,"&gt;="&amp;MinPA,$T$6:$T$255,"&gt;"&amp;T44)+COUNTIFS($E$5:E43,"&gt;="&amp;MinPA,$T$5:T43,T44)+1))</f>
        <v/>
      </c>
    </row>
    <row r="45" spans="2:27" x14ac:dyDescent="0.2">
      <c r="B45" s="44" t="str">
        <f t="array" ref="B45">IFERROR(INDEX(pbp_Batter,MATCH(0,COUNTIF($B$5:B44,pbp_Batter)+(pbp_Batter=""),0)),"")</f>
        <v/>
      </c>
      <c r="C45" s="61" t="str">
        <f>IF($B45="","",IFERROR(INDEX(pbp_BatTeam,MATCH($B45,pbp_Batter,0)),""))</f>
        <v/>
      </c>
      <c r="D45" s="61" t="str">
        <f>IF($B45="","",IFERROR(INDEX(pbp_BatHand,MATCH($B45,pbp_Batter,0)),""))</f>
        <v/>
      </c>
      <c r="E45" s="42" t="str">
        <f>IF($B45="","",SUMPRODUCT(COUNTIFS(pbp_PlayType,EM_Type,pbp_Batter,$B45)*EM_PA))</f>
        <v/>
      </c>
      <c r="F45" s="42" t="str">
        <f>IF($B45="","",SUMPRODUCT(COUNTIFS(pbp_PlayType,EM_Type,pbp_Batter,$B45)*EM_AB))</f>
        <v/>
      </c>
      <c r="G45" s="42" t="str">
        <f>IF($B45="","",SUMPRODUCT(COUNTIFS(pbp_PlayType,EM_Type,pbp_Batter,$B45)*EM_H))</f>
        <v/>
      </c>
      <c r="H45" s="42" t="str">
        <f>IF($B45="","",SUMPRODUCT(COUNTIFS(pbp_PlayType,EM_Type,pbp_Batter,$B45)*EM_2B))</f>
        <v/>
      </c>
      <c r="I45" s="42" t="str">
        <f>IF($B45="","",SUMPRODUCT(COUNTIFS(pbp_PlayType,EM_Type,pbp_Batter,$B45)*EM_3B))</f>
        <v/>
      </c>
      <c r="J45" s="42" t="str">
        <f>IF($B45="","",SUMPRODUCT(COUNTIFS(pbp_PlayType,EM_Type,pbp_Batter,$B45)*EM_HR))</f>
        <v/>
      </c>
      <c r="K45" s="42" t="str">
        <f>IF($B45="","",SUMPRODUCT(COUNTIFS(pbp_PlayType,EM_Type,pbp_Batter,$B45)*EM_1B))</f>
        <v/>
      </c>
      <c r="L45" s="42" t="str">
        <f>IF($B45="","",SUMPRODUCT(COUNTIFS(pbp_PlayType,EM_Type,pbp_Batter,$B45)*EM_BB))</f>
        <v/>
      </c>
      <c r="M45" s="42" t="str">
        <f>IF($B45="","",SUMPRODUCT(COUNTIFS(pbp_PlayType,EM_Type,pbp_Batter,$B45)*EM_HBP))</f>
        <v/>
      </c>
      <c r="N45" s="42" t="str">
        <f>IF($B45="","",COUNTIFS(pbp_PlayType,"?*",pbp_Desc,"*struck out*",pbp_Batter,$B45))</f>
        <v/>
      </c>
      <c r="O45" s="42" t="str">
        <f>IF($B45="","",SUMPRODUCT(COUNTIFS(pbp_PlayType,EM_Type,pbp_Batter,$B45)*EM_SF))</f>
        <v/>
      </c>
      <c r="P45" s="42" t="str">
        <f>IF($B45="","",SUMIFS(pbp_Runs,pbp_Batter,$B45))</f>
        <v/>
      </c>
      <c r="Q45" s="58" t="str">
        <f t="shared" si="0"/>
        <v/>
      </c>
      <c r="R45" s="58" t="str">
        <f t="shared" si="1"/>
        <v/>
      </c>
      <c r="S45" s="58" t="str">
        <f t="shared" si="2"/>
        <v/>
      </c>
      <c r="T45" s="58" t="str">
        <f t="shared" si="3"/>
        <v/>
      </c>
      <c r="U45" s="58" t="str">
        <f t="shared" si="4"/>
        <v/>
      </c>
      <c r="V45" s="59" t="str">
        <f t="shared" si="5"/>
        <v/>
      </c>
      <c r="W45" s="59" t="str">
        <f t="shared" si="6"/>
        <v/>
      </c>
      <c r="X45" s="60" t="str">
        <f>IF($B45="","",IF((E45)=0,"",(SUMIFS(pbp_Pitches,pbp_Batter,$B45,pbp_PlayType,"?*"))/(E45)))</f>
        <v/>
      </c>
      <c r="Y45" s="42" t="str">
        <f t="shared" si="7"/>
        <v/>
      </c>
      <c r="Z45" s="58" t="str">
        <f>IF($B45="","",IF((SUMPRODUCT(COUNTIFS(pbp_PlayType,EM_Type,pbp_Batter,$B45,pbp_On2B,"?*")*EM_AB)+SUMPRODUCT(COUNTIFS(pbp_PlayType,EM_Type,pbp_Batter,$B45,pbp_On2B,"",pbp_On3B,"?*")*EM_AB))=0,"",(SUMPRODUCT(COUNTIFS(pbp_PlayType,EM_Type,pbp_Batter,$B45,pbp_On2B,"?*")*EM_H)+SUMPRODUCT(COUNTIFS(pbp_PlayType,EM_Type,pbp_Batter,$B45,pbp_On2B,"",pbp_On3B,"?*")*EM_H))/(SUMPRODUCT(COUNTIFS(pbp_PlayType,EM_Type,pbp_Batter,$B45,pbp_On2B,"?*")*EM_AB)+SUMPRODUCT(COUNTIFS(pbp_PlayType,EM_Type,pbp_Batter,$B45,pbp_On2B,"",pbp_On3B,"?*")*EM_AB))))</f>
        <v/>
      </c>
      <c r="AA45" s="62" t="str">
        <f>IF($B45="","",IF(OR(E45&lt;MinPA,T45=""),"",COUNTIFS($E$6:$E$255,"&gt;="&amp;MinPA,$T$6:$T$255,"&gt;"&amp;T45)+COUNTIFS($E$5:E44,"&gt;="&amp;MinPA,$T$5:T44,T45)+1))</f>
        <v/>
      </c>
    </row>
    <row r="46" spans="2:27" x14ac:dyDescent="0.2">
      <c r="B46" s="44" t="str">
        <f t="array" ref="B46">IFERROR(INDEX(pbp_Batter,MATCH(0,COUNTIF($B$5:B45,pbp_Batter)+(pbp_Batter=""),0)),"")</f>
        <v/>
      </c>
      <c r="C46" s="61" t="str">
        <f>IF($B46="","",IFERROR(INDEX(pbp_BatTeam,MATCH($B46,pbp_Batter,0)),""))</f>
        <v/>
      </c>
      <c r="D46" s="61" t="str">
        <f>IF($B46="","",IFERROR(INDEX(pbp_BatHand,MATCH($B46,pbp_Batter,0)),""))</f>
        <v/>
      </c>
      <c r="E46" s="42" t="str">
        <f>IF($B46="","",SUMPRODUCT(COUNTIFS(pbp_PlayType,EM_Type,pbp_Batter,$B46)*EM_PA))</f>
        <v/>
      </c>
      <c r="F46" s="42" t="str">
        <f>IF($B46="","",SUMPRODUCT(COUNTIFS(pbp_PlayType,EM_Type,pbp_Batter,$B46)*EM_AB))</f>
        <v/>
      </c>
      <c r="G46" s="42" t="str">
        <f>IF($B46="","",SUMPRODUCT(COUNTIFS(pbp_PlayType,EM_Type,pbp_Batter,$B46)*EM_H))</f>
        <v/>
      </c>
      <c r="H46" s="42" t="str">
        <f>IF($B46="","",SUMPRODUCT(COUNTIFS(pbp_PlayType,EM_Type,pbp_Batter,$B46)*EM_2B))</f>
        <v/>
      </c>
      <c r="I46" s="42" t="str">
        <f>IF($B46="","",SUMPRODUCT(COUNTIFS(pbp_PlayType,EM_Type,pbp_Batter,$B46)*EM_3B))</f>
        <v/>
      </c>
      <c r="J46" s="42" t="str">
        <f>IF($B46="","",SUMPRODUCT(COUNTIFS(pbp_PlayType,EM_Type,pbp_Batter,$B46)*EM_HR))</f>
        <v/>
      </c>
      <c r="K46" s="42" t="str">
        <f>IF($B46="","",SUMPRODUCT(COUNTIFS(pbp_PlayType,EM_Type,pbp_Batter,$B46)*EM_1B))</f>
        <v/>
      </c>
      <c r="L46" s="42" t="str">
        <f>IF($B46="","",SUMPRODUCT(COUNTIFS(pbp_PlayType,EM_Type,pbp_Batter,$B46)*EM_BB))</f>
        <v/>
      </c>
      <c r="M46" s="42" t="str">
        <f>IF($B46="","",SUMPRODUCT(COUNTIFS(pbp_PlayType,EM_Type,pbp_Batter,$B46)*EM_HBP))</f>
        <v/>
      </c>
      <c r="N46" s="42" t="str">
        <f>IF($B46="","",COUNTIFS(pbp_PlayType,"?*",pbp_Desc,"*struck out*",pbp_Batter,$B46))</f>
        <v/>
      </c>
      <c r="O46" s="42" t="str">
        <f>IF($B46="","",SUMPRODUCT(COUNTIFS(pbp_PlayType,EM_Type,pbp_Batter,$B46)*EM_SF))</f>
        <v/>
      </c>
      <c r="P46" s="42" t="str">
        <f>IF($B46="","",SUMIFS(pbp_Runs,pbp_Batter,$B46))</f>
        <v/>
      </c>
      <c r="Q46" s="58" t="str">
        <f t="shared" si="0"/>
        <v/>
      </c>
      <c r="R46" s="58" t="str">
        <f t="shared" si="1"/>
        <v/>
      </c>
      <c r="S46" s="58" t="str">
        <f t="shared" si="2"/>
        <v/>
      </c>
      <c r="T46" s="58" t="str">
        <f t="shared" si="3"/>
        <v/>
      </c>
      <c r="U46" s="58" t="str">
        <f t="shared" si="4"/>
        <v/>
      </c>
      <c r="V46" s="59" t="str">
        <f t="shared" si="5"/>
        <v/>
      </c>
      <c r="W46" s="59" t="str">
        <f t="shared" si="6"/>
        <v/>
      </c>
      <c r="X46" s="60" t="str">
        <f>IF($B46="","",IF((E46)=0,"",(SUMIFS(pbp_Pitches,pbp_Batter,$B46,pbp_PlayType,"?*"))/(E46)))</f>
        <v/>
      </c>
      <c r="Y46" s="42" t="str">
        <f t="shared" si="7"/>
        <v/>
      </c>
      <c r="Z46" s="58" t="str">
        <f>IF($B46="","",IF((SUMPRODUCT(COUNTIFS(pbp_PlayType,EM_Type,pbp_Batter,$B46,pbp_On2B,"?*")*EM_AB)+SUMPRODUCT(COUNTIFS(pbp_PlayType,EM_Type,pbp_Batter,$B46,pbp_On2B,"",pbp_On3B,"?*")*EM_AB))=0,"",(SUMPRODUCT(COUNTIFS(pbp_PlayType,EM_Type,pbp_Batter,$B46,pbp_On2B,"?*")*EM_H)+SUMPRODUCT(COUNTIFS(pbp_PlayType,EM_Type,pbp_Batter,$B46,pbp_On2B,"",pbp_On3B,"?*")*EM_H))/(SUMPRODUCT(COUNTIFS(pbp_PlayType,EM_Type,pbp_Batter,$B46,pbp_On2B,"?*")*EM_AB)+SUMPRODUCT(COUNTIFS(pbp_PlayType,EM_Type,pbp_Batter,$B46,pbp_On2B,"",pbp_On3B,"?*")*EM_AB))))</f>
        <v/>
      </c>
      <c r="AA46" s="62" t="str">
        <f>IF($B46="","",IF(OR(E46&lt;MinPA,T46=""),"",COUNTIFS($E$6:$E$255,"&gt;="&amp;MinPA,$T$6:$T$255,"&gt;"&amp;T46)+COUNTIFS($E$5:E45,"&gt;="&amp;MinPA,$T$5:T45,T46)+1))</f>
        <v/>
      </c>
    </row>
    <row r="47" spans="2:27" x14ac:dyDescent="0.2">
      <c r="B47" s="44" t="str">
        <f t="array" ref="B47">IFERROR(INDEX(pbp_Batter,MATCH(0,COUNTIF($B$5:B46,pbp_Batter)+(pbp_Batter=""),0)),"")</f>
        <v/>
      </c>
      <c r="C47" s="61" t="str">
        <f>IF($B47="","",IFERROR(INDEX(pbp_BatTeam,MATCH($B47,pbp_Batter,0)),""))</f>
        <v/>
      </c>
      <c r="D47" s="61" t="str">
        <f>IF($B47="","",IFERROR(INDEX(pbp_BatHand,MATCH($B47,pbp_Batter,0)),""))</f>
        <v/>
      </c>
      <c r="E47" s="42" t="str">
        <f>IF($B47="","",SUMPRODUCT(COUNTIFS(pbp_PlayType,EM_Type,pbp_Batter,$B47)*EM_PA))</f>
        <v/>
      </c>
      <c r="F47" s="42" t="str">
        <f>IF($B47="","",SUMPRODUCT(COUNTIFS(pbp_PlayType,EM_Type,pbp_Batter,$B47)*EM_AB))</f>
        <v/>
      </c>
      <c r="G47" s="42" t="str">
        <f>IF($B47="","",SUMPRODUCT(COUNTIFS(pbp_PlayType,EM_Type,pbp_Batter,$B47)*EM_H))</f>
        <v/>
      </c>
      <c r="H47" s="42" t="str">
        <f>IF($B47="","",SUMPRODUCT(COUNTIFS(pbp_PlayType,EM_Type,pbp_Batter,$B47)*EM_2B))</f>
        <v/>
      </c>
      <c r="I47" s="42" t="str">
        <f>IF($B47="","",SUMPRODUCT(COUNTIFS(pbp_PlayType,EM_Type,pbp_Batter,$B47)*EM_3B))</f>
        <v/>
      </c>
      <c r="J47" s="42" t="str">
        <f>IF($B47="","",SUMPRODUCT(COUNTIFS(pbp_PlayType,EM_Type,pbp_Batter,$B47)*EM_HR))</f>
        <v/>
      </c>
      <c r="K47" s="42" t="str">
        <f>IF($B47="","",SUMPRODUCT(COUNTIFS(pbp_PlayType,EM_Type,pbp_Batter,$B47)*EM_1B))</f>
        <v/>
      </c>
      <c r="L47" s="42" t="str">
        <f>IF($B47="","",SUMPRODUCT(COUNTIFS(pbp_PlayType,EM_Type,pbp_Batter,$B47)*EM_BB))</f>
        <v/>
      </c>
      <c r="M47" s="42" t="str">
        <f>IF($B47="","",SUMPRODUCT(COUNTIFS(pbp_PlayType,EM_Type,pbp_Batter,$B47)*EM_HBP))</f>
        <v/>
      </c>
      <c r="N47" s="42" t="str">
        <f>IF($B47="","",COUNTIFS(pbp_PlayType,"?*",pbp_Desc,"*struck out*",pbp_Batter,$B47))</f>
        <v/>
      </c>
      <c r="O47" s="42" t="str">
        <f>IF($B47="","",SUMPRODUCT(COUNTIFS(pbp_PlayType,EM_Type,pbp_Batter,$B47)*EM_SF))</f>
        <v/>
      </c>
      <c r="P47" s="42" t="str">
        <f>IF($B47="","",SUMIFS(pbp_Runs,pbp_Batter,$B47))</f>
        <v/>
      </c>
      <c r="Q47" s="58" t="str">
        <f t="shared" si="0"/>
        <v/>
      </c>
      <c r="R47" s="58" t="str">
        <f t="shared" si="1"/>
        <v/>
      </c>
      <c r="S47" s="58" t="str">
        <f t="shared" si="2"/>
        <v/>
      </c>
      <c r="T47" s="58" t="str">
        <f t="shared" si="3"/>
        <v/>
      </c>
      <c r="U47" s="58" t="str">
        <f t="shared" si="4"/>
        <v/>
      </c>
      <c r="V47" s="59" t="str">
        <f t="shared" si="5"/>
        <v/>
      </c>
      <c r="W47" s="59" t="str">
        <f t="shared" si="6"/>
        <v/>
      </c>
      <c r="X47" s="60" t="str">
        <f>IF($B47="","",IF((E47)=0,"",(SUMIFS(pbp_Pitches,pbp_Batter,$B47,pbp_PlayType,"?*"))/(E47)))</f>
        <v/>
      </c>
      <c r="Y47" s="42" t="str">
        <f t="shared" si="7"/>
        <v/>
      </c>
      <c r="Z47" s="58" t="str">
        <f>IF($B47="","",IF((SUMPRODUCT(COUNTIFS(pbp_PlayType,EM_Type,pbp_Batter,$B47,pbp_On2B,"?*")*EM_AB)+SUMPRODUCT(COUNTIFS(pbp_PlayType,EM_Type,pbp_Batter,$B47,pbp_On2B,"",pbp_On3B,"?*")*EM_AB))=0,"",(SUMPRODUCT(COUNTIFS(pbp_PlayType,EM_Type,pbp_Batter,$B47,pbp_On2B,"?*")*EM_H)+SUMPRODUCT(COUNTIFS(pbp_PlayType,EM_Type,pbp_Batter,$B47,pbp_On2B,"",pbp_On3B,"?*")*EM_H))/(SUMPRODUCT(COUNTIFS(pbp_PlayType,EM_Type,pbp_Batter,$B47,pbp_On2B,"?*")*EM_AB)+SUMPRODUCT(COUNTIFS(pbp_PlayType,EM_Type,pbp_Batter,$B47,pbp_On2B,"",pbp_On3B,"?*")*EM_AB))))</f>
        <v/>
      </c>
      <c r="AA47" s="62" t="str">
        <f>IF($B47="","",IF(OR(E47&lt;MinPA,T47=""),"",COUNTIFS($E$6:$E$255,"&gt;="&amp;MinPA,$T$6:$T$255,"&gt;"&amp;T47)+COUNTIFS($E$5:E46,"&gt;="&amp;MinPA,$T$5:T46,T47)+1))</f>
        <v/>
      </c>
    </row>
    <row r="48" spans="2:27" x14ac:dyDescent="0.2">
      <c r="B48" s="44" t="str">
        <f t="array" ref="B48">IFERROR(INDEX(pbp_Batter,MATCH(0,COUNTIF($B$5:B47,pbp_Batter)+(pbp_Batter=""),0)),"")</f>
        <v/>
      </c>
      <c r="C48" s="61" t="str">
        <f>IF($B48="","",IFERROR(INDEX(pbp_BatTeam,MATCH($B48,pbp_Batter,0)),""))</f>
        <v/>
      </c>
      <c r="D48" s="61" t="str">
        <f>IF($B48="","",IFERROR(INDEX(pbp_BatHand,MATCH($B48,pbp_Batter,0)),""))</f>
        <v/>
      </c>
      <c r="E48" s="42" t="str">
        <f>IF($B48="","",SUMPRODUCT(COUNTIFS(pbp_PlayType,EM_Type,pbp_Batter,$B48)*EM_PA))</f>
        <v/>
      </c>
      <c r="F48" s="42" t="str">
        <f>IF($B48="","",SUMPRODUCT(COUNTIFS(pbp_PlayType,EM_Type,pbp_Batter,$B48)*EM_AB))</f>
        <v/>
      </c>
      <c r="G48" s="42" t="str">
        <f>IF($B48="","",SUMPRODUCT(COUNTIFS(pbp_PlayType,EM_Type,pbp_Batter,$B48)*EM_H))</f>
        <v/>
      </c>
      <c r="H48" s="42" t="str">
        <f>IF($B48="","",SUMPRODUCT(COUNTIFS(pbp_PlayType,EM_Type,pbp_Batter,$B48)*EM_2B))</f>
        <v/>
      </c>
      <c r="I48" s="42" t="str">
        <f>IF($B48="","",SUMPRODUCT(COUNTIFS(pbp_PlayType,EM_Type,pbp_Batter,$B48)*EM_3B))</f>
        <v/>
      </c>
      <c r="J48" s="42" t="str">
        <f>IF($B48="","",SUMPRODUCT(COUNTIFS(pbp_PlayType,EM_Type,pbp_Batter,$B48)*EM_HR))</f>
        <v/>
      </c>
      <c r="K48" s="42" t="str">
        <f>IF($B48="","",SUMPRODUCT(COUNTIFS(pbp_PlayType,EM_Type,pbp_Batter,$B48)*EM_1B))</f>
        <v/>
      </c>
      <c r="L48" s="42" t="str">
        <f>IF($B48="","",SUMPRODUCT(COUNTIFS(pbp_PlayType,EM_Type,pbp_Batter,$B48)*EM_BB))</f>
        <v/>
      </c>
      <c r="M48" s="42" t="str">
        <f>IF($B48="","",SUMPRODUCT(COUNTIFS(pbp_PlayType,EM_Type,pbp_Batter,$B48)*EM_HBP))</f>
        <v/>
      </c>
      <c r="N48" s="42" t="str">
        <f>IF($B48="","",COUNTIFS(pbp_PlayType,"?*",pbp_Desc,"*struck out*",pbp_Batter,$B48))</f>
        <v/>
      </c>
      <c r="O48" s="42" t="str">
        <f>IF($B48="","",SUMPRODUCT(COUNTIFS(pbp_PlayType,EM_Type,pbp_Batter,$B48)*EM_SF))</f>
        <v/>
      </c>
      <c r="P48" s="42" t="str">
        <f>IF($B48="","",SUMIFS(pbp_Runs,pbp_Batter,$B48))</f>
        <v/>
      </c>
      <c r="Q48" s="58" t="str">
        <f t="shared" si="0"/>
        <v/>
      </c>
      <c r="R48" s="58" t="str">
        <f t="shared" si="1"/>
        <v/>
      </c>
      <c r="S48" s="58" t="str">
        <f t="shared" si="2"/>
        <v/>
      </c>
      <c r="T48" s="58" t="str">
        <f t="shared" si="3"/>
        <v/>
      </c>
      <c r="U48" s="58" t="str">
        <f t="shared" si="4"/>
        <v/>
      </c>
      <c r="V48" s="59" t="str">
        <f t="shared" si="5"/>
        <v/>
      </c>
      <c r="W48" s="59" t="str">
        <f t="shared" si="6"/>
        <v/>
      </c>
      <c r="X48" s="60" t="str">
        <f>IF($B48="","",IF((E48)=0,"",(SUMIFS(pbp_Pitches,pbp_Batter,$B48,pbp_PlayType,"?*"))/(E48)))</f>
        <v/>
      </c>
      <c r="Y48" s="42" t="str">
        <f t="shared" si="7"/>
        <v/>
      </c>
      <c r="Z48" s="58" t="str">
        <f>IF($B48="","",IF((SUMPRODUCT(COUNTIFS(pbp_PlayType,EM_Type,pbp_Batter,$B48,pbp_On2B,"?*")*EM_AB)+SUMPRODUCT(COUNTIFS(pbp_PlayType,EM_Type,pbp_Batter,$B48,pbp_On2B,"",pbp_On3B,"?*")*EM_AB))=0,"",(SUMPRODUCT(COUNTIFS(pbp_PlayType,EM_Type,pbp_Batter,$B48,pbp_On2B,"?*")*EM_H)+SUMPRODUCT(COUNTIFS(pbp_PlayType,EM_Type,pbp_Batter,$B48,pbp_On2B,"",pbp_On3B,"?*")*EM_H))/(SUMPRODUCT(COUNTIFS(pbp_PlayType,EM_Type,pbp_Batter,$B48,pbp_On2B,"?*")*EM_AB)+SUMPRODUCT(COUNTIFS(pbp_PlayType,EM_Type,pbp_Batter,$B48,pbp_On2B,"",pbp_On3B,"?*")*EM_AB))))</f>
        <v/>
      </c>
      <c r="AA48" s="62" t="str">
        <f>IF($B48="","",IF(OR(E48&lt;MinPA,T48=""),"",COUNTIFS($E$6:$E$255,"&gt;="&amp;MinPA,$T$6:$T$255,"&gt;"&amp;T48)+COUNTIFS($E$5:E47,"&gt;="&amp;MinPA,$T$5:T47,T48)+1))</f>
        <v/>
      </c>
    </row>
    <row r="49" spans="2:27" x14ac:dyDescent="0.2">
      <c r="B49" s="44" t="str">
        <f t="array" ref="B49">IFERROR(INDEX(pbp_Batter,MATCH(0,COUNTIF($B$5:B48,pbp_Batter)+(pbp_Batter=""),0)),"")</f>
        <v/>
      </c>
      <c r="C49" s="61" t="str">
        <f>IF($B49="","",IFERROR(INDEX(pbp_BatTeam,MATCH($B49,pbp_Batter,0)),""))</f>
        <v/>
      </c>
      <c r="D49" s="61" t="str">
        <f>IF($B49="","",IFERROR(INDEX(pbp_BatHand,MATCH($B49,pbp_Batter,0)),""))</f>
        <v/>
      </c>
      <c r="E49" s="42" t="str">
        <f>IF($B49="","",SUMPRODUCT(COUNTIFS(pbp_PlayType,EM_Type,pbp_Batter,$B49)*EM_PA))</f>
        <v/>
      </c>
      <c r="F49" s="42" t="str">
        <f>IF($B49="","",SUMPRODUCT(COUNTIFS(pbp_PlayType,EM_Type,pbp_Batter,$B49)*EM_AB))</f>
        <v/>
      </c>
      <c r="G49" s="42" t="str">
        <f>IF($B49="","",SUMPRODUCT(COUNTIFS(pbp_PlayType,EM_Type,pbp_Batter,$B49)*EM_H))</f>
        <v/>
      </c>
      <c r="H49" s="42" t="str">
        <f>IF($B49="","",SUMPRODUCT(COUNTIFS(pbp_PlayType,EM_Type,pbp_Batter,$B49)*EM_2B))</f>
        <v/>
      </c>
      <c r="I49" s="42" t="str">
        <f>IF($B49="","",SUMPRODUCT(COUNTIFS(pbp_PlayType,EM_Type,pbp_Batter,$B49)*EM_3B))</f>
        <v/>
      </c>
      <c r="J49" s="42" t="str">
        <f>IF($B49="","",SUMPRODUCT(COUNTIFS(pbp_PlayType,EM_Type,pbp_Batter,$B49)*EM_HR))</f>
        <v/>
      </c>
      <c r="K49" s="42" t="str">
        <f>IF($B49="","",SUMPRODUCT(COUNTIFS(pbp_PlayType,EM_Type,pbp_Batter,$B49)*EM_1B))</f>
        <v/>
      </c>
      <c r="L49" s="42" t="str">
        <f>IF($B49="","",SUMPRODUCT(COUNTIFS(pbp_PlayType,EM_Type,pbp_Batter,$B49)*EM_BB))</f>
        <v/>
      </c>
      <c r="M49" s="42" t="str">
        <f>IF($B49="","",SUMPRODUCT(COUNTIFS(pbp_PlayType,EM_Type,pbp_Batter,$B49)*EM_HBP))</f>
        <v/>
      </c>
      <c r="N49" s="42" t="str">
        <f>IF($B49="","",COUNTIFS(pbp_PlayType,"?*",pbp_Desc,"*struck out*",pbp_Batter,$B49))</f>
        <v/>
      </c>
      <c r="O49" s="42" t="str">
        <f>IF($B49="","",SUMPRODUCT(COUNTIFS(pbp_PlayType,EM_Type,pbp_Batter,$B49)*EM_SF))</f>
        <v/>
      </c>
      <c r="P49" s="42" t="str">
        <f>IF($B49="","",SUMIFS(pbp_Runs,pbp_Batter,$B49))</f>
        <v/>
      </c>
      <c r="Q49" s="58" t="str">
        <f t="shared" si="0"/>
        <v/>
      </c>
      <c r="R49" s="58" t="str">
        <f t="shared" si="1"/>
        <v/>
      </c>
      <c r="S49" s="58" t="str">
        <f t="shared" si="2"/>
        <v/>
      </c>
      <c r="T49" s="58" t="str">
        <f t="shared" si="3"/>
        <v/>
      </c>
      <c r="U49" s="58" t="str">
        <f t="shared" si="4"/>
        <v/>
      </c>
      <c r="V49" s="59" t="str">
        <f t="shared" si="5"/>
        <v/>
      </c>
      <c r="W49" s="59" t="str">
        <f t="shared" si="6"/>
        <v/>
      </c>
      <c r="X49" s="60" t="str">
        <f>IF($B49="","",IF((E49)=0,"",(SUMIFS(pbp_Pitches,pbp_Batter,$B49,pbp_PlayType,"?*"))/(E49)))</f>
        <v/>
      </c>
      <c r="Y49" s="42" t="str">
        <f t="shared" si="7"/>
        <v/>
      </c>
      <c r="Z49" s="58" t="str">
        <f>IF($B49="","",IF((SUMPRODUCT(COUNTIFS(pbp_PlayType,EM_Type,pbp_Batter,$B49,pbp_On2B,"?*")*EM_AB)+SUMPRODUCT(COUNTIFS(pbp_PlayType,EM_Type,pbp_Batter,$B49,pbp_On2B,"",pbp_On3B,"?*")*EM_AB))=0,"",(SUMPRODUCT(COUNTIFS(pbp_PlayType,EM_Type,pbp_Batter,$B49,pbp_On2B,"?*")*EM_H)+SUMPRODUCT(COUNTIFS(pbp_PlayType,EM_Type,pbp_Batter,$B49,pbp_On2B,"",pbp_On3B,"?*")*EM_H))/(SUMPRODUCT(COUNTIFS(pbp_PlayType,EM_Type,pbp_Batter,$B49,pbp_On2B,"?*")*EM_AB)+SUMPRODUCT(COUNTIFS(pbp_PlayType,EM_Type,pbp_Batter,$B49,pbp_On2B,"",pbp_On3B,"?*")*EM_AB))))</f>
        <v/>
      </c>
      <c r="AA49" s="62" t="str">
        <f>IF($B49="","",IF(OR(E49&lt;MinPA,T49=""),"",COUNTIFS($E$6:$E$255,"&gt;="&amp;MinPA,$T$6:$T$255,"&gt;"&amp;T49)+COUNTIFS($E$5:E48,"&gt;="&amp;MinPA,$T$5:T48,T49)+1))</f>
        <v/>
      </c>
    </row>
    <row r="50" spans="2:27" x14ac:dyDescent="0.2">
      <c r="B50" s="44" t="str">
        <f t="array" ref="B50">IFERROR(INDEX(pbp_Batter,MATCH(0,COUNTIF($B$5:B49,pbp_Batter)+(pbp_Batter=""),0)),"")</f>
        <v/>
      </c>
      <c r="C50" s="61" t="str">
        <f>IF($B50="","",IFERROR(INDEX(pbp_BatTeam,MATCH($B50,pbp_Batter,0)),""))</f>
        <v/>
      </c>
      <c r="D50" s="61" t="str">
        <f>IF($B50="","",IFERROR(INDEX(pbp_BatHand,MATCH($B50,pbp_Batter,0)),""))</f>
        <v/>
      </c>
      <c r="E50" s="42" t="str">
        <f>IF($B50="","",SUMPRODUCT(COUNTIFS(pbp_PlayType,EM_Type,pbp_Batter,$B50)*EM_PA))</f>
        <v/>
      </c>
      <c r="F50" s="42" t="str">
        <f>IF($B50="","",SUMPRODUCT(COUNTIFS(pbp_PlayType,EM_Type,pbp_Batter,$B50)*EM_AB))</f>
        <v/>
      </c>
      <c r="G50" s="42" t="str">
        <f>IF($B50="","",SUMPRODUCT(COUNTIFS(pbp_PlayType,EM_Type,pbp_Batter,$B50)*EM_H))</f>
        <v/>
      </c>
      <c r="H50" s="42" t="str">
        <f>IF($B50="","",SUMPRODUCT(COUNTIFS(pbp_PlayType,EM_Type,pbp_Batter,$B50)*EM_2B))</f>
        <v/>
      </c>
      <c r="I50" s="42" t="str">
        <f>IF($B50="","",SUMPRODUCT(COUNTIFS(pbp_PlayType,EM_Type,pbp_Batter,$B50)*EM_3B))</f>
        <v/>
      </c>
      <c r="J50" s="42" t="str">
        <f>IF($B50="","",SUMPRODUCT(COUNTIFS(pbp_PlayType,EM_Type,pbp_Batter,$B50)*EM_HR))</f>
        <v/>
      </c>
      <c r="K50" s="42" t="str">
        <f>IF($B50="","",SUMPRODUCT(COUNTIFS(pbp_PlayType,EM_Type,pbp_Batter,$B50)*EM_1B))</f>
        <v/>
      </c>
      <c r="L50" s="42" t="str">
        <f>IF($B50="","",SUMPRODUCT(COUNTIFS(pbp_PlayType,EM_Type,pbp_Batter,$B50)*EM_BB))</f>
        <v/>
      </c>
      <c r="M50" s="42" t="str">
        <f>IF($B50="","",SUMPRODUCT(COUNTIFS(pbp_PlayType,EM_Type,pbp_Batter,$B50)*EM_HBP))</f>
        <v/>
      </c>
      <c r="N50" s="42" t="str">
        <f>IF($B50="","",COUNTIFS(pbp_PlayType,"?*",pbp_Desc,"*struck out*",pbp_Batter,$B50))</f>
        <v/>
      </c>
      <c r="O50" s="42" t="str">
        <f>IF($B50="","",SUMPRODUCT(COUNTIFS(pbp_PlayType,EM_Type,pbp_Batter,$B50)*EM_SF))</f>
        <v/>
      </c>
      <c r="P50" s="42" t="str">
        <f>IF($B50="","",SUMIFS(pbp_Runs,pbp_Batter,$B50))</f>
        <v/>
      </c>
      <c r="Q50" s="58" t="str">
        <f t="shared" si="0"/>
        <v/>
      </c>
      <c r="R50" s="58" t="str">
        <f t="shared" si="1"/>
        <v/>
      </c>
      <c r="S50" s="58" t="str">
        <f t="shared" si="2"/>
        <v/>
      </c>
      <c r="T50" s="58" t="str">
        <f t="shared" si="3"/>
        <v/>
      </c>
      <c r="U50" s="58" t="str">
        <f t="shared" si="4"/>
        <v/>
      </c>
      <c r="V50" s="59" t="str">
        <f t="shared" si="5"/>
        <v/>
      </c>
      <c r="W50" s="59" t="str">
        <f t="shared" si="6"/>
        <v/>
      </c>
      <c r="X50" s="60" t="str">
        <f>IF($B50="","",IF((E50)=0,"",(SUMIFS(pbp_Pitches,pbp_Batter,$B50,pbp_PlayType,"?*"))/(E50)))</f>
        <v/>
      </c>
      <c r="Y50" s="42" t="str">
        <f t="shared" si="7"/>
        <v/>
      </c>
      <c r="Z50" s="58" t="str">
        <f>IF($B50="","",IF((SUMPRODUCT(COUNTIFS(pbp_PlayType,EM_Type,pbp_Batter,$B50,pbp_On2B,"?*")*EM_AB)+SUMPRODUCT(COUNTIFS(pbp_PlayType,EM_Type,pbp_Batter,$B50,pbp_On2B,"",pbp_On3B,"?*")*EM_AB))=0,"",(SUMPRODUCT(COUNTIFS(pbp_PlayType,EM_Type,pbp_Batter,$B50,pbp_On2B,"?*")*EM_H)+SUMPRODUCT(COUNTIFS(pbp_PlayType,EM_Type,pbp_Batter,$B50,pbp_On2B,"",pbp_On3B,"?*")*EM_H))/(SUMPRODUCT(COUNTIFS(pbp_PlayType,EM_Type,pbp_Batter,$B50,pbp_On2B,"?*")*EM_AB)+SUMPRODUCT(COUNTIFS(pbp_PlayType,EM_Type,pbp_Batter,$B50,pbp_On2B,"",pbp_On3B,"?*")*EM_AB))))</f>
        <v/>
      </c>
      <c r="AA50" s="62" t="str">
        <f>IF($B50="","",IF(OR(E50&lt;MinPA,T50=""),"",COUNTIFS($E$6:$E$255,"&gt;="&amp;MinPA,$T$6:$T$255,"&gt;"&amp;T50)+COUNTIFS($E$5:E49,"&gt;="&amp;MinPA,$T$5:T49,T50)+1))</f>
        <v/>
      </c>
    </row>
    <row r="51" spans="2:27" x14ac:dyDescent="0.2">
      <c r="B51" s="44" t="str">
        <f t="array" ref="B51">IFERROR(INDEX(pbp_Batter,MATCH(0,COUNTIF($B$5:B50,pbp_Batter)+(pbp_Batter=""),0)),"")</f>
        <v/>
      </c>
      <c r="C51" s="61" t="str">
        <f>IF($B51="","",IFERROR(INDEX(pbp_BatTeam,MATCH($B51,pbp_Batter,0)),""))</f>
        <v/>
      </c>
      <c r="D51" s="61" t="str">
        <f>IF($B51="","",IFERROR(INDEX(pbp_BatHand,MATCH($B51,pbp_Batter,0)),""))</f>
        <v/>
      </c>
      <c r="E51" s="42" t="str">
        <f>IF($B51="","",SUMPRODUCT(COUNTIFS(pbp_PlayType,EM_Type,pbp_Batter,$B51)*EM_PA))</f>
        <v/>
      </c>
      <c r="F51" s="42" t="str">
        <f>IF($B51="","",SUMPRODUCT(COUNTIFS(pbp_PlayType,EM_Type,pbp_Batter,$B51)*EM_AB))</f>
        <v/>
      </c>
      <c r="G51" s="42" t="str">
        <f>IF($B51="","",SUMPRODUCT(COUNTIFS(pbp_PlayType,EM_Type,pbp_Batter,$B51)*EM_H))</f>
        <v/>
      </c>
      <c r="H51" s="42" t="str">
        <f>IF($B51="","",SUMPRODUCT(COUNTIFS(pbp_PlayType,EM_Type,pbp_Batter,$B51)*EM_2B))</f>
        <v/>
      </c>
      <c r="I51" s="42" t="str">
        <f>IF($B51="","",SUMPRODUCT(COUNTIFS(pbp_PlayType,EM_Type,pbp_Batter,$B51)*EM_3B))</f>
        <v/>
      </c>
      <c r="J51" s="42" t="str">
        <f>IF($B51="","",SUMPRODUCT(COUNTIFS(pbp_PlayType,EM_Type,pbp_Batter,$B51)*EM_HR))</f>
        <v/>
      </c>
      <c r="K51" s="42" t="str">
        <f>IF($B51="","",SUMPRODUCT(COUNTIFS(pbp_PlayType,EM_Type,pbp_Batter,$B51)*EM_1B))</f>
        <v/>
      </c>
      <c r="L51" s="42" t="str">
        <f>IF($B51="","",SUMPRODUCT(COUNTIFS(pbp_PlayType,EM_Type,pbp_Batter,$B51)*EM_BB))</f>
        <v/>
      </c>
      <c r="M51" s="42" t="str">
        <f>IF($B51="","",SUMPRODUCT(COUNTIFS(pbp_PlayType,EM_Type,pbp_Batter,$B51)*EM_HBP))</f>
        <v/>
      </c>
      <c r="N51" s="42" t="str">
        <f>IF($B51="","",COUNTIFS(pbp_PlayType,"?*",pbp_Desc,"*struck out*",pbp_Batter,$B51))</f>
        <v/>
      </c>
      <c r="O51" s="42" t="str">
        <f>IF($B51="","",SUMPRODUCT(COUNTIFS(pbp_PlayType,EM_Type,pbp_Batter,$B51)*EM_SF))</f>
        <v/>
      </c>
      <c r="P51" s="42" t="str">
        <f>IF($B51="","",SUMIFS(pbp_Runs,pbp_Batter,$B51))</f>
        <v/>
      </c>
      <c r="Q51" s="58" t="str">
        <f t="shared" si="0"/>
        <v/>
      </c>
      <c r="R51" s="58" t="str">
        <f t="shared" si="1"/>
        <v/>
      </c>
      <c r="S51" s="58" t="str">
        <f t="shared" si="2"/>
        <v/>
      </c>
      <c r="T51" s="58" t="str">
        <f t="shared" si="3"/>
        <v/>
      </c>
      <c r="U51" s="58" t="str">
        <f t="shared" si="4"/>
        <v/>
      </c>
      <c r="V51" s="59" t="str">
        <f t="shared" si="5"/>
        <v/>
      </c>
      <c r="W51" s="59" t="str">
        <f t="shared" si="6"/>
        <v/>
      </c>
      <c r="X51" s="60" t="str">
        <f>IF($B51="","",IF((E51)=0,"",(SUMIFS(pbp_Pitches,pbp_Batter,$B51,pbp_PlayType,"?*"))/(E51)))</f>
        <v/>
      </c>
      <c r="Y51" s="42" t="str">
        <f t="shared" si="7"/>
        <v/>
      </c>
      <c r="Z51" s="58" t="str">
        <f>IF($B51="","",IF((SUMPRODUCT(COUNTIFS(pbp_PlayType,EM_Type,pbp_Batter,$B51,pbp_On2B,"?*")*EM_AB)+SUMPRODUCT(COUNTIFS(pbp_PlayType,EM_Type,pbp_Batter,$B51,pbp_On2B,"",pbp_On3B,"?*")*EM_AB))=0,"",(SUMPRODUCT(COUNTIFS(pbp_PlayType,EM_Type,pbp_Batter,$B51,pbp_On2B,"?*")*EM_H)+SUMPRODUCT(COUNTIFS(pbp_PlayType,EM_Type,pbp_Batter,$B51,pbp_On2B,"",pbp_On3B,"?*")*EM_H))/(SUMPRODUCT(COUNTIFS(pbp_PlayType,EM_Type,pbp_Batter,$B51,pbp_On2B,"?*")*EM_AB)+SUMPRODUCT(COUNTIFS(pbp_PlayType,EM_Type,pbp_Batter,$B51,pbp_On2B,"",pbp_On3B,"?*")*EM_AB))))</f>
        <v/>
      </c>
      <c r="AA51" s="62" t="str">
        <f>IF($B51="","",IF(OR(E51&lt;MinPA,T51=""),"",COUNTIFS($E$6:$E$255,"&gt;="&amp;MinPA,$T$6:$T$255,"&gt;"&amp;T51)+COUNTIFS($E$5:E50,"&gt;="&amp;MinPA,$T$5:T50,T51)+1))</f>
        <v/>
      </c>
    </row>
    <row r="52" spans="2:27" x14ac:dyDescent="0.2">
      <c r="B52" s="44" t="str">
        <f t="array" ref="B52">IFERROR(INDEX(pbp_Batter,MATCH(0,COUNTIF($B$5:B51,pbp_Batter)+(pbp_Batter=""),0)),"")</f>
        <v/>
      </c>
      <c r="C52" s="61" t="str">
        <f>IF($B52="","",IFERROR(INDEX(pbp_BatTeam,MATCH($B52,pbp_Batter,0)),""))</f>
        <v/>
      </c>
      <c r="D52" s="61" t="str">
        <f>IF($B52="","",IFERROR(INDEX(pbp_BatHand,MATCH($B52,pbp_Batter,0)),""))</f>
        <v/>
      </c>
      <c r="E52" s="42" t="str">
        <f>IF($B52="","",SUMPRODUCT(COUNTIFS(pbp_PlayType,EM_Type,pbp_Batter,$B52)*EM_PA))</f>
        <v/>
      </c>
      <c r="F52" s="42" t="str">
        <f>IF($B52="","",SUMPRODUCT(COUNTIFS(pbp_PlayType,EM_Type,pbp_Batter,$B52)*EM_AB))</f>
        <v/>
      </c>
      <c r="G52" s="42" t="str">
        <f>IF($B52="","",SUMPRODUCT(COUNTIFS(pbp_PlayType,EM_Type,pbp_Batter,$B52)*EM_H))</f>
        <v/>
      </c>
      <c r="H52" s="42" t="str">
        <f>IF($B52="","",SUMPRODUCT(COUNTIFS(pbp_PlayType,EM_Type,pbp_Batter,$B52)*EM_2B))</f>
        <v/>
      </c>
      <c r="I52" s="42" t="str">
        <f>IF($B52="","",SUMPRODUCT(COUNTIFS(pbp_PlayType,EM_Type,pbp_Batter,$B52)*EM_3B))</f>
        <v/>
      </c>
      <c r="J52" s="42" t="str">
        <f>IF($B52="","",SUMPRODUCT(COUNTIFS(pbp_PlayType,EM_Type,pbp_Batter,$B52)*EM_HR))</f>
        <v/>
      </c>
      <c r="K52" s="42" t="str">
        <f>IF($B52="","",SUMPRODUCT(COUNTIFS(pbp_PlayType,EM_Type,pbp_Batter,$B52)*EM_1B))</f>
        <v/>
      </c>
      <c r="L52" s="42" t="str">
        <f>IF($B52="","",SUMPRODUCT(COUNTIFS(pbp_PlayType,EM_Type,pbp_Batter,$B52)*EM_BB))</f>
        <v/>
      </c>
      <c r="M52" s="42" t="str">
        <f>IF($B52="","",SUMPRODUCT(COUNTIFS(pbp_PlayType,EM_Type,pbp_Batter,$B52)*EM_HBP))</f>
        <v/>
      </c>
      <c r="N52" s="42" t="str">
        <f>IF($B52="","",COUNTIFS(pbp_PlayType,"?*",pbp_Desc,"*struck out*",pbp_Batter,$B52))</f>
        <v/>
      </c>
      <c r="O52" s="42" t="str">
        <f>IF($B52="","",SUMPRODUCT(COUNTIFS(pbp_PlayType,EM_Type,pbp_Batter,$B52)*EM_SF))</f>
        <v/>
      </c>
      <c r="P52" s="42" t="str">
        <f>IF($B52="","",SUMIFS(pbp_Runs,pbp_Batter,$B52))</f>
        <v/>
      </c>
      <c r="Q52" s="58" t="str">
        <f t="shared" si="0"/>
        <v/>
      </c>
      <c r="R52" s="58" t="str">
        <f t="shared" si="1"/>
        <v/>
      </c>
      <c r="S52" s="58" t="str">
        <f t="shared" si="2"/>
        <v/>
      </c>
      <c r="T52" s="58" t="str">
        <f t="shared" si="3"/>
        <v/>
      </c>
      <c r="U52" s="58" t="str">
        <f t="shared" si="4"/>
        <v/>
      </c>
      <c r="V52" s="59" t="str">
        <f t="shared" si="5"/>
        <v/>
      </c>
      <c r="W52" s="59" t="str">
        <f t="shared" si="6"/>
        <v/>
      </c>
      <c r="X52" s="60" t="str">
        <f>IF($B52="","",IF((E52)=0,"",(SUMIFS(pbp_Pitches,pbp_Batter,$B52,pbp_PlayType,"?*"))/(E52)))</f>
        <v/>
      </c>
      <c r="Y52" s="42" t="str">
        <f t="shared" si="7"/>
        <v/>
      </c>
      <c r="Z52" s="58" t="str">
        <f>IF($B52="","",IF((SUMPRODUCT(COUNTIFS(pbp_PlayType,EM_Type,pbp_Batter,$B52,pbp_On2B,"?*")*EM_AB)+SUMPRODUCT(COUNTIFS(pbp_PlayType,EM_Type,pbp_Batter,$B52,pbp_On2B,"",pbp_On3B,"?*")*EM_AB))=0,"",(SUMPRODUCT(COUNTIFS(pbp_PlayType,EM_Type,pbp_Batter,$B52,pbp_On2B,"?*")*EM_H)+SUMPRODUCT(COUNTIFS(pbp_PlayType,EM_Type,pbp_Batter,$B52,pbp_On2B,"",pbp_On3B,"?*")*EM_H))/(SUMPRODUCT(COUNTIFS(pbp_PlayType,EM_Type,pbp_Batter,$B52,pbp_On2B,"?*")*EM_AB)+SUMPRODUCT(COUNTIFS(pbp_PlayType,EM_Type,pbp_Batter,$B52,pbp_On2B,"",pbp_On3B,"?*")*EM_AB))))</f>
        <v/>
      </c>
      <c r="AA52" s="62" t="str">
        <f>IF($B52="","",IF(OR(E52&lt;MinPA,T52=""),"",COUNTIFS($E$6:$E$255,"&gt;="&amp;MinPA,$T$6:$T$255,"&gt;"&amp;T52)+COUNTIFS($E$5:E51,"&gt;="&amp;MinPA,$T$5:T51,T52)+1))</f>
        <v/>
      </c>
    </row>
    <row r="53" spans="2:27" x14ac:dyDescent="0.2">
      <c r="B53" s="44" t="str">
        <f t="array" ref="B53">IFERROR(INDEX(pbp_Batter,MATCH(0,COUNTIF($B$5:B52,pbp_Batter)+(pbp_Batter=""),0)),"")</f>
        <v/>
      </c>
      <c r="C53" s="61" t="str">
        <f>IF($B53="","",IFERROR(INDEX(pbp_BatTeam,MATCH($B53,pbp_Batter,0)),""))</f>
        <v/>
      </c>
      <c r="D53" s="61" t="str">
        <f>IF($B53="","",IFERROR(INDEX(pbp_BatHand,MATCH($B53,pbp_Batter,0)),""))</f>
        <v/>
      </c>
      <c r="E53" s="42" t="str">
        <f>IF($B53="","",SUMPRODUCT(COUNTIFS(pbp_PlayType,EM_Type,pbp_Batter,$B53)*EM_PA))</f>
        <v/>
      </c>
      <c r="F53" s="42" t="str">
        <f>IF($B53="","",SUMPRODUCT(COUNTIFS(pbp_PlayType,EM_Type,pbp_Batter,$B53)*EM_AB))</f>
        <v/>
      </c>
      <c r="G53" s="42" t="str">
        <f>IF($B53="","",SUMPRODUCT(COUNTIFS(pbp_PlayType,EM_Type,pbp_Batter,$B53)*EM_H))</f>
        <v/>
      </c>
      <c r="H53" s="42" t="str">
        <f>IF($B53="","",SUMPRODUCT(COUNTIFS(pbp_PlayType,EM_Type,pbp_Batter,$B53)*EM_2B))</f>
        <v/>
      </c>
      <c r="I53" s="42" t="str">
        <f>IF($B53="","",SUMPRODUCT(COUNTIFS(pbp_PlayType,EM_Type,pbp_Batter,$B53)*EM_3B))</f>
        <v/>
      </c>
      <c r="J53" s="42" t="str">
        <f>IF($B53="","",SUMPRODUCT(COUNTIFS(pbp_PlayType,EM_Type,pbp_Batter,$B53)*EM_HR))</f>
        <v/>
      </c>
      <c r="K53" s="42" t="str">
        <f>IF($B53="","",SUMPRODUCT(COUNTIFS(pbp_PlayType,EM_Type,pbp_Batter,$B53)*EM_1B))</f>
        <v/>
      </c>
      <c r="L53" s="42" t="str">
        <f>IF($B53="","",SUMPRODUCT(COUNTIFS(pbp_PlayType,EM_Type,pbp_Batter,$B53)*EM_BB))</f>
        <v/>
      </c>
      <c r="M53" s="42" t="str">
        <f>IF($B53="","",SUMPRODUCT(COUNTIFS(pbp_PlayType,EM_Type,pbp_Batter,$B53)*EM_HBP))</f>
        <v/>
      </c>
      <c r="N53" s="42" t="str">
        <f>IF($B53="","",COUNTIFS(pbp_PlayType,"?*",pbp_Desc,"*struck out*",pbp_Batter,$B53))</f>
        <v/>
      </c>
      <c r="O53" s="42" t="str">
        <f>IF($B53="","",SUMPRODUCT(COUNTIFS(pbp_PlayType,EM_Type,pbp_Batter,$B53)*EM_SF))</f>
        <v/>
      </c>
      <c r="P53" s="42" t="str">
        <f>IF($B53="","",SUMIFS(pbp_Runs,pbp_Batter,$B53))</f>
        <v/>
      </c>
      <c r="Q53" s="58" t="str">
        <f t="shared" si="0"/>
        <v/>
      </c>
      <c r="R53" s="58" t="str">
        <f t="shared" si="1"/>
        <v/>
      </c>
      <c r="S53" s="58" t="str">
        <f t="shared" si="2"/>
        <v/>
      </c>
      <c r="T53" s="58" t="str">
        <f t="shared" si="3"/>
        <v/>
      </c>
      <c r="U53" s="58" t="str">
        <f t="shared" si="4"/>
        <v/>
      </c>
      <c r="V53" s="59" t="str">
        <f t="shared" si="5"/>
        <v/>
      </c>
      <c r="W53" s="59" t="str">
        <f t="shared" si="6"/>
        <v/>
      </c>
      <c r="X53" s="60" t="str">
        <f>IF($B53="","",IF((E53)=0,"",(SUMIFS(pbp_Pitches,pbp_Batter,$B53,pbp_PlayType,"?*"))/(E53)))</f>
        <v/>
      </c>
      <c r="Y53" s="42" t="str">
        <f t="shared" si="7"/>
        <v/>
      </c>
      <c r="Z53" s="58" t="str">
        <f>IF($B53="","",IF((SUMPRODUCT(COUNTIFS(pbp_PlayType,EM_Type,pbp_Batter,$B53,pbp_On2B,"?*")*EM_AB)+SUMPRODUCT(COUNTIFS(pbp_PlayType,EM_Type,pbp_Batter,$B53,pbp_On2B,"",pbp_On3B,"?*")*EM_AB))=0,"",(SUMPRODUCT(COUNTIFS(pbp_PlayType,EM_Type,pbp_Batter,$B53,pbp_On2B,"?*")*EM_H)+SUMPRODUCT(COUNTIFS(pbp_PlayType,EM_Type,pbp_Batter,$B53,pbp_On2B,"",pbp_On3B,"?*")*EM_H))/(SUMPRODUCT(COUNTIFS(pbp_PlayType,EM_Type,pbp_Batter,$B53,pbp_On2B,"?*")*EM_AB)+SUMPRODUCT(COUNTIFS(pbp_PlayType,EM_Type,pbp_Batter,$B53,pbp_On2B,"",pbp_On3B,"?*")*EM_AB))))</f>
        <v/>
      </c>
      <c r="AA53" s="62" t="str">
        <f>IF($B53="","",IF(OR(E53&lt;MinPA,T53=""),"",COUNTIFS($E$6:$E$255,"&gt;="&amp;MinPA,$T$6:$T$255,"&gt;"&amp;T53)+COUNTIFS($E$5:E52,"&gt;="&amp;MinPA,$T$5:T52,T53)+1))</f>
        <v/>
      </c>
    </row>
    <row r="54" spans="2:27" x14ac:dyDescent="0.2">
      <c r="B54" s="44" t="str">
        <f t="array" ref="B54">IFERROR(INDEX(pbp_Batter,MATCH(0,COUNTIF($B$5:B53,pbp_Batter)+(pbp_Batter=""),0)),"")</f>
        <v/>
      </c>
      <c r="C54" s="61" t="str">
        <f>IF($B54="","",IFERROR(INDEX(pbp_BatTeam,MATCH($B54,pbp_Batter,0)),""))</f>
        <v/>
      </c>
      <c r="D54" s="61" t="str">
        <f>IF($B54="","",IFERROR(INDEX(pbp_BatHand,MATCH($B54,pbp_Batter,0)),""))</f>
        <v/>
      </c>
      <c r="E54" s="42" t="str">
        <f>IF($B54="","",SUMPRODUCT(COUNTIFS(pbp_PlayType,EM_Type,pbp_Batter,$B54)*EM_PA))</f>
        <v/>
      </c>
      <c r="F54" s="42" t="str">
        <f>IF($B54="","",SUMPRODUCT(COUNTIFS(pbp_PlayType,EM_Type,pbp_Batter,$B54)*EM_AB))</f>
        <v/>
      </c>
      <c r="G54" s="42" t="str">
        <f>IF($B54="","",SUMPRODUCT(COUNTIFS(pbp_PlayType,EM_Type,pbp_Batter,$B54)*EM_H))</f>
        <v/>
      </c>
      <c r="H54" s="42" t="str">
        <f>IF($B54="","",SUMPRODUCT(COUNTIFS(pbp_PlayType,EM_Type,pbp_Batter,$B54)*EM_2B))</f>
        <v/>
      </c>
      <c r="I54" s="42" t="str">
        <f>IF($B54="","",SUMPRODUCT(COUNTIFS(pbp_PlayType,EM_Type,pbp_Batter,$B54)*EM_3B))</f>
        <v/>
      </c>
      <c r="J54" s="42" t="str">
        <f>IF($B54="","",SUMPRODUCT(COUNTIFS(pbp_PlayType,EM_Type,pbp_Batter,$B54)*EM_HR))</f>
        <v/>
      </c>
      <c r="K54" s="42" t="str">
        <f>IF($B54="","",SUMPRODUCT(COUNTIFS(pbp_PlayType,EM_Type,pbp_Batter,$B54)*EM_1B))</f>
        <v/>
      </c>
      <c r="L54" s="42" t="str">
        <f>IF($B54="","",SUMPRODUCT(COUNTIFS(pbp_PlayType,EM_Type,pbp_Batter,$B54)*EM_BB))</f>
        <v/>
      </c>
      <c r="M54" s="42" t="str">
        <f>IF($B54="","",SUMPRODUCT(COUNTIFS(pbp_PlayType,EM_Type,pbp_Batter,$B54)*EM_HBP))</f>
        <v/>
      </c>
      <c r="N54" s="42" t="str">
        <f>IF($B54="","",COUNTIFS(pbp_PlayType,"?*",pbp_Desc,"*struck out*",pbp_Batter,$B54))</f>
        <v/>
      </c>
      <c r="O54" s="42" t="str">
        <f>IF($B54="","",SUMPRODUCT(COUNTIFS(pbp_PlayType,EM_Type,pbp_Batter,$B54)*EM_SF))</f>
        <v/>
      </c>
      <c r="P54" s="42" t="str">
        <f>IF($B54="","",SUMIFS(pbp_Runs,pbp_Batter,$B54))</f>
        <v/>
      </c>
      <c r="Q54" s="58" t="str">
        <f t="shared" si="0"/>
        <v/>
      </c>
      <c r="R54" s="58" t="str">
        <f t="shared" si="1"/>
        <v/>
      </c>
      <c r="S54" s="58" t="str">
        <f t="shared" si="2"/>
        <v/>
      </c>
      <c r="T54" s="58" t="str">
        <f t="shared" si="3"/>
        <v/>
      </c>
      <c r="U54" s="58" t="str">
        <f t="shared" si="4"/>
        <v/>
      </c>
      <c r="V54" s="59" t="str">
        <f t="shared" si="5"/>
        <v/>
      </c>
      <c r="W54" s="59" t="str">
        <f t="shared" si="6"/>
        <v/>
      </c>
      <c r="X54" s="60" t="str">
        <f>IF($B54="","",IF((E54)=0,"",(SUMIFS(pbp_Pitches,pbp_Batter,$B54,pbp_PlayType,"?*"))/(E54)))</f>
        <v/>
      </c>
      <c r="Y54" s="42" t="str">
        <f t="shared" si="7"/>
        <v/>
      </c>
      <c r="Z54" s="58" t="str">
        <f>IF($B54="","",IF((SUMPRODUCT(COUNTIFS(pbp_PlayType,EM_Type,pbp_Batter,$B54,pbp_On2B,"?*")*EM_AB)+SUMPRODUCT(COUNTIFS(pbp_PlayType,EM_Type,pbp_Batter,$B54,pbp_On2B,"",pbp_On3B,"?*")*EM_AB))=0,"",(SUMPRODUCT(COUNTIFS(pbp_PlayType,EM_Type,pbp_Batter,$B54,pbp_On2B,"?*")*EM_H)+SUMPRODUCT(COUNTIFS(pbp_PlayType,EM_Type,pbp_Batter,$B54,pbp_On2B,"",pbp_On3B,"?*")*EM_H))/(SUMPRODUCT(COUNTIFS(pbp_PlayType,EM_Type,pbp_Batter,$B54,pbp_On2B,"?*")*EM_AB)+SUMPRODUCT(COUNTIFS(pbp_PlayType,EM_Type,pbp_Batter,$B54,pbp_On2B,"",pbp_On3B,"?*")*EM_AB))))</f>
        <v/>
      </c>
      <c r="AA54" s="62" t="str">
        <f>IF($B54="","",IF(OR(E54&lt;MinPA,T54=""),"",COUNTIFS($E$6:$E$255,"&gt;="&amp;MinPA,$T$6:$T$255,"&gt;"&amp;T54)+COUNTIFS($E$5:E53,"&gt;="&amp;MinPA,$T$5:T53,T54)+1))</f>
        <v/>
      </c>
    </row>
    <row r="55" spans="2:27" x14ac:dyDescent="0.2">
      <c r="B55" s="44" t="str">
        <f t="array" ref="B55">IFERROR(INDEX(pbp_Batter,MATCH(0,COUNTIF($B$5:B54,pbp_Batter)+(pbp_Batter=""),0)),"")</f>
        <v/>
      </c>
      <c r="C55" s="61" t="str">
        <f>IF($B55="","",IFERROR(INDEX(pbp_BatTeam,MATCH($B55,pbp_Batter,0)),""))</f>
        <v/>
      </c>
      <c r="D55" s="61" t="str">
        <f>IF($B55="","",IFERROR(INDEX(pbp_BatHand,MATCH($B55,pbp_Batter,0)),""))</f>
        <v/>
      </c>
      <c r="E55" s="42" t="str">
        <f>IF($B55="","",SUMPRODUCT(COUNTIFS(pbp_PlayType,EM_Type,pbp_Batter,$B55)*EM_PA))</f>
        <v/>
      </c>
      <c r="F55" s="42" t="str">
        <f>IF($B55="","",SUMPRODUCT(COUNTIFS(pbp_PlayType,EM_Type,pbp_Batter,$B55)*EM_AB))</f>
        <v/>
      </c>
      <c r="G55" s="42" t="str">
        <f>IF($B55="","",SUMPRODUCT(COUNTIFS(pbp_PlayType,EM_Type,pbp_Batter,$B55)*EM_H))</f>
        <v/>
      </c>
      <c r="H55" s="42" t="str">
        <f>IF($B55="","",SUMPRODUCT(COUNTIFS(pbp_PlayType,EM_Type,pbp_Batter,$B55)*EM_2B))</f>
        <v/>
      </c>
      <c r="I55" s="42" t="str">
        <f>IF($B55="","",SUMPRODUCT(COUNTIFS(pbp_PlayType,EM_Type,pbp_Batter,$B55)*EM_3B))</f>
        <v/>
      </c>
      <c r="J55" s="42" t="str">
        <f>IF($B55="","",SUMPRODUCT(COUNTIFS(pbp_PlayType,EM_Type,pbp_Batter,$B55)*EM_HR))</f>
        <v/>
      </c>
      <c r="K55" s="42" t="str">
        <f>IF($B55="","",SUMPRODUCT(COUNTIFS(pbp_PlayType,EM_Type,pbp_Batter,$B55)*EM_1B))</f>
        <v/>
      </c>
      <c r="L55" s="42" t="str">
        <f>IF($B55="","",SUMPRODUCT(COUNTIFS(pbp_PlayType,EM_Type,pbp_Batter,$B55)*EM_BB))</f>
        <v/>
      </c>
      <c r="M55" s="42" t="str">
        <f>IF($B55="","",SUMPRODUCT(COUNTIFS(pbp_PlayType,EM_Type,pbp_Batter,$B55)*EM_HBP))</f>
        <v/>
      </c>
      <c r="N55" s="42" t="str">
        <f>IF($B55="","",COUNTIFS(pbp_PlayType,"?*",pbp_Desc,"*struck out*",pbp_Batter,$B55))</f>
        <v/>
      </c>
      <c r="O55" s="42" t="str">
        <f>IF($B55="","",SUMPRODUCT(COUNTIFS(pbp_PlayType,EM_Type,pbp_Batter,$B55)*EM_SF))</f>
        <v/>
      </c>
      <c r="P55" s="42" t="str">
        <f>IF($B55="","",SUMIFS(pbp_Runs,pbp_Batter,$B55))</f>
        <v/>
      </c>
      <c r="Q55" s="58" t="str">
        <f t="shared" si="0"/>
        <v/>
      </c>
      <c r="R55" s="58" t="str">
        <f t="shared" si="1"/>
        <v/>
      </c>
      <c r="S55" s="58" t="str">
        <f t="shared" si="2"/>
        <v/>
      </c>
      <c r="T55" s="58" t="str">
        <f t="shared" si="3"/>
        <v/>
      </c>
      <c r="U55" s="58" t="str">
        <f t="shared" si="4"/>
        <v/>
      </c>
      <c r="V55" s="59" t="str">
        <f t="shared" si="5"/>
        <v/>
      </c>
      <c r="W55" s="59" t="str">
        <f t="shared" si="6"/>
        <v/>
      </c>
      <c r="X55" s="60" t="str">
        <f>IF($B55="","",IF((E55)=0,"",(SUMIFS(pbp_Pitches,pbp_Batter,$B55,pbp_PlayType,"?*"))/(E55)))</f>
        <v/>
      </c>
      <c r="Y55" s="42" t="str">
        <f t="shared" si="7"/>
        <v/>
      </c>
      <c r="Z55" s="58" t="str">
        <f>IF($B55="","",IF((SUMPRODUCT(COUNTIFS(pbp_PlayType,EM_Type,pbp_Batter,$B55,pbp_On2B,"?*")*EM_AB)+SUMPRODUCT(COUNTIFS(pbp_PlayType,EM_Type,pbp_Batter,$B55,pbp_On2B,"",pbp_On3B,"?*")*EM_AB))=0,"",(SUMPRODUCT(COUNTIFS(pbp_PlayType,EM_Type,pbp_Batter,$B55,pbp_On2B,"?*")*EM_H)+SUMPRODUCT(COUNTIFS(pbp_PlayType,EM_Type,pbp_Batter,$B55,pbp_On2B,"",pbp_On3B,"?*")*EM_H))/(SUMPRODUCT(COUNTIFS(pbp_PlayType,EM_Type,pbp_Batter,$B55,pbp_On2B,"?*")*EM_AB)+SUMPRODUCT(COUNTIFS(pbp_PlayType,EM_Type,pbp_Batter,$B55,pbp_On2B,"",pbp_On3B,"?*")*EM_AB))))</f>
        <v/>
      </c>
      <c r="AA55" s="62" t="str">
        <f>IF($B55="","",IF(OR(E55&lt;MinPA,T55=""),"",COUNTIFS($E$6:$E$255,"&gt;="&amp;MinPA,$T$6:$T$255,"&gt;"&amp;T55)+COUNTIFS($E$5:E54,"&gt;="&amp;MinPA,$T$5:T54,T55)+1))</f>
        <v/>
      </c>
    </row>
    <row r="56" spans="2:27" x14ac:dyDescent="0.2">
      <c r="B56" s="44" t="str">
        <f t="array" ref="B56">IFERROR(INDEX(pbp_Batter,MATCH(0,COUNTIF($B$5:B55,pbp_Batter)+(pbp_Batter=""),0)),"")</f>
        <v/>
      </c>
      <c r="C56" s="61" t="str">
        <f>IF($B56="","",IFERROR(INDEX(pbp_BatTeam,MATCH($B56,pbp_Batter,0)),""))</f>
        <v/>
      </c>
      <c r="D56" s="61" t="str">
        <f>IF($B56="","",IFERROR(INDEX(pbp_BatHand,MATCH($B56,pbp_Batter,0)),""))</f>
        <v/>
      </c>
      <c r="E56" s="42" t="str">
        <f>IF($B56="","",SUMPRODUCT(COUNTIFS(pbp_PlayType,EM_Type,pbp_Batter,$B56)*EM_PA))</f>
        <v/>
      </c>
      <c r="F56" s="42" t="str">
        <f>IF($B56="","",SUMPRODUCT(COUNTIFS(pbp_PlayType,EM_Type,pbp_Batter,$B56)*EM_AB))</f>
        <v/>
      </c>
      <c r="G56" s="42" t="str">
        <f>IF($B56="","",SUMPRODUCT(COUNTIFS(pbp_PlayType,EM_Type,pbp_Batter,$B56)*EM_H))</f>
        <v/>
      </c>
      <c r="H56" s="42" t="str">
        <f>IF($B56="","",SUMPRODUCT(COUNTIFS(pbp_PlayType,EM_Type,pbp_Batter,$B56)*EM_2B))</f>
        <v/>
      </c>
      <c r="I56" s="42" t="str">
        <f>IF($B56="","",SUMPRODUCT(COUNTIFS(pbp_PlayType,EM_Type,pbp_Batter,$B56)*EM_3B))</f>
        <v/>
      </c>
      <c r="J56" s="42" t="str">
        <f>IF($B56="","",SUMPRODUCT(COUNTIFS(pbp_PlayType,EM_Type,pbp_Batter,$B56)*EM_HR))</f>
        <v/>
      </c>
      <c r="K56" s="42" t="str">
        <f>IF($B56="","",SUMPRODUCT(COUNTIFS(pbp_PlayType,EM_Type,pbp_Batter,$B56)*EM_1B))</f>
        <v/>
      </c>
      <c r="L56" s="42" t="str">
        <f>IF($B56="","",SUMPRODUCT(COUNTIFS(pbp_PlayType,EM_Type,pbp_Batter,$B56)*EM_BB))</f>
        <v/>
      </c>
      <c r="M56" s="42" t="str">
        <f>IF($B56="","",SUMPRODUCT(COUNTIFS(pbp_PlayType,EM_Type,pbp_Batter,$B56)*EM_HBP))</f>
        <v/>
      </c>
      <c r="N56" s="42" t="str">
        <f>IF($B56="","",COUNTIFS(pbp_PlayType,"?*",pbp_Desc,"*struck out*",pbp_Batter,$B56))</f>
        <v/>
      </c>
      <c r="O56" s="42" t="str">
        <f>IF($B56="","",SUMPRODUCT(COUNTIFS(pbp_PlayType,EM_Type,pbp_Batter,$B56)*EM_SF))</f>
        <v/>
      </c>
      <c r="P56" s="42" t="str">
        <f>IF($B56="","",SUMIFS(pbp_Runs,pbp_Batter,$B56))</f>
        <v/>
      </c>
      <c r="Q56" s="58" t="str">
        <f t="shared" si="0"/>
        <v/>
      </c>
      <c r="R56" s="58" t="str">
        <f t="shared" si="1"/>
        <v/>
      </c>
      <c r="S56" s="58" t="str">
        <f t="shared" si="2"/>
        <v/>
      </c>
      <c r="T56" s="58" t="str">
        <f t="shared" si="3"/>
        <v/>
      </c>
      <c r="U56" s="58" t="str">
        <f t="shared" si="4"/>
        <v/>
      </c>
      <c r="V56" s="59" t="str">
        <f t="shared" si="5"/>
        <v/>
      </c>
      <c r="W56" s="59" t="str">
        <f t="shared" si="6"/>
        <v/>
      </c>
      <c r="X56" s="60" t="str">
        <f>IF($B56="","",IF((E56)=0,"",(SUMIFS(pbp_Pitches,pbp_Batter,$B56,pbp_PlayType,"?*"))/(E56)))</f>
        <v/>
      </c>
      <c r="Y56" s="42" t="str">
        <f t="shared" si="7"/>
        <v/>
      </c>
      <c r="Z56" s="58" t="str">
        <f>IF($B56="","",IF((SUMPRODUCT(COUNTIFS(pbp_PlayType,EM_Type,pbp_Batter,$B56,pbp_On2B,"?*")*EM_AB)+SUMPRODUCT(COUNTIFS(pbp_PlayType,EM_Type,pbp_Batter,$B56,pbp_On2B,"",pbp_On3B,"?*")*EM_AB))=0,"",(SUMPRODUCT(COUNTIFS(pbp_PlayType,EM_Type,pbp_Batter,$B56,pbp_On2B,"?*")*EM_H)+SUMPRODUCT(COUNTIFS(pbp_PlayType,EM_Type,pbp_Batter,$B56,pbp_On2B,"",pbp_On3B,"?*")*EM_H))/(SUMPRODUCT(COUNTIFS(pbp_PlayType,EM_Type,pbp_Batter,$B56,pbp_On2B,"?*")*EM_AB)+SUMPRODUCT(COUNTIFS(pbp_PlayType,EM_Type,pbp_Batter,$B56,pbp_On2B,"",pbp_On3B,"?*")*EM_AB))))</f>
        <v/>
      </c>
      <c r="AA56" s="62" t="str">
        <f>IF($B56="","",IF(OR(E56&lt;MinPA,T56=""),"",COUNTIFS($E$6:$E$255,"&gt;="&amp;MinPA,$T$6:$T$255,"&gt;"&amp;T56)+COUNTIFS($E$5:E55,"&gt;="&amp;MinPA,$T$5:T55,T56)+1))</f>
        <v/>
      </c>
    </row>
    <row r="57" spans="2:27" x14ac:dyDescent="0.2">
      <c r="B57" s="44" t="str">
        <f t="array" ref="B57">IFERROR(INDEX(pbp_Batter,MATCH(0,COUNTIF($B$5:B56,pbp_Batter)+(pbp_Batter=""),0)),"")</f>
        <v/>
      </c>
      <c r="C57" s="61" t="str">
        <f>IF($B57="","",IFERROR(INDEX(pbp_BatTeam,MATCH($B57,pbp_Batter,0)),""))</f>
        <v/>
      </c>
      <c r="D57" s="61" t="str">
        <f>IF($B57="","",IFERROR(INDEX(pbp_BatHand,MATCH($B57,pbp_Batter,0)),""))</f>
        <v/>
      </c>
      <c r="E57" s="42" t="str">
        <f>IF($B57="","",SUMPRODUCT(COUNTIFS(pbp_PlayType,EM_Type,pbp_Batter,$B57)*EM_PA))</f>
        <v/>
      </c>
      <c r="F57" s="42" t="str">
        <f>IF($B57="","",SUMPRODUCT(COUNTIFS(pbp_PlayType,EM_Type,pbp_Batter,$B57)*EM_AB))</f>
        <v/>
      </c>
      <c r="G57" s="42" t="str">
        <f>IF($B57="","",SUMPRODUCT(COUNTIFS(pbp_PlayType,EM_Type,pbp_Batter,$B57)*EM_H))</f>
        <v/>
      </c>
      <c r="H57" s="42" t="str">
        <f>IF($B57="","",SUMPRODUCT(COUNTIFS(pbp_PlayType,EM_Type,pbp_Batter,$B57)*EM_2B))</f>
        <v/>
      </c>
      <c r="I57" s="42" t="str">
        <f>IF($B57="","",SUMPRODUCT(COUNTIFS(pbp_PlayType,EM_Type,pbp_Batter,$B57)*EM_3B))</f>
        <v/>
      </c>
      <c r="J57" s="42" t="str">
        <f>IF($B57="","",SUMPRODUCT(COUNTIFS(pbp_PlayType,EM_Type,pbp_Batter,$B57)*EM_HR))</f>
        <v/>
      </c>
      <c r="K57" s="42" t="str">
        <f>IF($B57="","",SUMPRODUCT(COUNTIFS(pbp_PlayType,EM_Type,pbp_Batter,$B57)*EM_1B))</f>
        <v/>
      </c>
      <c r="L57" s="42" t="str">
        <f>IF($B57="","",SUMPRODUCT(COUNTIFS(pbp_PlayType,EM_Type,pbp_Batter,$B57)*EM_BB))</f>
        <v/>
      </c>
      <c r="M57" s="42" t="str">
        <f>IF($B57="","",SUMPRODUCT(COUNTIFS(pbp_PlayType,EM_Type,pbp_Batter,$B57)*EM_HBP))</f>
        <v/>
      </c>
      <c r="N57" s="42" t="str">
        <f>IF($B57="","",COUNTIFS(pbp_PlayType,"?*",pbp_Desc,"*struck out*",pbp_Batter,$B57))</f>
        <v/>
      </c>
      <c r="O57" s="42" t="str">
        <f>IF($B57="","",SUMPRODUCT(COUNTIFS(pbp_PlayType,EM_Type,pbp_Batter,$B57)*EM_SF))</f>
        <v/>
      </c>
      <c r="P57" s="42" t="str">
        <f>IF($B57="","",SUMIFS(pbp_Runs,pbp_Batter,$B57))</f>
        <v/>
      </c>
      <c r="Q57" s="58" t="str">
        <f t="shared" si="0"/>
        <v/>
      </c>
      <c r="R57" s="58" t="str">
        <f t="shared" si="1"/>
        <v/>
      </c>
      <c r="S57" s="58" t="str">
        <f t="shared" si="2"/>
        <v/>
      </c>
      <c r="T57" s="58" t="str">
        <f t="shared" si="3"/>
        <v/>
      </c>
      <c r="U57" s="58" t="str">
        <f t="shared" si="4"/>
        <v/>
      </c>
      <c r="V57" s="59" t="str">
        <f t="shared" si="5"/>
        <v/>
      </c>
      <c r="W57" s="59" t="str">
        <f t="shared" si="6"/>
        <v/>
      </c>
      <c r="X57" s="60" t="str">
        <f>IF($B57="","",IF((E57)=0,"",(SUMIFS(pbp_Pitches,pbp_Batter,$B57,pbp_PlayType,"?*"))/(E57)))</f>
        <v/>
      </c>
      <c r="Y57" s="42" t="str">
        <f t="shared" si="7"/>
        <v/>
      </c>
      <c r="Z57" s="58" t="str">
        <f>IF($B57="","",IF((SUMPRODUCT(COUNTIFS(pbp_PlayType,EM_Type,pbp_Batter,$B57,pbp_On2B,"?*")*EM_AB)+SUMPRODUCT(COUNTIFS(pbp_PlayType,EM_Type,pbp_Batter,$B57,pbp_On2B,"",pbp_On3B,"?*")*EM_AB))=0,"",(SUMPRODUCT(COUNTIFS(pbp_PlayType,EM_Type,pbp_Batter,$B57,pbp_On2B,"?*")*EM_H)+SUMPRODUCT(COUNTIFS(pbp_PlayType,EM_Type,pbp_Batter,$B57,pbp_On2B,"",pbp_On3B,"?*")*EM_H))/(SUMPRODUCT(COUNTIFS(pbp_PlayType,EM_Type,pbp_Batter,$B57,pbp_On2B,"?*")*EM_AB)+SUMPRODUCT(COUNTIFS(pbp_PlayType,EM_Type,pbp_Batter,$B57,pbp_On2B,"",pbp_On3B,"?*")*EM_AB))))</f>
        <v/>
      </c>
      <c r="AA57" s="62" t="str">
        <f>IF($B57="","",IF(OR(E57&lt;MinPA,T57=""),"",COUNTIFS($E$6:$E$255,"&gt;="&amp;MinPA,$T$6:$T$255,"&gt;"&amp;T57)+COUNTIFS($E$5:E56,"&gt;="&amp;MinPA,$T$5:T56,T57)+1))</f>
        <v/>
      </c>
    </row>
    <row r="58" spans="2:27" x14ac:dyDescent="0.2">
      <c r="B58" s="44" t="str">
        <f t="array" ref="B58">IFERROR(INDEX(pbp_Batter,MATCH(0,COUNTIF($B$5:B57,pbp_Batter)+(pbp_Batter=""),0)),"")</f>
        <v/>
      </c>
      <c r="C58" s="61" t="str">
        <f>IF($B58="","",IFERROR(INDEX(pbp_BatTeam,MATCH($B58,pbp_Batter,0)),""))</f>
        <v/>
      </c>
      <c r="D58" s="61" t="str">
        <f>IF($B58="","",IFERROR(INDEX(pbp_BatHand,MATCH($B58,pbp_Batter,0)),""))</f>
        <v/>
      </c>
      <c r="E58" s="42" t="str">
        <f>IF($B58="","",SUMPRODUCT(COUNTIFS(pbp_PlayType,EM_Type,pbp_Batter,$B58)*EM_PA))</f>
        <v/>
      </c>
      <c r="F58" s="42" t="str">
        <f>IF($B58="","",SUMPRODUCT(COUNTIFS(pbp_PlayType,EM_Type,pbp_Batter,$B58)*EM_AB))</f>
        <v/>
      </c>
      <c r="G58" s="42" t="str">
        <f>IF($B58="","",SUMPRODUCT(COUNTIFS(pbp_PlayType,EM_Type,pbp_Batter,$B58)*EM_H))</f>
        <v/>
      </c>
      <c r="H58" s="42" t="str">
        <f>IF($B58="","",SUMPRODUCT(COUNTIFS(pbp_PlayType,EM_Type,pbp_Batter,$B58)*EM_2B))</f>
        <v/>
      </c>
      <c r="I58" s="42" t="str">
        <f>IF($B58="","",SUMPRODUCT(COUNTIFS(pbp_PlayType,EM_Type,pbp_Batter,$B58)*EM_3B))</f>
        <v/>
      </c>
      <c r="J58" s="42" t="str">
        <f>IF($B58="","",SUMPRODUCT(COUNTIFS(pbp_PlayType,EM_Type,pbp_Batter,$B58)*EM_HR))</f>
        <v/>
      </c>
      <c r="K58" s="42" t="str">
        <f>IF($B58="","",SUMPRODUCT(COUNTIFS(pbp_PlayType,EM_Type,pbp_Batter,$B58)*EM_1B))</f>
        <v/>
      </c>
      <c r="L58" s="42" t="str">
        <f>IF($B58="","",SUMPRODUCT(COUNTIFS(pbp_PlayType,EM_Type,pbp_Batter,$B58)*EM_BB))</f>
        <v/>
      </c>
      <c r="M58" s="42" t="str">
        <f>IF($B58="","",SUMPRODUCT(COUNTIFS(pbp_PlayType,EM_Type,pbp_Batter,$B58)*EM_HBP))</f>
        <v/>
      </c>
      <c r="N58" s="42" t="str">
        <f>IF($B58="","",COUNTIFS(pbp_PlayType,"?*",pbp_Desc,"*struck out*",pbp_Batter,$B58))</f>
        <v/>
      </c>
      <c r="O58" s="42" t="str">
        <f>IF($B58="","",SUMPRODUCT(COUNTIFS(pbp_PlayType,EM_Type,pbp_Batter,$B58)*EM_SF))</f>
        <v/>
      </c>
      <c r="P58" s="42" t="str">
        <f>IF($B58="","",SUMIFS(pbp_Runs,pbp_Batter,$B58))</f>
        <v/>
      </c>
      <c r="Q58" s="58" t="str">
        <f t="shared" si="0"/>
        <v/>
      </c>
      <c r="R58" s="58" t="str">
        <f t="shared" si="1"/>
        <v/>
      </c>
      <c r="S58" s="58" t="str">
        <f t="shared" si="2"/>
        <v/>
      </c>
      <c r="T58" s="58" t="str">
        <f t="shared" si="3"/>
        <v/>
      </c>
      <c r="U58" s="58" t="str">
        <f t="shared" si="4"/>
        <v/>
      </c>
      <c r="V58" s="59" t="str">
        <f t="shared" si="5"/>
        <v/>
      </c>
      <c r="W58" s="59" t="str">
        <f t="shared" si="6"/>
        <v/>
      </c>
      <c r="X58" s="60" t="str">
        <f>IF($B58="","",IF((E58)=0,"",(SUMIFS(pbp_Pitches,pbp_Batter,$B58,pbp_PlayType,"?*"))/(E58)))</f>
        <v/>
      </c>
      <c r="Y58" s="42" t="str">
        <f t="shared" si="7"/>
        <v/>
      </c>
      <c r="Z58" s="58" t="str">
        <f>IF($B58="","",IF((SUMPRODUCT(COUNTIFS(pbp_PlayType,EM_Type,pbp_Batter,$B58,pbp_On2B,"?*")*EM_AB)+SUMPRODUCT(COUNTIFS(pbp_PlayType,EM_Type,pbp_Batter,$B58,pbp_On2B,"",pbp_On3B,"?*")*EM_AB))=0,"",(SUMPRODUCT(COUNTIFS(pbp_PlayType,EM_Type,pbp_Batter,$B58,pbp_On2B,"?*")*EM_H)+SUMPRODUCT(COUNTIFS(pbp_PlayType,EM_Type,pbp_Batter,$B58,pbp_On2B,"",pbp_On3B,"?*")*EM_H))/(SUMPRODUCT(COUNTIFS(pbp_PlayType,EM_Type,pbp_Batter,$B58,pbp_On2B,"?*")*EM_AB)+SUMPRODUCT(COUNTIFS(pbp_PlayType,EM_Type,pbp_Batter,$B58,pbp_On2B,"",pbp_On3B,"?*")*EM_AB))))</f>
        <v/>
      </c>
      <c r="AA58" s="62" t="str">
        <f>IF($B58="","",IF(OR(E58&lt;MinPA,T58=""),"",COUNTIFS($E$6:$E$255,"&gt;="&amp;MinPA,$T$6:$T$255,"&gt;"&amp;T58)+COUNTIFS($E$5:E57,"&gt;="&amp;MinPA,$T$5:T57,T58)+1))</f>
        <v/>
      </c>
    </row>
    <row r="59" spans="2:27" x14ac:dyDescent="0.2">
      <c r="B59" s="44" t="str">
        <f t="array" ref="B59">IFERROR(INDEX(pbp_Batter,MATCH(0,COUNTIF($B$5:B58,pbp_Batter)+(pbp_Batter=""),0)),"")</f>
        <v/>
      </c>
      <c r="C59" s="61" t="str">
        <f>IF($B59="","",IFERROR(INDEX(pbp_BatTeam,MATCH($B59,pbp_Batter,0)),""))</f>
        <v/>
      </c>
      <c r="D59" s="61" t="str">
        <f>IF($B59="","",IFERROR(INDEX(pbp_BatHand,MATCH($B59,pbp_Batter,0)),""))</f>
        <v/>
      </c>
      <c r="E59" s="42" t="str">
        <f>IF($B59="","",SUMPRODUCT(COUNTIFS(pbp_PlayType,EM_Type,pbp_Batter,$B59)*EM_PA))</f>
        <v/>
      </c>
      <c r="F59" s="42" t="str">
        <f>IF($B59="","",SUMPRODUCT(COUNTIFS(pbp_PlayType,EM_Type,pbp_Batter,$B59)*EM_AB))</f>
        <v/>
      </c>
      <c r="G59" s="42" t="str">
        <f>IF($B59="","",SUMPRODUCT(COUNTIFS(pbp_PlayType,EM_Type,pbp_Batter,$B59)*EM_H))</f>
        <v/>
      </c>
      <c r="H59" s="42" t="str">
        <f>IF($B59="","",SUMPRODUCT(COUNTIFS(pbp_PlayType,EM_Type,pbp_Batter,$B59)*EM_2B))</f>
        <v/>
      </c>
      <c r="I59" s="42" t="str">
        <f>IF($B59="","",SUMPRODUCT(COUNTIFS(pbp_PlayType,EM_Type,pbp_Batter,$B59)*EM_3B))</f>
        <v/>
      </c>
      <c r="J59" s="42" t="str">
        <f>IF($B59="","",SUMPRODUCT(COUNTIFS(pbp_PlayType,EM_Type,pbp_Batter,$B59)*EM_HR))</f>
        <v/>
      </c>
      <c r="K59" s="42" t="str">
        <f>IF($B59="","",SUMPRODUCT(COUNTIFS(pbp_PlayType,EM_Type,pbp_Batter,$B59)*EM_1B))</f>
        <v/>
      </c>
      <c r="L59" s="42" t="str">
        <f>IF($B59="","",SUMPRODUCT(COUNTIFS(pbp_PlayType,EM_Type,pbp_Batter,$B59)*EM_BB))</f>
        <v/>
      </c>
      <c r="M59" s="42" t="str">
        <f>IF($B59="","",SUMPRODUCT(COUNTIFS(pbp_PlayType,EM_Type,pbp_Batter,$B59)*EM_HBP))</f>
        <v/>
      </c>
      <c r="N59" s="42" t="str">
        <f>IF($B59="","",COUNTIFS(pbp_PlayType,"?*",pbp_Desc,"*struck out*",pbp_Batter,$B59))</f>
        <v/>
      </c>
      <c r="O59" s="42" t="str">
        <f>IF($B59="","",SUMPRODUCT(COUNTIFS(pbp_PlayType,EM_Type,pbp_Batter,$B59)*EM_SF))</f>
        <v/>
      </c>
      <c r="P59" s="42" t="str">
        <f>IF($B59="","",SUMIFS(pbp_Runs,pbp_Batter,$B59))</f>
        <v/>
      </c>
      <c r="Q59" s="58" t="str">
        <f t="shared" si="0"/>
        <v/>
      </c>
      <c r="R59" s="58" t="str">
        <f t="shared" si="1"/>
        <v/>
      </c>
      <c r="S59" s="58" t="str">
        <f t="shared" si="2"/>
        <v/>
      </c>
      <c r="T59" s="58" t="str">
        <f t="shared" si="3"/>
        <v/>
      </c>
      <c r="U59" s="58" t="str">
        <f t="shared" si="4"/>
        <v/>
      </c>
      <c r="V59" s="59" t="str">
        <f t="shared" si="5"/>
        <v/>
      </c>
      <c r="W59" s="59" t="str">
        <f t="shared" si="6"/>
        <v/>
      </c>
      <c r="X59" s="60" t="str">
        <f>IF($B59="","",IF((E59)=0,"",(SUMIFS(pbp_Pitches,pbp_Batter,$B59,pbp_PlayType,"?*"))/(E59)))</f>
        <v/>
      </c>
      <c r="Y59" s="42" t="str">
        <f t="shared" si="7"/>
        <v/>
      </c>
      <c r="Z59" s="58" t="str">
        <f>IF($B59="","",IF((SUMPRODUCT(COUNTIFS(pbp_PlayType,EM_Type,pbp_Batter,$B59,pbp_On2B,"?*")*EM_AB)+SUMPRODUCT(COUNTIFS(pbp_PlayType,EM_Type,pbp_Batter,$B59,pbp_On2B,"",pbp_On3B,"?*")*EM_AB))=0,"",(SUMPRODUCT(COUNTIFS(pbp_PlayType,EM_Type,pbp_Batter,$B59,pbp_On2B,"?*")*EM_H)+SUMPRODUCT(COUNTIFS(pbp_PlayType,EM_Type,pbp_Batter,$B59,pbp_On2B,"",pbp_On3B,"?*")*EM_H))/(SUMPRODUCT(COUNTIFS(pbp_PlayType,EM_Type,pbp_Batter,$B59,pbp_On2B,"?*")*EM_AB)+SUMPRODUCT(COUNTIFS(pbp_PlayType,EM_Type,pbp_Batter,$B59,pbp_On2B,"",pbp_On3B,"?*")*EM_AB))))</f>
        <v/>
      </c>
      <c r="AA59" s="62" t="str">
        <f>IF($B59="","",IF(OR(E59&lt;MinPA,T59=""),"",COUNTIFS($E$6:$E$255,"&gt;="&amp;MinPA,$T$6:$T$255,"&gt;"&amp;T59)+COUNTIFS($E$5:E58,"&gt;="&amp;MinPA,$T$5:T58,T59)+1))</f>
        <v/>
      </c>
    </row>
    <row r="60" spans="2:27" x14ac:dyDescent="0.2">
      <c r="B60" s="44" t="str">
        <f t="array" ref="B60">IFERROR(INDEX(pbp_Batter,MATCH(0,COUNTIF($B$5:B59,pbp_Batter)+(pbp_Batter=""),0)),"")</f>
        <v/>
      </c>
      <c r="C60" s="61" t="str">
        <f>IF($B60="","",IFERROR(INDEX(pbp_BatTeam,MATCH($B60,pbp_Batter,0)),""))</f>
        <v/>
      </c>
      <c r="D60" s="61" t="str">
        <f>IF($B60="","",IFERROR(INDEX(pbp_BatHand,MATCH($B60,pbp_Batter,0)),""))</f>
        <v/>
      </c>
      <c r="E60" s="42" t="str">
        <f>IF($B60="","",SUMPRODUCT(COUNTIFS(pbp_PlayType,EM_Type,pbp_Batter,$B60)*EM_PA))</f>
        <v/>
      </c>
      <c r="F60" s="42" t="str">
        <f>IF($B60="","",SUMPRODUCT(COUNTIFS(pbp_PlayType,EM_Type,pbp_Batter,$B60)*EM_AB))</f>
        <v/>
      </c>
      <c r="G60" s="42" t="str">
        <f>IF($B60="","",SUMPRODUCT(COUNTIFS(pbp_PlayType,EM_Type,pbp_Batter,$B60)*EM_H))</f>
        <v/>
      </c>
      <c r="H60" s="42" t="str">
        <f>IF($B60="","",SUMPRODUCT(COUNTIFS(pbp_PlayType,EM_Type,pbp_Batter,$B60)*EM_2B))</f>
        <v/>
      </c>
      <c r="I60" s="42" t="str">
        <f>IF($B60="","",SUMPRODUCT(COUNTIFS(pbp_PlayType,EM_Type,pbp_Batter,$B60)*EM_3B))</f>
        <v/>
      </c>
      <c r="J60" s="42" t="str">
        <f>IF($B60="","",SUMPRODUCT(COUNTIFS(pbp_PlayType,EM_Type,pbp_Batter,$B60)*EM_HR))</f>
        <v/>
      </c>
      <c r="K60" s="42" t="str">
        <f>IF($B60="","",SUMPRODUCT(COUNTIFS(pbp_PlayType,EM_Type,pbp_Batter,$B60)*EM_1B))</f>
        <v/>
      </c>
      <c r="L60" s="42" t="str">
        <f>IF($B60="","",SUMPRODUCT(COUNTIFS(pbp_PlayType,EM_Type,pbp_Batter,$B60)*EM_BB))</f>
        <v/>
      </c>
      <c r="M60" s="42" t="str">
        <f>IF($B60="","",SUMPRODUCT(COUNTIFS(pbp_PlayType,EM_Type,pbp_Batter,$B60)*EM_HBP))</f>
        <v/>
      </c>
      <c r="N60" s="42" t="str">
        <f>IF($B60="","",COUNTIFS(pbp_PlayType,"?*",pbp_Desc,"*struck out*",pbp_Batter,$B60))</f>
        <v/>
      </c>
      <c r="O60" s="42" t="str">
        <f>IF($B60="","",SUMPRODUCT(COUNTIFS(pbp_PlayType,EM_Type,pbp_Batter,$B60)*EM_SF))</f>
        <v/>
      </c>
      <c r="P60" s="42" t="str">
        <f>IF($B60="","",SUMIFS(pbp_Runs,pbp_Batter,$B60))</f>
        <v/>
      </c>
      <c r="Q60" s="58" t="str">
        <f t="shared" si="0"/>
        <v/>
      </c>
      <c r="R60" s="58" t="str">
        <f t="shared" si="1"/>
        <v/>
      </c>
      <c r="S60" s="58" t="str">
        <f t="shared" si="2"/>
        <v/>
      </c>
      <c r="T60" s="58" t="str">
        <f t="shared" si="3"/>
        <v/>
      </c>
      <c r="U60" s="58" t="str">
        <f t="shared" si="4"/>
        <v/>
      </c>
      <c r="V60" s="59" t="str">
        <f t="shared" si="5"/>
        <v/>
      </c>
      <c r="W60" s="59" t="str">
        <f t="shared" si="6"/>
        <v/>
      </c>
      <c r="X60" s="60" t="str">
        <f>IF($B60="","",IF((E60)=0,"",(SUMIFS(pbp_Pitches,pbp_Batter,$B60,pbp_PlayType,"?*"))/(E60)))</f>
        <v/>
      </c>
      <c r="Y60" s="42" t="str">
        <f t="shared" si="7"/>
        <v/>
      </c>
      <c r="Z60" s="58" t="str">
        <f>IF($B60="","",IF((SUMPRODUCT(COUNTIFS(pbp_PlayType,EM_Type,pbp_Batter,$B60,pbp_On2B,"?*")*EM_AB)+SUMPRODUCT(COUNTIFS(pbp_PlayType,EM_Type,pbp_Batter,$B60,pbp_On2B,"",pbp_On3B,"?*")*EM_AB))=0,"",(SUMPRODUCT(COUNTIFS(pbp_PlayType,EM_Type,pbp_Batter,$B60,pbp_On2B,"?*")*EM_H)+SUMPRODUCT(COUNTIFS(pbp_PlayType,EM_Type,pbp_Batter,$B60,pbp_On2B,"",pbp_On3B,"?*")*EM_H))/(SUMPRODUCT(COUNTIFS(pbp_PlayType,EM_Type,pbp_Batter,$B60,pbp_On2B,"?*")*EM_AB)+SUMPRODUCT(COUNTIFS(pbp_PlayType,EM_Type,pbp_Batter,$B60,pbp_On2B,"",pbp_On3B,"?*")*EM_AB))))</f>
        <v/>
      </c>
      <c r="AA60" s="62" t="str">
        <f>IF($B60="","",IF(OR(E60&lt;MinPA,T60=""),"",COUNTIFS($E$6:$E$255,"&gt;="&amp;MinPA,$T$6:$T$255,"&gt;"&amp;T60)+COUNTIFS($E$5:E59,"&gt;="&amp;MinPA,$T$5:T59,T60)+1))</f>
        <v/>
      </c>
    </row>
    <row r="61" spans="2:27" x14ac:dyDescent="0.2">
      <c r="B61" s="44" t="str">
        <f t="array" ref="B61">IFERROR(INDEX(pbp_Batter,MATCH(0,COUNTIF($B$5:B60,pbp_Batter)+(pbp_Batter=""),0)),"")</f>
        <v/>
      </c>
      <c r="C61" s="61" t="str">
        <f>IF($B61="","",IFERROR(INDEX(pbp_BatTeam,MATCH($B61,pbp_Batter,0)),""))</f>
        <v/>
      </c>
      <c r="D61" s="61" t="str">
        <f>IF($B61="","",IFERROR(INDEX(pbp_BatHand,MATCH($B61,pbp_Batter,0)),""))</f>
        <v/>
      </c>
      <c r="E61" s="42" t="str">
        <f>IF($B61="","",SUMPRODUCT(COUNTIFS(pbp_PlayType,EM_Type,pbp_Batter,$B61)*EM_PA))</f>
        <v/>
      </c>
      <c r="F61" s="42" t="str">
        <f>IF($B61="","",SUMPRODUCT(COUNTIFS(pbp_PlayType,EM_Type,pbp_Batter,$B61)*EM_AB))</f>
        <v/>
      </c>
      <c r="G61" s="42" t="str">
        <f>IF($B61="","",SUMPRODUCT(COUNTIFS(pbp_PlayType,EM_Type,pbp_Batter,$B61)*EM_H))</f>
        <v/>
      </c>
      <c r="H61" s="42" t="str">
        <f>IF($B61="","",SUMPRODUCT(COUNTIFS(pbp_PlayType,EM_Type,pbp_Batter,$B61)*EM_2B))</f>
        <v/>
      </c>
      <c r="I61" s="42" t="str">
        <f>IF($B61="","",SUMPRODUCT(COUNTIFS(pbp_PlayType,EM_Type,pbp_Batter,$B61)*EM_3B))</f>
        <v/>
      </c>
      <c r="J61" s="42" t="str">
        <f>IF($B61="","",SUMPRODUCT(COUNTIFS(pbp_PlayType,EM_Type,pbp_Batter,$B61)*EM_HR))</f>
        <v/>
      </c>
      <c r="K61" s="42" t="str">
        <f>IF($B61="","",SUMPRODUCT(COUNTIFS(pbp_PlayType,EM_Type,pbp_Batter,$B61)*EM_1B))</f>
        <v/>
      </c>
      <c r="L61" s="42" t="str">
        <f>IF($B61="","",SUMPRODUCT(COUNTIFS(pbp_PlayType,EM_Type,pbp_Batter,$B61)*EM_BB))</f>
        <v/>
      </c>
      <c r="M61" s="42" t="str">
        <f>IF($B61="","",SUMPRODUCT(COUNTIFS(pbp_PlayType,EM_Type,pbp_Batter,$B61)*EM_HBP))</f>
        <v/>
      </c>
      <c r="N61" s="42" t="str">
        <f>IF($B61="","",COUNTIFS(pbp_PlayType,"?*",pbp_Desc,"*struck out*",pbp_Batter,$B61))</f>
        <v/>
      </c>
      <c r="O61" s="42" t="str">
        <f>IF($B61="","",SUMPRODUCT(COUNTIFS(pbp_PlayType,EM_Type,pbp_Batter,$B61)*EM_SF))</f>
        <v/>
      </c>
      <c r="P61" s="42" t="str">
        <f>IF($B61="","",SUMIFS(pbp_Runs,pbp_Batter,$B61))</f>
        <v/>
      </c>
      <c r="Q61" s="58" t="str">
        <f t="shared" si="0"/>
        <v/>
      </c>
      <c r="R61" s="58" t="str">
        <f t="shared" si="1"/>
        <v/>
      </c>
      <c r="S61" s="58" t="str">
        <f t="shared" si="2"/>
        <v/>
      </c>
      <c r="T61" s="58" t="str">
        <f t="shared" si="3"/>
        <v/>
      </c>
      <c r="U61" s="58" t="str">
        <f t="shared" si="4"/>
        <v/>
      </c>
      <c r="V61" s="59" t="str">
        <f t="shared" si="5"/>
        <v/>
      </c>
      <c r="W61" s="59" t="str">
        <f t="shared" si="6"/>
        <v/>
      </c>
      <c r="X61" s="60" t="str">
        <f>IF($B61="","",IF((E61)=0,"",(SUMIFS(pbp_Pitches,pbp_Batter,$B61,pbp_PlayType,"?*"))/(E61)))</f>
        <v/>
      </c>
      <c r="Y61" s="42" t="str">
        <f t="shared" si="7"/>
        <v/>
      </c>
      <c r="Z61" s="58" t="str">
        <f>IF($B61="","",IF((SUMPRODUCT(COUNTIFS(pbp_PlayType,EM_Type,pbp_Batter,$B61,pbp_On2B,"?*")*EM_AB)+SUMPRODUCT(COUNTIFS(pbp_PlayType,EM_Type,pbp_Batter,$B61,pbp_On2B,"",pbp_On3B,"?*")*EM_AB))=0,"",(SUMPRODUCT(COUNTIFS(pbp_PlayType,EM_Type,pbp_Batter,$B61,pbp_On2B,"?*")*EM_H)+SUMPRODUCT(COUNTIFS(pbp_PlayType,EM_Type,pbp_Batter,$B61,pbp_On2B,"",pbp_On3B,"?*")*EM_H))/(SUMPRODUCT(COUNTIFS(pbp_PlayType,EM_Type,pbp_Batter,$B61,pbp_On2B,"?*")*EM_AB)+SUMPRODUCT(COUNTIFS(pbp_PlayType,EM_Type,pbp_Batter,$B61,pbp_On2B,"",pbp_On3B,"?*")*EM_AB))))</f>
        <v/>
      </c>
      <c r="AA61" s="62" t="str">
        <f>IF($B61="","",IF(OR(E61&lt;MinPA,T61=""),"",COUNTIFS($E$6:$E$255,"&gt;="&amp;MinPA,$T$6:$T$255,"&gt;"&amp;T61)+COUNTIFS($E$5:E60,"&gt;="&amp;MinPA,$T$5:T60,T61)+1))</f>
        <v/>
      </c>
    </row>
    <row r="62" spans="2:27" x14ac:dyDescent="0.2">
      <c r="B62" s="44" t="str">
        <f t="array" ref="B62">IFERROR(INDEX(pbp_Batter,MATCH(0,COUNTIF($B$5:B61,pbp_Batter)+(pbp_Batter=""),0)),"")</f>
        <v/>
      </c>
      <c r="C62" s="61" t="str">
        <f>IF($B62="","",IFERROR(INDEX(pbp_BatTeam,MATCH($B62,pbp_Batter,0)),""))</f>
        <v/>
      </c>
      <c r="D62" s="61" t="str">
        <f>IF($B62="","",IFERROR(INDEX(pbp_BatHand,MATCH($B62,pbp_Batter,0)),""))</f>
        <v/>
      </c>
      <c r="E62" s="42" t="str">
        <f>IF($B62="","",SUMPRODUCT(COUNTIFS(pbp_PlayType,EM_Type,pbp_Batter,$B62)*EM_PA))</f>
        <v/>
      </c>
      <c r="F62" s="42" t="str">
        <f>IF($B62="","",SUMPRODUCT(COUNTIFS(pbp_PlayType,EM_Type,pbp_Batter,$B62)*EM_AB))</f>
        <v/>
      </c>
      <c r="G62" s="42" t="str">
        <f>IF($B62="","",SUMPRODUCT(COUNTIFS(pbp_PlayType,EM_Type,pbp_Batter,$B62)*EM_H))</f>
        <v/>
      </c>
      <c r="H62" s="42" t="str">
        <f>IF($B62="","",SUMPRODUCT(COUNTIFS(pbp_PlayType,EM_Type,pbp_Batter,$B62)*EM_2B))</f>
        <v/>
      </c>
      <c r="I62" s="42" t="str">
        <f>IF($B62="","",SUMPRODUCT(COUNTIFS(pbp_PlayType,EM_Type,pbp_Batter,$B62)*EM_3B))</f>
        <v/>
      </c>
      <c r="J62" s="42" t="str">
        <f>IF($B62="","",SUMPRODUCT(COUNTIFS(pbp_PlayType,EM_Type,pbp_Batter,$B62)*EM_HR))</f>
        <v/>
      </c>
      <c r="K62" s="42" t="str">
        <f>IF($B62="","",SUMPRODUCT(COUNTIFS(pbp_PlayType,EM_Type,pbp_Batter,$B62)*EM_1B))</f>
        <v/>
      </c>
      <c r="L62" s="42" t="str">
        <f>IF($B62="","",SUMPRODUCT(COUNTIFS(pbp_PlayType,EM_Type,pbp_Batter,$B62)*EM_BB))</f>
        <v/>
      </c>
      <c r="M62" s="42" t="str">
        <f>IF($B62="","",SUMPRODUCT(COUNTIFS(pbp_PlayType,EM_Type,pbp_Batter,$B62)*EM_HBP))</f>
        <v/>
      </c>
      <c r="N62" s="42" t="str">
        <f>IF($B62="","",COUNTIFS(pbp_PlayType,"?*",pbp_Desc,"*struck out*",pbp_Batter,$B62))</f>
        <v/>
      </c>
      <c r="O62" s="42" t="str">
        <f>IF($B62="","",SUMPRODUCT(COUNTIFS(pbp_PlayType,EM_Type,pbp_Batter,$B62)*EM_SF))</f>
        <v/>
      </c>
      <c r="P62" s="42" t="str">
        <f>IF($B62="","",SUMIFS(pbp_Runs,pbp_Batter,$B62))</f>
        <v/>
      </c>
      <c r="Q62" s="58" t="str">
        <f t="shared" si="0"/>
        <v/>
      </c>
      <c r="R62" s="58" t="str">
        <f t="shared" si="1"/>
        <v/>
      </c>
      <c r="S62" s="58" t="str">
        <f t="shared" si="2"/>
        <v/>
      </c>
      <c r="T62" s="58" t="str">
        <f t="shared" si="3"/>
        <v/>
      </c>
      <c r="U62" s="58" t="str">
        <f t="shared" si="4"/>
        <v/>
      </c>
      <c r="V62" s="59" t="str">
        <f t="shared" si="5"/>
        <v/>
      </c>
      <c r="W62" s="59" t="str">
        <f t="shared" si="6"/>
        <v/>
      </c>
      <c r="X62" s="60" t="str">
        <f>IF($B62="","",IF((E62)=0,"",(SUMIFS(pbp_Pitches,pbp_Batter,$B62,pbp_PlayType,"?*"))/(E62)))</f>
        <v/>
      </c>
      <c r="Y62" s="42" t="str">
        <f t="shared" si="7"/>
        <v/>
      </c>
      <c r="Z62" s="58" t="str">
        <f>IF($B62="","",IF((SUMPRODUCT(COUNTIFS(pbp_PlayType,EM_Type,pbp_Batter,$B62,pbp_On2B,"?*")*EM_AB)+SUMPRODUCT(COUNTIFS(pbp_PlayType,EM_Type,pbp_Batter,$B62,pbp_On2B,"",pbp_On3B,"?*")*EM_AB))=0,"",(SUMPRODUCT(COUNTIFS(pbp_PlayType,EM_Type,pbp_Batter,$B62,pbp_On2B,"?*")*EM_H)+SUMPRODUCT(COUNTIFS(pbp_PlayType,EM_Type,pbp_Batter,$B62,pbp_On2B,"",pbp_On3B,"?*")*EM_H))/(SUMPRODUCT(COUNTIFS(pbp_PlayType,EM_Type,pbp_Batter,$B62,pbp_On2B,"?*")*EM_AB)+SUMPRODUCT(COUNTIFS(pbp_PlayType,EM_Type,pbp_Batter,$B62,pbp_On2B,"",pbp_On3B,"?*")*EM_AB))))</f>
        <v/>
      </c>
      <c r="AA62" s="62" t="str">
        <f>IF($B62="","",IF(OR(E62&lt;MinPA,T62=""),"",COUNTIFS($E$6:$E$255,"&gt;="&amp;MinPA,$T$6:$T$255,"&gt;"&amp;T62)+COUNTIFS($E$5:E61,"&gt;="&amp;MinPA,$T$5:T61,T62)+1))</f>
        <v/>
      </c>
    </row>
    <row r="63" spans="2:27" x14ac:dyDescent="0.2">
      <c r="B63" s="44" t="str">
        <f t="array" ref="B63">IFERROR(INDEX(pbp_Batter,MATCH(0,COUNTIF($B$5:B62,pbp_Batter)+(pbp_Batter=""),0)),"")</f>
        <v/>
      </c>
      <c r="C63" s="61" t="str">
        <f>IF($B63="","",IFERROR(INDEX(pbp_BatTeam,MATCH($B63,pbp_Batter,0)),""))</f>
        <v/>
      </c>
      <c r="D63" s="61" t="str">
        <f>IF($B63="","",IFERROR(INDEX(pbp_BatHand,MATCH($B63,pbp_Batter,0)),""))</f>
        <v/>
      </c>
      <c r="E63" s="42" t="str">
        <f>IF($B63="","",SUMPRODUCT(COUNTIFS(pbp_PlayType,EM_Type,pbp_Batter,$B63)*EM_PA))</f>
        <v/>
      </c>
      <c r="F63" s="42" t="str">
        <f>IF($B63="","",SUMPRODUCT(COUNTIFS(pbp_PlayType,EM_Type,pbp_Batter,$B63)*EM_AB))</f>
        <v/>
      </c>
      <c r="G63" s="42" t="str">
        <f>IF($B63="","",SUMPRODUCT(COUNTIFS(pbp_PlayType,EM_Type,pbp_Batter,$B63)*EM_H))</f>
        <v/>
      </c>
      <c r="H63" s="42" t="str">
        <f>IF($B63="","",SUMPRODUCT(COUNTIFS(pbp_PlayType,EM_Type,pbp_Batter,$B63)*EM_2B))</f>
        <v/>
      </c>
      <c r="I63" s="42" t="str">
        <f>IF($B63="","",SUMPRODUCT(COUNTIFS(pbp_PlayType,EM_Type,pbp_Batter,$B63)*EM_3B))</f>
        <v/>
      </c>
      <c r="J63" s="42" t="str">
        <f>IF($B63="","",SUMPRODUCT(COUNTIFS(pbp_PlayType,EM_Type,pbp_Batter,$B63)*EM_HR))</f>
        <v/>
      </c>
      <c r="K63" s="42" t="str">
        <f>IF($B63="","",SUMPRODUCT(COUNTIFS(pbp_PlayType,EM_Type,pbp_Batter,$B63)*EM_1B))</f>
        <v/>
      </c>
      <c r="L63" s="42" t="str">
        <f>IF($B63="","",SUMPRODUCT(COUNTIFS(pbp_PlayType,EM_Type,pbp_Batter,$B63)*EM_BB))</f>
        <v/>
      </c>
      <c r="M63" s="42" t="str">
        <f>IF($B63="","",SUMPRODUCT(COUNTIFS(pbp_PlayType,EM_Type,pbp_Batter,$B63)*EM_HBP))</f>
        <v/>
      </c>
      <c r="N63" s="42" t="str">
        <f>IF($B63="","",COUNTIFS(pbp_PlayType,"?*",pbp_Desc,"*struck out*",pbp_Batter,$B63))</f>
        <v/>
      </c>
      <c r="O63" s="42" t="str">
        <f>IF($B63="","",SUMPRODUCT(COUNTIFS(pbp_PlayType,EM_Type,pbp_Batter,$B63)*EM_SF))</f>
        <v/>
      </c>
      <c r="P63" s="42" t="str">
        <f>IF($B63="","",SUMIFS(pbp_Runs,pbp_Batter,$B63))</f>
        <v/>
      </c>
      <c r="Q63" s="58" t="str">
        <f t="shared" si="0"/>
        <v/>
      </c>
      <c r="R63" s="58" t="str">
        <f t="shared" si="1"/>
        <v/>
      </c>
      <c r="S63" s="58" t="str">
        <f t="shared" si="2"/>
        <v/>
      </c>
      <c r="T63" s="58" t="str">
        <f t="shared" si="3"/>
        <v/>
      </c>
      <c r="U63" s="58" t="str">
        <f t="shared" si="4"/>
        <v/>
      </c>
      <c r="V63" s="59" t="str">
        <f t="shared" si="5"/>
        <v/>
      </c>
      <c r="W63" s="59" t="str">
        <f t="shared" si="6"/>
        <v/>
      </c>
      <c r="X63" s="60" t="str">
        <f>IF($B63="","",IF((E63)=0,"",(SUMIFS(pbp_Pitches,pbp_Batter,$B63,pbp_PlayType,"?*"))/(E63)))</f>
        <v/>
      </c>
      <c r="Y63" s="42" t="str">
        <f t="shared" si="7"/>
        <v/>
      </c>
      <c r="Z63" s="58" t="str">
        <f>IF($B63="","",IF((SUMPRODUCT(COUNTIFS(pbp_PlayType,EM_Type,pbp_Batter,$B63,pbp_On2B,"?*")*EM_AB)+SUMPRODUCT(COUNTIFS(pbp_PlayType,EM_Type,pbp_Batter,$B63,pbp_On2B,"",pbp_On3B,"?*")*EM_AB))=0,"",(SUMPRODUCT(COUNTIFS(pbp_PlayType,EM_Type,pbp_Batter,$B63,pbp_On2B,"?*")*EM_H)+SUMPRODUCT(COUNTIFS(pbp_PlayType,EM_Type,pbp_Batter,$B63,pbp_On2B,"",pbp_On3B,"?*")*EM_H))/(SUMPRODUCT(COUNTIFS(pbp_PlayType,EM_Type,pbp_Batter,$B63,pbp_On2B,"?*")*EM_AB)+SUMPRODUCT(COUNTIFS(pbp_PlayType,EM_Type,pbp_Batter,$B63,pbp_On2B,"",pbp_On3B,"?*")*EM_AB))))</f>
        <v/>
      </c>
      <c r="AA63" s="62" t="str">
        <f>IF($B63="","",IF(OR(E63&lt;MinPA,T63=""),"",COUNTIFS($E$6:$E$255,"&gt;="&amp;MinPA,$T$6:$T$255,"&gt;"&amp;T63)+COUNTIFS($E$5:E62,"&gt;="&amp;MinPA,$T$5:T62,T63)+1))</f>
        <v/>
      </c>
    </row>
    <row r="64" spans="2:27" x14ac:dyDescent="0.2">
      <c r="B64" s="44" t="str">
        <f t="array" ref="B64">IFERROR(INDEX(pbp_Batter,MATCH(0,COUNTIF($B$5:B63,pbp_Batter)+(pbp_Batter=""),0)),"")</f>
        <v/>
      </c>
      <c r="C64" s="61" t="str">
        <f>IF($B64="","",IFERROR(INDEX(pbp_BatTeam,MATCH($B64,pbp_Batter,0)),""))</f>
        <v/>
      </c>
      <c r="D64" s="61" t="str">
        <f>IF($B64="","",IFERROR(INDEX(pbp_BatHand,MATCH($B64,pbp_Batter,0)),""))</f>
        <v/>
      </c>
      <c r="E64" s="42" t="str">
        <f>IF($B64="","",SUMPRODUCT(COUNTIFS(pbp_PlayType,EM_Type,pbp_Batter,$B64)*EM_PA))</f>
        <v/>
      </c>
      <c r="F64" s="42" t="str">
        <f>IF($B64="","",SUMPRODUCT(COUNTIFS(pbp_PlayType,EM_Type,pbp_Batter,$B64)*EM_AB))</f>
        <v/>
      </c>
      <c r="G64" s="42" t="str">
        <f>IF($B64="","",SUMPRODUCT(COUNTIFS(pbp_PlayType,EM_Type,pbp_Batter,$B64)*EM_H))</f>
        <v/>
      </c>
      <c r="H64" s="42" t="str">
        <f>IF($B64="","",SUMPRODUCT(COUNTIFS(pbp_PlayType,EM_Type,pbp_Batter,$B64)*EM_2B))</f>
        <v/>
      </c>
      <c r="I64" s="42" t="str">
        <f>IF($B64="","",SUMPRODUCT(COUNTIFS(pbp_PlayType,EM_Type,pbp_Batter,$B64)*EM_3B))</f>
        <v/>
      </c>
      <c r="J64" s="42" t="str">
        <f>IF($B64="","",SUMPRODUCT(COUNTIFS(pbp_PlayType,EM_Type,pbp_Batter,$B64)*EM_HR))</f>
        <v/>
      </c>
      <c r="K64" s="42" t="str">
        <f>IF($B64="","",SUMPRODUCT(COUNTIFS(pbp_PlayType,EM_Type,pbp_Batter,$B64)*EM_1B))</f>
        <v/>
      </c>
      <c r="L64" s="42" t="str">
        <f>IF($B64="","",SUMPRODUCT(COUNTIFS(pbp_PlayType,EM_Type,pbp_Batter,$B64)*EM_BB))</f>
        <v/>
      </c>
      <c r="M64" s="42" t="str">
        <f>IF($B64="","",SUMPRODUCT(COUNTIFS(pbp_PlayType,EM_Type,pbp_Batter,$B64)*EM_HBP))</f>
        <v/>
      </c>
      <c r="N64" s="42" t="str">
        <f>IF($B64="","",COUNTIFS(pbp_PlayType,"?*",pbp_Desc,"*struck out*",pbp_Batter,$B64))</f>
        <v/>
      </c>
      <c r="O64" s="42" t="str">
        <f>IF($B64="","",SUMPRODUCT(COUNTIFS(pbp_PlayType,EM_Type,pbp_Batter,$B64)*EM_SF))</f>
        <v/>
      </c>
      <c r="P64" s="42" t="str">
        <f>IF($B64="","",SUMIFS(pbp_Runs,pbp_Batter,$B64))</f>
        <v/>
      </c>
      <c r="Q64" s="58" t="str">
        <f t="shared" si="0"/>
        <v/>
      </c>
      <c r="R64" s="58" t="str">
        <f t="shared" si="1"/>
        <v/>
      </c>
      <c r="S64" s="58" t="str">
        <f t="shared" si="2"/>
        <v/>
      </c>
      <c r="T64" s="58" t="str">
        <f t="shared" si="3"/>
        <v/>
      </c>
      <c r="U64" s="58" t="str">
        <f t="shared" si="4"/>
        <v/>
      </c>
      <c r="V64" s="59" t="str">
        <f t="shared" si="5"/>
        <v/>
      </c>
      <c r="W64" s="59" t="str">
        <f t="shared" si="6"/>
        <v/>
      </c>
      <c r="X64" s="60" t="str">
        <f>IF($B64="","",IF((E64)=0,"",(SUMIFS(pbp_Pitches,pbp_Batter,$B64,pbp_PlayType,"?*"))/(E64)))</f>
        <v/>
      </c>
      <c r="Y64" s="42" t="str">
        <f t="shared" si="7"/>
        <v/>
      </c>
      <c r="Z64" s="58" t="str">
        <f>IF($B64="","",IF((SUMPRODUCT(COUNTIFS(pbp_PlayType,EM_Type,pbp_Batter,$B64,pbp_On2B,"?*")*EM_AB)+SUMPRODUCT(COUNTIFS(pbp_PlayType,EM_Type,pbp_Batter,$B64,pbp_On2B,"",pbp_On3B,"?*")*EM_AB))=0,"",(SUMPRODUCT(COUNTIFS(pbp_PlayType,EM_Type,pbp_Batter,$B64,pbp_On2B,"?*")*EM_H)+SUMPRODUCT(COUNTIFS(pbp_PlayType,EM_Type,pbp_Batter,$B64,pbp_On2B,"",pbp_On3B,"?*")*EM_H))/(SUMPRODUCT(COUNTIFS(pbp_PlayType,EM_Type,pbp_Batter,$B64,pbp_On2B,"?*")*EM_AB)+SUMPRODUCT(COUNTIFS(pbp_PlayType,EM_Type,pbp_Batter,$B64,pbp_On2B,"",pbp_On3B,"?*")*EM_AB))))</f>
        <v/>
      </c>
      <c r="AA64" s="62" t="str">
        <f>IF($B64="","",IF(OR(E64&lt;MinPA,T64=""),"",COUNTIFS($E$6:$E$255,"&gt;="&amp;MinPA,$T$6:$T$255,"&gt;"&amp;T64)+COUNTIFS($E$5:E63,"&gt;="&amp;MinPA,$T$5:T63,T64)+1))</f>
        <v/>
      </c>
    </row>
    <row r="65" spans="2:27" x14ac:dyDescent="0.2">
      <c r="B65" s="44" t="str">
        <f t="array" ref="B65">IFERROR(INDEX(pbp_Batter,MATCH(0,COUNTIF($B$5:B64,pbp_Batter)+(pbp_Batter=""),0)),"")</f>
        <v/>
      </c>
      <c r="C65" s="61" t="str">
        <f>IF($B65="","",IFERROR(INDEX(pbp_BatTeam,MATCH($B65,pbp_Batter,0)),""))</f>
        <v/>
      </c>
      <c r="D65" s="61" t="str">
        <f>IF($B65="","",IFERROR(INDEX(pbp_BatHand,MATCH($B65,pbp_Batter,0)),""))</f>
        <v/>
      </c>
      <c r="E65" s="42" t="str">
        <f>IF($B65="","",SUMPRODUCT(COUNTIFS(pbp_PlayType,EM_Type,pbp_Batter,$B65)*EM_PA))</f>
        <v/>
      </c>
      <c r="F65" s="42" t="str">
        <f>IF($B65="","",SUMPRODUCT(COUNTIFS(pbp_PlayType,EM_Type,pbp_Batter,$B65)*EM_AB))</f>
        <v/>
      </c>
      <c r="G65" s="42" t="str">
        <f>IF($B65="","",SUMPRODUCT(COUNTIFS(pbp_PlayType,EM_Type,pbp_Batter,$B65)*EM_H))</f>
        <v/>
      </c>
      <c r="H65" s="42" t="str">
        <f>IF($B65="","",SUMPRODUCT(COUNTIFS(pbp_PlayType,EM_Type,pbp_Batter,$B65)*EM_2B))</f>
        <v/>
      </c>
      <c r="I65" s="42" t="str">
        <f>IF($B65="","",SUMPRODUCT(COUNTIFS(pbp_PlayType,EM_Type,pbp_Batter,$B65)*EM_3B))</f>
        <v/>
      </c>
      <c r="J65" s="42" t="str">
        <f>IF($B65="","",SUMPRODUCT(COUNTIFS(pbp_PlayType,EM_Type,pbp_Batter,$B65)*EM_HR))</f>
        <v/>
      </c>
      <c r="K65" s="42" t="str">
        <f>IF($B65="","",SUMPRODUCT(COUNTIFS(pbp_PlayType,EM_Type,pbp_Batter,$B65)*EM_1B))</f>
        <v/>
      </c>
      <c r="L65" s="42" t="str">
        <f>IF($B65="","",SUMPRODUCT(COUNTIFS(pbp_PlayType,EM_Type,pbp_Batter,$B65)*EM_BB))</f>
        <v/>
      </c>
      <c r="M65" s="42" t="str">
        <f>IF($B65="","",SUMPRODUCT(COUNTIFS(pbp_PlayType,EM_Type,pbp_Batter,$B65)*EM_HBP))</f>
        <v/>
      </c>
      <c r="N65" s="42" t="str">
        <f>IF($B65="","",COUNTIFS(pbp_PlayType,"?*",pbp_Desc,"*struck out*",pbp_Batter,$B65))</f>
        <v/>
      </c>
      <c r="O65" s="42" t="str">
        <f>IF($B65="","",SUMPRODUCT(COUNTIFS(pbp_PlayType,EM_Type,pbp_Batter,$B65)*EM_SF))</f>
        <v/>
      </c>
      <c r="P65" s="42" t="str">
        <f>IF($B65="","",SUMIFS(pbp_Runs,pbp_Batter,$B65))</f>
        <v/>
      </c>
      <c r="Q65" s="58" t="str">
        <f t="shared" si="0"/>
        <v/>
      </c>
      <c r="R65" s="58" t="str">
        <f t="shared" si="1"/>
        <v/>
      </c>
      <c r="S65" s="58" t="str">
        <f t="shared" si="2"/>
        <v/>
      </c>
      <c r="T65" s="58" t="str">
        <f t="shared" si="3"/>
        <v/>
      </c>
      <c r="U65" s="58" t="str">
        <f t="shared" si="4"/>
        <v/>
      </c>
      <c r="V65" s="59" t="str">
        <f t="shared" si="5"/>
        <v/>
      </c>
      <c r="W65" s="59" t="str">
        <f t="shared" si="6"/>
        <v/>
      </c>
      <c r="X65" s="60" t="str">
        <f>IF($B65="","",IF((E65)=0,"",(SUMIFS(pbp_Pitches,pbp_Batter,$B65,pbp_PlayType,"?*"))/(E65)))</f>
        <v/>
      </c>
      <c r="Y65" s="42" t="str">
        <f t="shared" si="7"/>
        <v/>
      </c>
      <c r="Z65" s="58" t="str">
        <f>IF($B65="","",IF((SUMPRODUCT(COUNTIFS(pbp_PlayType,EM_Type,pbp_Batter,$B65,pbp_On2B,"?*")*EM_AB)+SUMPRODUCT(COUNTIFS(pbp_PlayType,EM_Type,pbp_Batter,$B65,pbp_On2B,"",pbp_On3B,"?*")*EM_AB))=0,"",(SUMPRODUCT(COUNTIFS(pbp_PlayType,EM_Type,pbp_Batter,$B65,pbp_On2B,"?*")*EM_H)+SUMPRODUCT(COUNTIFS(pbp_PlayType,EM_Type,pbp_Batter,$B65,pbp_On2B,"",pbp_On3B,"?*")*EM_H))/(SUMPRODUCT(COUNTIFS(pbp_PlayType,EM_Type,pbp_Batter,$B65,pbp_On2B,"?*")*EM_AB)+SUMPRODUCT(COUNTIFS(pbp_PlayType,EM_Type,pbp_Batter,$B65,pbp_On2B,"",pbp_On3B,"?*")*EM_AB))))</f>
        <v/>
      </c>
      <c r="AA65" s="62" t="str">
        <f>IF($B65="","",IF(OR(E65&lt;MinPA,T65=""),"",COUNTIFS($E$6:$E$255,"&gt;="&amp;MinPA,$T$6:$T$255,"&gt;"&amp;T65)+COUNTIFS($E$5:E64,"&gt;="&amp;MinPA,$T$5:T64,T65)+1))</f>
        <v/>
      </c>
    </row>
    <row r="66" spans="2:27" x14ac:dyDescent="0.2">
      <c r="B66" s="44" t="str">
        <f t="array" ref="B66">IFERROR(INDEX(pbp_Batter,MATCH(0,COUNTIF($B$5:B65,pbp_Batter)+(pbp_Batter=""),0)),"")</f>
        <v/>
      </c>
      <c r="C66" s="61" t="str">
        <f>IF($B66="","",IFERROR(INDEX(pbp_BatTeam,MATCH($B66,pbp_Batter,0)),""))</f>
        <v/>
      </c>
      <c r="D66" s="61" t="str">
        <f>IF($B66="","",IFERROR(INDEX(pbp_BatHand,MATCH($B66,pbp_Batter,0)),""))</f>
        <v/>
      </c>
      <c r="E66" s="42" t="str">
        <f>IF($B66="","",SUMPRODUCT(COUNTIFS(pbp_PlayType,EM_Type,pbp_Batter,$B66)*EM_PA))</f>
        <v/>
      </c>
      <c r="F66" s="42" t="str">
        <f>IF($B66="","",SUMPRODUCT(COUNTIFS(pbp_PlayType,EM_Type,pbp_Batter,$B66)*EM_AB))</f>
        <v/>
      </c>
      <c r="G66" s="42" t="str">
        <f>IF($B66="","",SUMPRODUCT(COUNTIFS(pbp_PlayType,EM_Type,pbp_Batter,$B66)*EM_H))</f>
        <v/>
      </c>
      <c r="H66" s="42" t="str">
        <f>IF($B66="","",SUMPRODUCT(COUNTIFS(pbp_PlayType,EM_Type,pbp_Batter,$B66)*EM_2B))</f>
        <v/>
      </c>
      <c r="I66" s="42" t="str">
        <f>IF($B66="","",SUMPRODUCT(COUNTIFS(pbp_PlayType,EM_Type,pbp_Batter,$B66)*EM_3B))</f>
        <v/>
      </c>
      <c r="J66" s="42" t="str">
        <f>IF($B66="","",SUMPRODUCT(COUNTIFS(pbp_PlayType,EM_Type,pbp_Batter,$B66)*EM_HR))</f>
        <v/>
      </c>
      <c r="K66" s="42" t="str">
        <f>IF($B66="","",SUMPRODUCT(COUNTIFS(pbp_PlayType,EM_Type,pbp_Batter,$B66)*EM_1B))</f>
        <v/>
      </c>
      <c r="L66" s="42" t="str">
        <f>IF($B66="","",SUMPRODUCT(COUNTIFS(pbp_PlayType,EM_Type,pbp_Batter,$B66)*EM_BB))</f>
        <v/>
      </c>
      <c r="M66" s="42" t="str">
        <f>IF($B66="","",SUMPRODUCT(COUNTIFS(pbp_PlayType,EM_Type,pbp_Batter,$B66)*EM_HBP))</f>
        <v/>
      </c>
      <c r="N66" s="42" t="str">
        <f>IF($B66="","",COUNTIFS(pbp_PlayType,"?*",pbp_Desc,"*struck out*",pbp_Batter,$B66))</f>
        <v/>
      </c>
      <c r="O66" s="42" t="str">
        <f>IF($B66="","",SUMPRODUCT(COUNTIFS(pbp_PlayType,EM_Type,pbp_Batter,$B66)*EM_SF))</f>
        <v/>
      </c>
      <c r="P66" s="42" t="str">
        <f>IF($B66="","",SUMIFS(pbp_Runs,pbp_Batter,$B66))</f>
        <v/>
      </c>
      <c r="Q66" s="58" t="str">
        <f t="shared" si="0"/>
        <v/>
      </c>
      <c r="R66" s="58" t="str">
        <f t="shared" si="1"/>
        <v/>
      </c>
      <c r="S66" s="58" t="str">
        <f t="shared" si="2"/>
        <v/>
      </c>
      <c r="T66" s="58" t="str">
        <f t="shared" si="3"/>
        <v/>
      </c>
      <c r="U66" s="58" t="str">
        <f t="shared" si="4"/>
        <v/>
      </c>
      <c r="V66" s="59" t="str">
        <f t="shared" si="5"/>
        <v/>
      </c>
      <c r="W66" s="59" t="str">
        <f t="shared" si="6"/>
        <v/>
      </c>
      <c r="X66" s="60" t="str">
        <f>IF($B66="","",IF((E66)=0,"",(SUMIFS(pbp_Pitches,pbp_Batter,$B66,pbp_PlayType,"?*"))/(E66)))</f>
        <v/>
      </c>
      <c r="Y66" s="42" t="str">
        <f t="shared" si="7"/>
        <v/>
      </c>
      <c r="Z66" s="58" t="str">
        <f>IF($B66="","",IF((SUMPRODUCT(COUNTIFS(pbp_PlayType,EM_Type,pbp_Batter,$B66,pbp_On2B,"?*")*EM_AB)+SUMPRODUCT(COUNTIFS(pbp_PlayType,EM_Type,pbp_Batter,$B66,pbp_On2B,"",pbp_On3B,"?*")*EM_AB))=0,"",(SUMPRODUCT(COUNTIFS(pbp_PlayType,EM_Type,pbp_Batter,$B66,pbp_On2B,"?*")*EM_H)+SUMPRODUCT(COUNTIFS(pbp_PlayType,EM_Type,pbp_Batter,$B66,pbp_On2B,"",pbp_On3B,"?*")*EM_H))/(SUMPRODUCT(COUNTIFS(pbp_PlayType,EM_Type,pbp_Batter,$B66,pbp_On2B,"?*")*EM_AB)+SUMPRODUCT(COUNTIFS(pbp_PlayType,EM_Type,pbp_Batter,$B66,pbp_On2B,"",pbp_On3B,"?*")*EM_AB))))</f>
        <v/>
      </c>
      <c r="AA66" s="62" t="str">
        <f>IF($B66="","",IF(OR(E66&lt;MinPA,T66=""),"",COUNTIFS($E$6:$E$255,"&gt;="&amp;MinPA,$T$6:$T$255,"&gt;"&amp;T66)+COUNTIFS($E$5:E65,"&gt;="&amp;MinPA,$T$5:T65,T66)+1))</f>
        <v/>
      </c>
    </row>
    <row r="67" spans="2:27" x14ac:dyDescent="0.2">
      <c r="B67" s="44" t="str">
        <f t="array" ref="B67">IFERROR(INDEX(pbp_Batter,MATCH(0,COUNTIF($B$5:B66,pbp_Batter)+(pbp_Batter=""),0)),"")</f>
        <v/>
      </c>
      <c r="C67" s="61" t="str">
        <f>IF($B67="","",IFERROR(INDEX(pbp_BatTeam,MATCH($B67,pbp_Batter,0)),""))</f>
        <v/>
      </c>
      <c r="D67" s="61" t="str">
        <f>IF($B67="","",IFERROR(INDEX(pbp_BatHand,MATCH($B67,pbp_Batter,0)),""))</f>
        <v/>
      </c>
      <c r="E67" s="42" t="str">
        <f>IF($B67="","",SUMPRODUCT(COUNTIFS(pbp_PlayType,EM_Type,pbp_Batter,$B67)*EM_PA))</f>
        <v/>
      </c>
      <c r="F67" s="42" t="str">
        <f>IF($B67="","",SUMPRODUCT(COUNTIFS(pbp_PlayType,EM_Type,pbp_Batter,$B67)*EM_AB))</f>
        <v/>
      </c>
      <c r="G67" s="42" t="str">
        <f>IF($B67="","",SUMPRODUCT(COUNTIFS(pbp_PlayType,EM_Type,pbp_Batter,$B67)*EM_H))</f>
        <v/>
      </c>
      <c r="H67" s="42" t="str">
        <f>IF($B67="","",SUMPRODUCT(COUNTIFS(pbp_PlayType,EM_Type,pbp_Batter,$B67)*EM_2B))</f>
        <v/>
      </c>
      <c r="I67" s="42" t="str">
        <f>IF($B67="","",SUMPRODUCT(COUNTIFS(pbp_PlayType,EM_Type,pbp_Batter,$B67)*EM_3B))</f>
        <v/>
      </c>
      <c r="J67" s="42" t="str">
        <f>IF($B67="","",SUMPRODUCT(COUNTIFS(pbp_PlayType,EM_Type,pbp_Batter,$B67)*EM_HR))</f>
        <v/>
      </c>
      <c r="K67" s="42" t="str">
        <f>IF($B67="","",SUMPRODUCT(COUNTIFS(pbp_PlayType,EM_Type,pbp_Batter,$B67)*EM_1B))</f>
        <v/>
      </c>
      <c r="L67" s="42" t="str">
        <f>IF($B67="","",SUMPRODUCT(COUNTIFS(pbp_PlayType,EM_Type,pbp_Batter,$B67)*EM_BB))</f>
        <v/>
      </c>
      <c r="M67" s="42" t="str">
        <f>IF($B67="","",SUMPRODUCT(COUNTIFS(pbp_PlayType,EM_Type,pbp_Batter,$B67)*EM_HBP))</f>
        <v/>
      </c>
      <c r="N67" s="42" t="str">
        <f>IF($B67="","",COUNTIFS(pbp_PlayType,"?*",pbp_Desc,"*struck out*",pbp_Batter,$B67))</f>
        <v/>
      </c>
      <c r="O67" s="42" t="str">
        <f>IF($B67="","",SUMPRODUCT(COUNTIFS(pbp_PlayType,EM_Type,pbp_Batter,$B67)*EM_SF))</f>
        <v/>
      </c>
      <c r="P67" s="42" t="str">
        <f>IF($B67="","",SUMIFS(pbp_Runs,pbp_Batter,$B67))</f>
        <v/>
      </c>
      <c r="Q67" s="58" t="str">
        <f t="shared" si="0"/>
        <v/>
      </c>
      <c r="R67" s="58" t="str">
        <f t="shared" si="1"/>
        <v/>
      </c>
      <c r="S67" s="58" t="str">
        <f t="shared" si="2"/>
        <v/>
      </c>
      <c r="T67" s="58" t="str">
        <f t="shared" si="3"/>
        <v/>
      </c>
      <c r="U67" s="58" t="str">
        <f t="shared" si="4"/>
        <v/>
      </c>
      <c r="V67" s="59" t="str">
        <f t="shared" si="5"/>
        <v/>
      </c>
      <c r="W67" s="59" t="str">
        <f t="shared" si="6"/>
        <v/>
      </c>
      <c r="X67" s="60" t="str">
        <f>IF($B67="","",IF((E67)=0,"",(SUMIFS(pbp_Pitches,pbp_Batter,$B67,pbp_PlayType,"?*"))/(E67)))</f>
        <v/>
      </c>
      <c r="Y67" s="42" t="str">
        <f t="shared" si="7"/>
        <v/>
      </c>
      <c r="Z67" s="58" t="str">
        <f>IF($B67="","",IF((SUMPRODUCT(COUNTIFS(pbp_PlayType,EM_Type,pbp_Batter,$B67,pbp_On2B,"?*")*EM_AB)+SUMPRODUCT(COUNTIFS(pbp_PlayType,EM_Type,pbp_Batter,$B67,pbp_On2B,"",pbp_On3B,"?*")*EM_AB))=0,"",(SUMPRODUCT(COUNTIFS(pbp_PlayType,EM_Type,pbp_Batter,$B67,pbp_On2B,"?*")*EM_H)+SUMPRODUCT(COUNTIFS(pbp_PlayType,EM_Type,pbp_Batter,$B67,pbp_On2B,"",pbp_On3B,"?*")*EM_H))/(SUMPRODUCT(COUNTIFS(pbp_PlayType,EM_Type,pbp_Batter,$B67,pbp_On2B,"?*")*EM_AB)+SUMPRODUCT(COUNTIFS(pbp_PlayType,EM_Type,pbp_Batter,$B67,pbp_On2B,"",pbp_On3B,"?*")*EM_AB))))</f>
        <v/>
      </c>
      <c r="AA67" s="62" t="str">
        <f>IF($B67="","",IF(OR(E67&lt;MinPA,T67=""),"",COUNTIFS($E$6:$E$255,"&gt;="&amp;MinPA,$T$6:$T$255,"&gt;"&amp;T67)+COUNTIFS($E$5:E66,"&gt;="&amp;MinPA,$T$5:T66,T67)+1))</f>
        <v/>
      </c>
    </row>
    <row r="68" spans="2:27" x14ac:dyDescent="0.2">
      <c r="B68" s="44" t="str">
        <f t="array" ref="B68">IFERROR(INDEX(pbp_Batter,MATCH(0,COUNTIF($B$5:B67,pbp_Batter)+(pbp_Batter=""),0)),"")</f>
        <v/>
      </c>
      <c r="C68" s="61" t="str">
        <f>IF($B68="","",IFERROR(INDEX(pbp_BatTeam,MATCH($B68,pbp_Batter,0)),""))</f>
        <v/>
      </c>
      <c r="D68" s="61" t="str">
        <f>IF($B68="","",IFERROR(INDEX(pbp_BatHand,MATCH($B68,pbp_Batter,0)),""))</f>
        <v/>
      </c>
      <c r="E68" s="42" t="str">
        <f>IF($B68="","",SUMPRODUCT(COUNTIFS(pbp_PlayType,EM_Type,pbp_Batter,$B68)*EM_PA))</f>
        <v/>
      </c>
      <c r="F68" s="42" t="str">
        <f>IF($B68="","",SUMPRODUCT(COUNTIFS(pbp_PlayType,EM_Type,pbp_Batter,$B68)*EM_AB))</f>
        <v/>
      </c>
      <c r="G68" s="42" t="str">
        <f>IF($B68="","",SUMPRODUCT(COUNTIFS(pbp_PlayType,EM_Type,pbp_Batter,$B68)*EM_H))</f>
        <v/>
      </c>
      <c r="H68" s="42" t="str">
        <f>IF($B68="","",SUMPRODUCT(COUNTIFS(pbp_PlayType,EM_Type,pbp_Batter,$B68)*EM_2B))</f>
        <v/>
      </c>
      <c r="I68" s="42" t="str">
        <f>IF($B68="","",SUMPRODUCT(COUNTIFS(pbp_PlayType,EM_Type,pbp_Batter,$B68)*EM_3B))</f>
        <v/>
      </c>
      <c r="J68" s="42" t="str">
        <f>IF($B68="","",SUMPRODUCT(COUNTIFS(pbp_PlayType,EM_Type,pbp_Batter,$B68)*EM_HR))</f>
        <v/>
      </c>
      <c r="K68" s="42" t="str">
        <f>IF($B68="","",SUMPRODUCT(COUNTIFS(pbp_PlayType,EM_Type,pbp_Batter,$B68)*EM_1B))</f>
        <v/>
      </c>
      <c r="L68" s="42" t="str">
        <f>IF($B68="","",SUMPRODUCT(COUNTIFS(pbp_PlayType,EM_Type,pbp_Batter,$B68)*EM_BB))</f>
        <v/>
      </c>
      <c r="M68" s="42" t="str">
        <f>IF($B68="","",SUMPRODUCT(COUNTIFS(pbp_PlayType,EM_Type,pbp_Batter,$B68)*EM_HBP))</f>
        <v/>
      </c>
      <c r="N68" s="42" t="str">
        <f>IF($B68="","",COUNTIFS(pbp_PlayType,"?*",pbp_Desc,"*struck out*",pbp_Batter,$B68))</f>
        <v/>
      </c>
      <c r="O68" s="42" t="str">
        <f>IF($B68="","",SUMPRODUCT(COUNTIFS(pbp_PlayType,EM_Type,pbp_Batter,$B68)*EM_SF))</f>
        <v/>
      </c>
      <c r="P68" s="42" t="str">
        <f>IF($B68="","",SUMIFS(pbp_Runs,pbp_Batter,$B68))</f>
        <v/>
      </c>
      <c r="Q68" s="58" t="str">
        <f t="shared" si="0"/>
        <v/>
      </c>
      <c r="R68" s="58" t="str">
        <f t="shared" si="1"/>
        <v/>
      </c>
      <c r="S68" s="58" t="str">
        <f t="shared" si="2"/>
        <v/>
      </c>
      <c r="T68" s="58" t="str">
        <f t="shared" si="3"/>
        <v/>
      </c>
      <c r="U68" s="58" t="str">
        <f t="shared" si="4"/>
        <v/>
      </c>
      <c r="V68" s="59" t="str">
        <f t="shared" si="5"/>
        <v/>
      </c>
      <c r="W68" s="59" t="str">
        <f t="shared" si="6"/>
        <v/>
      </c>
      <c r="X68" s="60" t="str">
        <f>IF($B68="","",IF((E68)=0,"",(SUMIFS(pbp_Pitches,pbp_Batter,$B68,pbp_PlayType,"?*"))/(E68)))</f>
        <v/>
      </c>
      <c r="Y68" s="42" t="str">
        <f t="shared" si="7"/>
        <v/>
      </c>
      <c r="Z68" s="58" t="str">
        <f>IF($B68="","",IF((SUMPRODUCT(COUNTIFS(pbp_PlayType,EM_Type,pbp_Batter,$B68,pbp_On2B,"?*")*EM_AB)+SUMPRODUCT(COUNTIFS(pbp_PlayType,EM_Type,pbp_Batter,$B68,pbp_On2B,"",pbp_On3B,"?*")*EM_AB))=0,"",(SUMPRODUCT(COUNTIFS(pbp_PlayType,EM_Type,pbp_Batter,$B68,pbp_On2B,"?*")*EM_H)+SUMPRODUCT(COUNTIFS(pbp_PlayType,EM_Type,pbp_Batter,$B68,pbp_On2B,"",pbp_On3B,"?*")*EM_H))/(SUMPRODUCT(COUNTIFS(pbp_PlayType,EM_Type,pbp_Batter,$B68,pbp_On2B,"?*")*EM_AB)+SUMPRODUCT(COUNTIFS(pbp_PlayType,EM_Type,pbp_Batter,$B68,pbp_On2B,"",pbp_On3B,"?*")*EM_AB))))</f>
        <v/>
      </c>
      <c r="AA68" s="62" t="str">
        <f>IF($B68="","",IF(OR(E68&lt;MinPA,T68=""),"",COUNTIFS($E$6:$E$255,"&gt;="&amp;MinPA,$T$6:$T$255,"&gt;"&amp;T68)+COUNTIFS($E$5:E67,"&gt;="&amp;MinPA,$T$5:T67,T68)+1))</f>
        <v/>
      </c>
    </row>
    <row r="69" spans="2:27" x14ac:dyDescent="0.2">
      <c r="B69" s="44" t="str">
        <f t="array" ref="B69">IFERROR(INDEX(pbp_Batter,MATCH(0,COUNTIF($B$5:B68,pbp_Batter)+(pbp_Batter=""),0)),"")</f>
        <v/>
      </c>
      <c r="C69" s="61" t="str">
        <f>IF($B69="","",IFERROR(INDEX(pbp_BatTeam,MATCH($B69,pbp_Batter,0)),""))</f>
        <v/>
      </c>
      <c r="D69" s="61" t="str">
        <f>IF($B69="","",IFERROR(INDEX(pbp_BatHand,MATCH($B69,pbp_Batter,0)),""))</f>
        <v/>
      </c>
      <c r="E69" s="42" t="str">
        <f>IF($B69="","",SUMPRODUCT(COUNTIFS(pbp_PlayType,EM_Type,pbp_Batter,$B69)*EM_PA))</f>
        <v/>
      </c>
      <c r="F69" s="42" t="str">
        <f>IF($B69="","",SUMPRODUCT(COUNTIFS(pbp_PlayType,EM_Type,pbp_Batter,$B69)*EM_AB))</f>
        <v/>
      </c>
      <c r="G69" s="42" t="str">
        <f>IF($B69="","",SUMPRODUCT(COUNTIFS(pbp_PlayType,EM_Type,pbp_Batter,$B69)*EM_H))</f>
        <v/>
      </c>
      <c r="H69" s="42" t="str">
        <f>IF($B69="","",SUMPRODUCT(COUNTIFS(pbp_PlayType,EM_Type,pbp_Batter,$B69)*EM_2B))</f>
        <v/>
      </c>
      <c r="I69" s="42" t="str">
        <f>IF($B69="","",SUMPRODUCT(COUNTIFS(pbp_PlayType,EM_Type,pbp_Batter,$B69)*EM_3B))</f>
        <v/>
      </c>
      <c r="J69" s="42" t="str">
        <f>IF($B69="","",SUMPRODUCT(COUNTIFS(pbp_PlayType,EM_Type,pbp_Batter,$B69)*EM_HR))</f>
        <v/>
      </c>
      <c r="K69" s="42" t="str">
        <f>IF($B69="","",SUMPRODUCT(COUNTIFS(pbp_PlayType,EM_Type,pbp_Batter,$B69)*EM_1B))</f>
        <v/>
      </c>
      <c r="L69" s="42" t="str">
        <f>IF($B69="","",SUMPRODUCT(COUNTIFS(pbp_PlayType,EM_Type,pbp_Batter,$B69)*EM_BB))</f>
        <v/>
      </c>
      <c r="M69" s="42" t="str">
        <f>IF($B69="","",SUMPRODUCT(COUNTIFS(pbp_PlayType,EM_Type,pbp_Batter,$B69)*EM_HBP))</f>
        <v/>
      </c>
      <c r="N69" s="42" t="str">
        <f>IF($B69="","",COUNTIFS(pbp_PlayType,"?*",pbp_Desc,"*struck out*",pbp_Batter,$B69))</f>
        <v/>
      </c>
      <c r="O69" s="42" t="str">
        <f>IF($B69="","",SUMPRODUCT(COUNTIFS(pbp_PlayType,EM_Type,pbp_Batter,$B69)*EM_SF))</f>
        <v/>
      </c>
      <c r="P69" s="42" t="str">
        <f>IF($B69="","",SUMIFS(pbp_Runs,pbp_Batter,$B69))</f>
        <v/>
      </c>
      <c r="Q69" s="58" t="str">
        <f t="shared" si="0"/>
        <v/>
      </c>
      <c r="R69" s="58" t="str">
        <f t="shared" si="1"/>
        <v/>
      </c>
      <c r="S69" s="58" t="str">
        <f t="shared" si="2"/>
        <v/>
      </c>
      <c r="T69" s="58" t="str">
        <f t="shared" si="3"/>
        <v/>
      </c>
      <c r="U69" s="58" t="str">
        <f t="shared" si="4"/>
        <v/>
      </c>
      <c r="V69" s="59" t="str">
        <f t="shared" si="5"/>
        <v/>
      </c>
      <c r="W69" s="59" t="str">
        <f t="shared" si="6"/>
        <v/>
      </c>
      <c r="X69" s="60" t="str">
        <f>IF($B69="","",IF((E69)=0,"",(SUMIFS(pbp_Pitches,pbp_Batter,$B69,pbp_PlayType,"?*"))/(E69)))</f>
        <v/>
      </c>
      <c r="Y69" s="42" t="str">
        <f t="shared" si="7"/>
        <v/>
      </c>
      <c r="Z69" s="58" t="str">
        <f>IF($B69="","",IF((SUMPRODUCT(COUNTIFS(pbp_PlayType,EM_Type,pbp_Batter,$B69,pbp_On2B,"?*")*EM_AB)+SUMPRODUCT(COUNTIFS(pbp_PlayType,EM_Type,pbp_Batter,$B69,pbp_On2B,"",pbp_On3B,"?*")*EM_AB))=0,"",(SUMPRODUCT(COUNTIFS(pbp_PlayType,EM_Type,pbp_Batter,$B69,pbp_On2B,"?*")*EM_H)+SUMPRODUCT(COUNTIFS(pbp_PlayType,EM_Type,pbp_Batter,$B69,pbp_On2B,"",pbp_On3B,"?*")*EM_H))/(SUMPRODUCT(COUNTIFS(pbp_PlayType,EM_Type,pbp_Batter,$B69,pbp_On2B,"?*")*EM_AB)+SUMPRODUCT(COUNTIFS(pbp_PlayType,EM_Type,pbp_Batter,$B69,pbp_On2B,"",pbp_On3B,"?*")*EM_AB))))</f>
        <v/>
      </c>
      <c r="AA69" s="62" t="str">
        <f>IF($B69="","",IF(OR(E69&lt;MinPA,T69=""),"",COUNTIFS($E$6:$E$255,"&gt;="&amp;MinPA,$T$6:$T$255,"&gt;"&amp;T69)+COUNTIFS($E$5:E68,"&gt;="&amp;MinPA,$T$5:T68,T69)+1))</f>
        <v/>
      </c>
    </row>
    <row r="70" spans="2:27" x14ac:dyDescent="0.2">
      <c r="B70" s="44" t="str">
        <f t="array" ref="B70">IFERROR(INDEX(pbp_Batter,MATCH(0,COUNTIF($B$5:B69,pbp_Batter)+(pbp_Batter=""),0)),"")</f>
        <v/>
      </c>
      <c r="C70" s="61" t="str">
        <f>IF($B70="","",IFERROR(INDEX(pbp_BatTeam,MATCH($B70,pbp_Batter,0)),""))</f>
        <v/>
      </c>
      <c r="D70" s="61" t="str">
        <f>IF($B70="","",IFERROR(INDEX(pbp_BatHand,MATCH($B70,pbp_Batter,0)),""))</f>
        <v/>
      </c>
      <c r="E70" s="42" t="str">
        <f>IF($B70="","",SUMPRODUCT(COUNTIFS(pbp_PlayType,EM_Type,pbp_Batter,$B70)*EM_PA))</f>
        <v/>
      </c>
      <c r="F70" s="42" t="str">
        <f>IF($B70="","",SUMPRODUCT(COUNTIFS(pbp_PlayType,EM_Type,pbp_Batter,$B70)*EM_AB))</f>
        <v/>
      </c>
      <c r="G70" s="42" t="str">
        <f>IF($B70="","",SUMPRODUCT(COUNTIFS(pbp_PlayType,EM_Type,pbp_Batter,$B70)*EM_H))</f>
        <v/>
      </c>
      <c r="H70" s="42" t="str">
        <f>IF($B70="","",SUMPRODUCT(COUNTIFS(pbp_PlayType,EM_Type,pbp_Batter,$B70)*EM_2B))</f>
        <v/>
      </c>
      <c r="I70" s="42" t="str">
        <f>IF($B70="","",SUMPRODUCT(COUNTIFS(pbp_PlayType,EM_Type,pbp_Batter,$B70)*EM_3B))</f>
        <v/>
      </c>
      <c r="J70" s="42" t="str">
        <f>IF($B70="","",SUMPRODUCT(COUNTIFS(pbp_PlayType,EM_Type,pbp_Batter,$B70)*EM_HR))</f>
        <v/>
      </c>
      <c r="K70" s="42" t="str">
        <f>IF($B70="","",SUMPRODUCT(COUNTIFS(pbp_PlayType,EM_Type,pbp_Batter,$B70)*EM_1B))</f>
        <v/>
      </c>
      <c r="L70" s="42" t="str">
        <f>IF($B70="","",SUMPRODUCT(COUNTIFS(pbp_PlayType,EM_Type,pbp_Batter,$B70)*EM_BB))</f>
        <v/>
      </c>
      <c r="M70" s="42" t="str">
        <f>IF($B70="","",SUMPRODUCT(COUNTIFS(pbp_PlayType,EM_Type,pbp_Batter,$B70)*EM_HBP))</f>
        <v/>
      </c>
      <c r="N70" s="42" t="str">
        <f>IF($B70="","",COUNTIFS(pbp_PlayType,"?*",pbp_Desc,"*struck out*",pbp_Batter,$B70))</f>
        <v/>
      </c>
      <c r="O70" s="42" t="str">
        <f>IF($B70="","",SUMPRODUCT(COUNTIFS(pbp_PlayType,EM_Type,pbp_Batter,$B70)*EM_SF))</f>
        <v/>
      </c>
      <c r="P70" s="42" t="str">
        <f>IF($B70="","",SUMIFS(pbp_Runs,pbp_Batter,$B70))</f>
        <v/>
      </c>
      <c r="Q70" s="58" t="str">
        <f t="shared" ref="Q70:Q133" si="8">IF($B70="","",IF((F70)=0,"",(G70)/(F70)))</f>
        <v/>
      </c>
      <c r="R70" s="58" t="str">
        <f t="shared" ref="R70:R133" si="9">IF($B70="","",IF(((F70+L70+M70+O70))=0,"",((G70+L70+M70))/((F70+L70+M70+O70))))</f>
        <v/>
      </c>
      <c r="S70" s="58" t="str">
        <f t="shared" ref="S70:S133" si="10">IF($B70="","",IF((F70)=0,"",((K70+2*H70+3*I70+4*J70))/(F70)))</f>
        <v/>
      </c>
      <c r="T70" s="58" t="str">
        <f t="shared" ref="T70:T133" si="11">IF($B70="","",IF(F70=0,"",R70+S70))</f>
        <v/>
      </c>
      <c r="U70" s="58" t="str">
        <f t="shared" ref="U70:U133" si="12">IF($B70="","",IF(F70=0,"",S70-Q70))</f>
        <v/>
      </c>
      <c r="V70" s="59" t="str">
        <f t="shared" ref="V70:V133" si="13">IF($B70="","",IF((E70)=0,"",(N70)/(E70)))</f>
        <v/>
      </c>
      <c r="W70" s="59" t="str">
        <f t="shared" ref="W70:W133" si="14">IF($B70="","",IF((E70)=0,"",(L70)/(E70)))</f>
        <v/>
      </c>
      <c r="X70" s="60" t="str">
        <f>IF($B70="","",IF((E70)=0,"",(SUMIFS(pbp_Pitches,pbp_Batter,$B70,pbp_PlayType,"?*"))/(E70)))</f>
        <v/>
      </c>
      <c r="Y70" s="42" t="str">
        <f t="shared" ref="Y70:Y133" si="15">IF($B70="","",H70+I70+J70)</f>
        <v/>
      </c>
      <c r="Z70" s="58" t="str">
        <f>IF($B70="","",IF((SUMPRODUCT(COUNTIFS(pbp_PlayType,EM_Type,pbp_Batter,$B70,pbp_On2B,"?*")*EM_AB)+SUMPRODUCT(COUNTIFS(pbp_PlayType,EM_Type,pbp_Batter,$B70,pbp_On2B,"",pbp_On3B,"?*")*EM_AB))=0,"",(SUMPRODUCT(COUNTIFS(pbp_PlayType,EM_Type,pbp_Batter,$B70,pbp_On2B,"?*")*EM_H)+SUMPRODUCT(COUNTIFS(pbp_PlayType,EM_Type,pbp_Batter,$B70,pbp_On2B,"",pbp_On3B,"?*")*EM_H))/(SUMPRODUCT(COUNTIFS(pbp_PlayType,EM_Type,pbp_Batter,$B70,pbp_On2B,"?*")*EM_AB)+SUMPRODUCT(COUNTIFS(pbp_PlayType,EM_Type,pbp_Batter,$B70,pbp_On2B,"",pbp_On3B,"?*")*EM_AB))))</f>
        <v/>
      </c>
      <c r="AA70" s="62" t="str">
        <f>IF($B70="","",IF(OR(E70&lt;MinPA,T70=""),"",COUNTIFS($E$6:$E$255,"&gt;="&amp;MinPA,$T$6:$T$255,"&gt;"&amp;T70)+COUNTIFS($E$5:E69,"&gt;="&amp;MinPA,$T$5:T69,T70)+1))</f>
        <v/>
      </c>
    </row>
    <row r="71" spans="2:27" x14ac:dyDescent="0.2">
      <c r="B71" s="44" t="str">
        <f t="array" ref="B71">IFERROR(INDEX(pbp_Batter,MATCH(0,COUNTIF($B$5:B70,pbp_Batter)+(pbp_Batter=""),0)),"")</f>
        <v/>
      </c>
      <c r="C71" s="61" t="str">
        <f>IF($B71="","",IFERROR(INDEX(pbp_BatTeam,MATCH($B71,pbp_Batter,0)),""))</f>
        <v/>
      </c>
      <c r="D71" s="61" t="str">
        <f>IF($B71="","",IFERROR(INDEX(pbp_BatHand,MATCH($B71,pbp_Batter,0)),""))</f>
        <v/>
      </c>
      <c r="E71" s="42" t="str">
        <f>IF($B71="","",SUMPRODUCT(COUNTIFS(pbp_PlayType,EM_Type,pbp_Batter,$B71)*EM_PA))</f>
        <v/>
      </c>
      <c r="F71" s="42" t="str">
        <f>IF($B71="","",SUMPRODUCT(COUNTIFS(pbp_PlayType,EM_Type,pbp_Batter,$B71)*EM_AB))</f>
        <v/>
      </c>
      <c r="G71" s="42" t="str">
        <f>IF($B71="","",SUMPRODUCT(COUNTIFS(pbp_PlayType,EM_Type,pbp_Batter,$B71)*EM_H))</f>
        <v/>
      </c>
      <c r="H71" s="42" t="str">
        <f>IF($B71="","",SUMPRODUCT(COUNTIFS(pbp_PlayType,EM_Type,pbp_Batter,$B71)*EM_2B))</f>
        <v/>
      </c>
      <c r="I71" s="42" t="str">
        <f>IF($B71="","",SUMPRODUCT(COUNTIFS(pbp_PlayType,EM_Type,pbp_Batter,$B71)*EM_3B))</f>
        <v/>
      </c>
      <c r="J71" s="42" t="str">
        <f>IF($B71="","",SUMPRODUCT(COUNTIFS(pbp_PlayType,EM_Type,pbp_Batter,$B71)*EM_HR))</f>
        <v/>
      </c>
      <c r="K71" s="42" t="str">
        <f>IF($B71="","",SUMPRODUCT(COUNTIFS(pbp_PlayType,EM_Type,pbp_Batter,$B71)*EM_1B))</f>
        <v/>
      </c>
      <c r="L71" s="42" t="str">
        <f>IF($B71="","",SUMPRODUCT(COUNTIFS(pbp_PlayType,EM_Type,pbp_Batter,$B71)*EM_BB))</f>
        <v/>
      </c>
      <c r="M71" s="42" t="str">
        <f>IF($B71="","",SUMPRODUCT(COUNTIFS(pbp_PlayType,EM_Type,pbp_Batter,$B71)*EM_HBP))</f>
        <v/>
      </c>
      <c r="N71" s="42" t="str">
        <f>IF($B71="","",COUNTIFS(pbp_PlayType,"?*",pbp_Desc,"*struck out*",pbp_Batter,$B71))</f>
        <v/>
      </c>
      <c r="O71" s="42" t="str">
        <f>IF($B71="","",SUMPRODUCT(COUNTIFS(pbp_PlayType,EM_Type,pbp_Batter,$B71)*EM_SF))</f>
        <v/>
      </c>
      <c r="P71" s="42" t="str">
        <f>IF($B71="","",SUMIFS(pbp_Runs,pbp_Batter,$B71))</f>
        <v/>
      </c>
      <c r="Q71" s="58" t="str">
        <f t="shared" si="8"/>
        <v/>
      </c>
      <c r="R71" s="58" t="str">
        <f t="shared" si="9"/>
        <v/>
      </c>
      <c r="S71" s="58" t="str">
        <f t="shared" si="10"/>
        <v/>
      </c>
      <c r="T71" s="58" t="str">
        <f t="shared" si="11"/>
        <v/>
      </c>
      <c r="U71" s="58" t="str">
        <f t="shared" si="12"/>
        <v/>
      </c>
      <c r="V71" s="59" t="str">
        <f t="shared" si="13"/>
        <v/>
      </c>
      <c r="W71" s="59" t="str">
        <f t="shared" si="14"/>
        <v/>
      </c>
      <c r="X71" s="60" t="str">
        <f>IF($B71="","",IF((E71)=0,"",(SUMIFS(pbp_Pitches,pbp_Batter,$B71,pbp_PlayType,"?*"))/(E71)))</f>
        <v/>
      </c>
      <c r="Y71" s="42" t="str">
        <f t="shared" si="15"/>
        <v/>
      </c>
      <c r="Z71" s="58" t="str">
        <f>IF($B71="","",IF((SUMPRODUCT(COUNTIFS(pbp_PlayType,EM_Type,pbp_Batter,$B71,pbp_On2B,"?*")*EM_AB)+SUMPRODUCT(COUNTIFS(pbp_PlayType,EM_Type,pbp_Batter,$B71,pbp_On2B,"",pbp_On3B,"?*")*EM_AB))=0,"",(SUMPRODUCT(COUNTIFS(pbp_PlayType,EM_Type,pbp_Batter,$B71,pbp_On2B,"?*")*EM_H)+SUMPRODUCT(COUNTIFS(pbp_PlayType,EM_Type,pbp_Batter,$B71,pbp_On2B,"",pbp_On3B,"?*")*EM_H))/(SUMPRODUCT(COUNTIFS(pbp_PlayType,EM_Type,pbp_Batter,$B71,pbp_On2B,"?*")*EM_AB)+SUMPRODUCT(COUNTIFS(pbp_PlayType,EM_Type,pbp_Batter,$B71,pbp_On2B,"",pbp_On3B,"?*")*EM_AB))))</f>
        <v/>
      </c>
      <c r="AA71" s="62" t="str">
        <f>IF($B71="","",IF(OR(E71&lt;MinPA,T71=""),"",COUNTIFS($E$6:$E$255,"&gt;="&amp;MinPA,$T$6:$T$255,"&gt;"&amp;T71)+COUNTIFS($E$5:E70,"&gt;="&amp;MinPA,$T$5:T70,T71)+1))</f>
        <v/>
      </c>
    </row>
    <row r="72" spans="2:27" x14ac:dyDescent="0.2">
      <c r="B72" s="44" t="str">
        <f t="array" ref="B72">IFERROR(INDEX(pbp_Batter,MATCH(0,COUNTIF($B$5:B71,pbp_Batter)+(pbp_Batter=""),0)),"")</f>
        <v/>
      </c>
      <c r="C72" s="61" t="str">
        <f>IF($B72="","",IFERROR(INDEX(pbp_BatTeam,MATCH($B72,pbp_Batter,0)),""))</f>
        <v/>
      </c>
      <c r="D72" s="61" t="str">
        <f>IF($B72="","",IFERROR(INDEX(pbp_BatHand,MATCH($B72,pbp_Batter,0)),""))</f>
        <v/>
      </c>
      <c r="E72" s="42" t="str">
        <f>IF($B72="","",SUMPRODUCT(COUNTIFS(pbp_PlayType,EM_Type,pbp_Batter,$B72)*EM_PA))</f>
        <v/>
      </c>
      <c r="F72" s="42" t="str">
        <f>IF($B72="","",SUMPRODUCT(COUNTIFS(pbp_PlayType,EM_Type,pbp_Batter,$B72)*EM_AB))</f>
        <v/>
      </c>
      <c r="G72" s="42" t="str">
        <f>IF($B72="","",SUMPRODUCT(COUNTIFS(pbp_PlayType,EM_Type,pbp_Batter,$B72)*EM_H))</f>
        <v/>
      </c>
      <c r="H72" s="42" t="str">
        <f>IF($B72="","",SUMPRODUCT(COUNTIFS(pbp_PlayType,EM_Type,pbp_Batter,$B72)*EM_2B))</f>
        <v/>
      </c>
      <c r="I72" s="42" t="str">
        <f>IF($B72="","",SUMPRODUCT(COUNTIFS(pbp_PlayType,EM_Type,pbp_Batter,$B72)*EM_3B))</f>
        <v/>
      </c>
      <c r="J72" s="42" t="str">
        <f>IF($B72="","",SUMPRODUCT(COUNTIFS(pbp_PlayType,EM_Type,pbp_Batter,$B72)*EM_HR))</f>
        <v/>
      </c>
      <c r="K72" s="42" t="str">
        <f>IF($B72="","",SUMPRODUCT(COUNTIFS(pbp_PlayType,EM_Type,pbp_Batter,$B72)*EM_1B))</f>
        <v/>
      </c>
      <c r="L72" s="42" t="str">
        <f>IF($B72="","",SUMPRODUCT(COUNTIFS(pbp_PlayType,EM_Type,pbp_Batter,$B72)*EM_BB))</f>
        <v/>
      </c>
      <c r="M72" s="42" t="str">
        <f>IF($B72="","",SUMPRODUCT(COUNTIFS(pbp_PlayType,EM_Type,pbp_Batter,$B72)*EM_HBP))</f>
        <v/>
      </c>
      <c r="N72" s="42" t="str">
        <f>IF($B72="","",COUNTIFS(pbp_PlayType,"?*",pbp_Desc,"*struck out*",pbp_Batter,$B72))</f>
        <v/>
      </c>
      <c r="O72" s="42" t="str">
        <f>IF($B72="","",SUMPRODUCT(COUNTIFS(pbp_PlayType,EM_Type,pbp_Batter,$B72)*EM_SF))</f>
        <v/>
      </c>
      <c r="P72" s="42" t="str">
        <f>IF($B72="","",SUMIFS(pbp_Runs,pbp_Batter,$B72))</f>
        <v/>
      </c>
      <c r="Q72" s="58" t="str">
        <f t="shared" si="8"/>
        <v/>
      </c>
      <c r="R72" s="58" t="str">
        <f t="shared" si="9"/>
        <v/>
      </c>
      <c r="S72" s="58" t="str">
        <f t="shared" si="10"/>
        <v/>
      </c>
      <c r="T72" s="58" t="str">
        <f t="shared" si="11"/>
        <v/>
      </c>
      <c r="U72" s="58" t="str">
        <f t="shared" si="12"/>
        <v/>
      </c>
      <c r="V72" s="59" t="str">
        <f t="shared" si="13"/>
        <v/>
      </c>
      <c r="W72" s="59" t="str">
        <f t="shared" si="14"/>
        <v/>
      </c>
      <c r="X72" s="60" t="str">
        <f>IF($B72="","",IF((E72)=0,"",(SUMIFS(pbp_Pitches,pbp_Batter,$B72,pbp_PlayType,"?*"))/(E72)))</f>
        <v/>
      </c>
      <c r="Y72" s="42" t="str">
        <f t="shared" si="15"/>
        <v/>
      </c>
      <c r="Z72" s="58" t="str">
        <f>IF($B72="","",IF((SUMPRODUCT(COUNTIFS(pbp_PlayType,EM_Type,pbp_Batter,$B72,pbp_On2B,"?*")*EM_AB)+SUMPRODUCT(COUNTIFS(pbp_PlayType,EM_Type,pbp_Batter,$B72,pbp_On2B,"",pbp_On3B,"?*")*EM_AB))=0,"",(SUMPRODUCT(COUNTIFS(pbp_PlayType,EM_Type,pbp_Batter,$B72,pbp_On2B,"?*")*EM_H)+SUMPRODUCT(COUNTIFS(pbp_PlayType,EM_Type,pbp_Batter,$B72,pbp_On2B,"",pbp_On3B,"?*")*EM_H))/(SUMPRODUCT(COUNTIFS(pbp_PlayType,EM_Type,pbp_Batter,$B72,pbp_On2B,"?*")*EM_AB)+SUMPRODUCT(COUNTIFS(pbp_PlayType,EM_Type,pbp_Batter,$B72,pbp_On2B,"",pbp_On3B,"?*")*EM_AB))))</f>
        <v/>
      </c>
      <c r="AA72" s="62" t="str">
        <f>IF($B72="","",IF(OR(E72&lt;MinPA,T72=""),"",COUNTIFS($E$6:$E$255,"&gt;="&amp;MinPA,$T$6:$T$255,"&gt;"&amp;T72)+COUNTIFS($E$5:E71,"&gt;="&amp;MinPA,$T$5:T71,T72)+1))</f>
        <v/>
      </c>
    </row>
    <row r="73" spans="2:27" x14ac:dyDescent="0.2">
      <c r="B73" s="44" t="str">
        <f t="array" ref="B73">IFERROR(INDEX(pbp_Batter,MATCH(0,COUNTIF($B$5:B72,pbp_Batter)+(pbp_Batter=""),0)),"")</f>
        <v/>
      </c>
      <c r="C73" s="61" t="str">
        <f>IF($B73="","",IFERROR(INDEX(pbp_BatTeam,MATCH($B73,pbp_Batter,0)),""))</f>
        <v/>
      </c>
      <c r="D73" s="61" t="str">
        <f>IF($B73="","",IFERROR(INDEX(pbp_BatHand,MATCH($B73,pbp_Batter,0)),""))</f>
        <v/>
      </c>
      <c r="E73" s="42" t="str">
        <f>IF($B73="","",SUMPRODUCT(COUNTIFS(pbp_PlayType,EM_Type,pbp_Batter,$B73)*EM_PA))</f>
        <v/>
      </c>
      <c r="F73" s="42" t="str">
        <f>IF($B73="","",SUMPRODUCT(COUNTIFS(pbp_PlayType,EM_Type,pbp_Batter,$B73)*EM_AB))</f>
        <v/>
      </c>
      <c r="G73" s="42" t="str">
        <f>IF($B73="","",SUMPRODUCT(COUNTIFS(pbp_PlayType,EM_Type,pbp_Batter,$B73)*EM_H))</f>
        <v/>
      </c>
      <c r="H73" s="42" t="str">
        <f>IF($B73="","",SUMPRODUCT(COUNTIFS(pbp_PlayType,EM_Type,pbp_Batter,$B73)*EM_2B))</f>
        <v/>
      </c>
      <c r="I73" s="42" t="str">
        <f>IF($B73="","",SUMPRODUCT(COUNTIFS(pbp_PlayType,EM_Type,pbp_Batter,$B73)*EM_3B))</f>
        <v/>
      </c>
      <c r="J73" s="42" t="str">
        <f>IF($B73="","",SUMPRODUCT(COUNTIFS(pbp_PlayType,EM_Type,pbp_Batter,$B73)*EM_HR))</f>
        <v/>
      </c>
      <c r="K73" s="42" t="str">
        <f>IF($B73="","",SUMPRODUCT(COUNTIFS(pbp_PlayType,EM_Type,pbp_Batter,$B73)*EM_1B))</f>
        <v/>
      </c>
      <c r="L73" s="42" t="str">
        <f>IF($B73="","",SUMPRODUCT(COUNTIFS(pbp_PlayType,EM_Type,pbp_Batter,$B73)*EM_BB))</f>
        <v/>
      </c>
      <c r="M73" s="42" t="str">
        <f>IF($B73="","",SUMPRODUCT(COUNTIFS(pbp_PlayType,EM_Type,pbp_Batter,$B73)*EM_HBP))</f>
        <v/>
      </c>
      <c r="N73" s="42" t="str">
        <f>IF($B73="","",COUNTIFS(pbp_PlayType,"?*",pbp_Desc,"*struck out*",pbp_Batter,$B73))</f>
        <v/>
      </c>
      <c r="O73" s="42" t="str">
        <f>IF($B73="","",SUMPRODUCT(COUNTIFS(pbp_PlayType,EM_Type,pbp_Batter,$B73)*EM_SF))</f>
        <v/>
      </c>
      <c r="P73" s="42" t="str">
        <f>IF($B73="","",SUMIFS(pbp_Runs,pbp_Batter,$B73))</f>
        <v/>
      </c>
      <c r="Q73" s="58" t="str">
        <f t="shared" si="8"/>
        <v/>
      </c>
      <c r="R73" s="58" t="str">
        <f t="shared" si="9"/>
        <v/>
      </c>
      <c r="S73" s="58" t="str">
        <f t="shared" si="10"/>
        <v/>
      </c>
      <c r="T73" s="58" t="str">
        <f t="shared" si="11"/>
        <v/>
      </c>
      <c r="U73" s="58" t="str">
        <f t="shared" si="12"/>
        <v/>
      </c>
      <c r="V73" s="59" t="str">
        <f t="shared" si="13"/>
        <v/>
      </c>
      <c r="W73" s="59" t="str">
        <f t="shared" si="14"/>
        <v/>
      </c>
      <c r="X73" s="60" t="str">
        <f>IF($B73="","",IF((E73)=0,"",(SUMIFS(pbp_Pitches,pbp_Batter,$B73,pbp_PlayType,"?*"))/(E73)))</f>
        <v/>
      </c>
      <c r="Y73" s="42" t="str">
        <f t="shared" si="15"/>
        <v/>
      </c>
      <c r="Z73" s="58" t="str">
        <f>IF($B73="","",IF((SUMPRODUCT(COUNTIFS(pbp_PlayType,EM_Type,pbp_Batter,$B73,pbp_On2B,"?*")*EM_AB)+SUMPRODUCT(COUNTIFS(pbp_PlayType,EM_Type,pbp_Batter,$B73,pbp_On2B,"",pbp_On3B,"?*")*EM_AB))=0,"",(SUMPRODUCT(COUNTIFS(pbp_PlayType,EM_Type,pbp_Batter,$B73,pbp_On2B,"?*")*EM_H)+SUMPRODUCT(COUNTIFS(pbp_PlayType,EM_Type,pbp_Batter,$B73,pbp_On2B,"",pbp_On3B,"?*")*EM_H))/(SUMPRODUCT(COUNTIFS(pbp_PlayType,EM_Type,pbp_Batter,$B73,pbp_On2B,"?*")*EM_AB)+SUMPRODUCT(COUNTIFS(pbp_PlayType,EM_Type,pbp_Batter,$B73,pbp_On2B,"",pbp_On3B,"?*")*EM_AB))))</f>
        <v/>
      </c>
      <c r="AA73" s="62" t="str">
        <f>IF($B73="","",IF(OR(E73&lt;MinPA,T73=""),"",COUNTIFS($E$6:$E$255,"&gt;="&amp;MinPA,$T$6:$T$255,"&gt;"&amp;T73)+COUNTIFS($E$5:E72,"&gt;="&amp;MinPA,$T$5:T72,T73)+1))</f>
        <v/>
      </c>
    </row>
    <row r="74" spans="2:27" x14ac:dyDescent="0.2">
      <c r="B74" s="44" t="str">
        <f t="array" ref="B74">IFERROR(INDEX(pbp_Batter,MATCH(0,COUNTIF($B$5:B73,pbp_Batter)+(pbp_Batter=""),0)),"")</f>
        <v/>
      </c>
      <c r="C74" s="61" t="str">
        <f>IF($B74="","",IFERROR(INDEX(pbp_BatTeam,MATCH($B74,pbp_Batter,0)),""))</f>
        <v/>
      </c>
      <c r="D74" s="61" t="str">
        <f>IF($B74="","",IFERROR(INDEX(pbp_BatHand,MATCH($B74,pbp_Batter,0)),""))</f>
        <v/>
      </c>
      <c r="E74" s="42" t="str">
        <f>IF($B74="","",SUMPRODUCT(COUNTIFS(pbp_PlayType,EM_Type,pbp_Batter,$B74)*EM_PA))</f>
        <v/>
      </c>
      <c r="F74" s="42" t="str">
        <f>IF($B74="","",SUMPRODUCT(COUNTIFS(pbp_PlayType,EM_Type,pbp_Batter,$B74)*EM_AB))</f>
        <v/>
      </c>
      <c r="G74" s="42" t="str">
        <f>IF($B74="","",SUMPRODUCT(COUNTIFS(pbp_PlayType,EM_Type,pbp_Batter,$B74)*EM_H))</f>
        <v/>
      </c>
      <c r="H74" s="42" t="str">
        <f>IF($B74="","",SUMPRODUCT(COUNTIFS(pbp_PlayType,EM_Type,pbp_Batter,$B74)*EM_2B))</f>
        <v/>
      </c>
      <c r="I74" s="42" t="str">
        <f>IF($B74="","",SUMPRODUCT(COUNTIFS(pbp_PlayType,EM_Type,pbp_Batter,$B74)*EM_3B))</f>
        <v/>
      </c>
      <c r="J74" s="42" t="str">
        <f>IF($B74="","",SUMPRODUCT(COUNTIFS(pbp_PlayType,EM_Type,pbp_Batter,$B74)*EM_HR))</f>
        <v/>
      </c>
      <c r="K74" s="42" t="str">
        <f>IF($B74="","",SUMPRODUCT(COUNTIFS(pbp_PlayType,EM_Type,pbp_Batter,$B74)*EM_1B))</f>
        <v/>
      </c>
      <c r="L74" s="42" t="str">
        <f>IF($B74="","",SUMPRODUCT(COUNTIFS(pbp_PlayType,EM_Type,pbp_Batter,$B74)*EM_BB))</f>
        <v/>
      </c>
      <c r="M74" s="42" t="str">
        <f>IF($B74="","",SUMPRODUCT(COUNTIFS(pbp_PlayType,EM_Type,pbp_Batter,$B74)*EM_HBP))</f>
        <v/>
      </c>
      <c r="N74" s="42" t="str">
        <f>IF($B74="","",COUNTIFS(pbp_PlayType,"?*",pbp_Desc,"*struck out*",pbp_Batter,$B74))</f>
        <v/>
      </c>
      <c r="O74" s="42" t="str">
        <f>IF($B74="","",SUMPRODUCT(COUNTIFS(pbp_PlayType,EM_Type,pbp_Batter,$B74)*EM_SF))</f>
        <v/>
      </c>
      <c r="P74" s="42" t="str">
        <f>IF($B74="","",SUMIFS(pbp_Runs,pbp_Batter,$B74))</f>
        <v/>
      </c>
      <c r="Q74" s="58" t="str">
        <f t="shared" si="8"/>
        <v/>
      </c>
      <c r="R74" s="58" t="str">
        <f t="shared" si="9"/>
        <v/>
      </c>
      <c r="S74" s="58" t="str">
        <f t="shared" si="10"/>
        <v/>
      </c>
      <c r="T74" s="58" t="str">
        <f t="shared" si="11"/>
        <v/>
      </c>
      <c r="U74" s="58" t="str">
        <f t="shared" si="12"/>
        <v/>
      </c>
      <c r="V74" s="59" t="str">
        <f t="shared" si="13"/>
        <v/>
      </c>
      <c r="W74" s="59" t="str">
        <f t="shared" si="14"/>
        <v/>
      </c>
      <c r="X74" s="60" t="str">
        <f>IF($B74="","",IF((E74)=0,"",(SUMIFS(pbp_Pitches,pbp_Batter,$B74,pbp_PlayType,"?*"))/(E74)))</f>
        <v/>
      </c>
      <c r="Y74" s="42" t="str">
        <f t="shared" si="15"/>
        <v/>
      </c>
      <c r="Z74" s="58" t="str">
        <f>IF($B74="","",IF((SUMPRODUCT(COUNTIFS(pbp_PlayType,EM_Type,pbp_Batter,$B74,pbp_On2B,"?*")*EM_AB)+SUMPRODUCT(COUNTIFS(pbp_PlayType,EM_Type,pbp_Batter,$B74,pbp_On2B,"",pbp_On3B,"?*")*EM_AB))=0,"",(SUMPRODUCT(COUNTIFS(pbp_PlayType,EM_Type,pbp_Batter,$B74,pbp_On2B,"?*")*EM_H)+SUMPRODUCT(COUNTIFS(pbp_PlayType,EM_Type,pbp_Batter,$B74,pbp_On2B,"",pbp_On3B,"?*")*EM_H))/(SUMPRODUCT(COUNTIFS(pbp_PlayType,EM_Type,pbp_Batter,$B74,pbp_On2B,"?*")*EM_AB)+SUMPRODUCT(COUNTIFS(pbp_PlayType,EM_Type,pbp_Batter,$B74,pbp_On2B,"",pbp_On3B,"?*")*EM_AB))))</f>
        <v/>
      </c>
      <c r="AA74" s="62" t="str">
        <f>IF($B74="","",IF(OR(E74&lt;MinPA,T74=""),"",COUNTIFS($E$6:$E$255,"&gt;="&amp;MinPA,$T$6:$T$255,"&gt;"&amp;T74)+COUNTIFS($E$5:E73,"&gt;="&amp;MinPA,$T$5:T73,T74)+1))</f>
        <v/>
      </c>
    </row>
    <row r="75" spans="2:27" x14ac:dyDescent="0.2">
      <c r="B75" s="44" t="str">
        <f t="array" ref="B75">IFERROR(INDEX(pbp_Batter,MATCH(0,COUNTIF($B$5:B74,pbp_Batter)+(pbp_Batter=""),0)),"")</f>
        <v/>
      </c>
      <c r="C75" s="61" t="str">
        <f>IF($B75="","",IFERROR(INDEX(pbp_BatTeam,MATCH($B75,pbp_Batter,0)),""))</f>
        <v/>
      </c>
      <c r="D75" s="61" t="str">
        <f>IF($B75="","",IFERROR(INDEX(pbp_BatHand,MATCH($B75,pbp_Batter,0)),""))</f>
        <v/>
      </c>
      <c r="E75" s="42" t="str">
        <f>IF($B75="","",SUMPRODUCT(COUNTIFS(pbp_PlayType,EM_Type,pbp_Batter,$B75)*EM_PA))</f>
        <v/>
      </c>
      <c r="F75" s="42" t="str">
        <f>IF($B75="","",SUMPRODUCT(COUNTIFS(pbp_PlayType,EM_Type,pbp_Batter,$B75)*EM_AB))</f>
        <v/>
      </c>
      <c r="G75" s="42" t="str">
        <f>IF($B75="","",SUMPRODUCT(COUNTIFS(pbp_PlayType,EM_Type,pbp_Batter,$B75)*EM_H))</f>
        <v/>
      </c>
      <c r="H75" s="42" t="str">
        <f>IF($B75="","",SUMPRODUCT(COUNTIFS(pbp_PlayType,EM_Type,pbp_Batter,$B75)*EM_2B))</f>
        <v/>
      </c>
      <c r="I75" s="42" t="str">
        <f>IF($B75="","",SUMPRODUCT(COUNTIFS(pbp_PlayType,EM_Type,pbp_Batter,$B75)*EM_3B))</f>
        <v/>
      </c>
      <c r="J75" s="42" t="str">
        <f>IF($B75="","",SUMPRODUCT(COUNTIFS(pbp_PlayType,EM_Type,pbp_Batter,$B75)*EM_HR))</f>
        <v/>
      </c>
      <c r="K75" s="42" t="str">
        <f>IF($B75="","",SUMPRODUCT(COUNTIFS(pbp_PlayType,EM_Type,pbp_Batter,$B75)*EM_1B))</f>
        <v/>
      </c>
      <c r="L75" s="42" t="str">
        <f>IF($B75="","",SUMPRODUCT(COUNTIFS(pbp_PlayType,EM_Type,pbp_Batter,$B75)*EM_BB))</f>
        <v/>
      </c>
      <c r="M75" s="42" t="str">
        <f>IF($B75="","",SUMPRODUCT(COUNTIFS(pbp_PlayType,EM_Type,pbp_Batter,$B75)*EM_HBP))</f>
        <v/>
      </c>
      <c r="N75" s="42" t="str">
        <f>IF($B75="","",COUNTIFS(pbp_PlayType,"?*",pbp_Desc,"*struck out*",pbp_Batter,$B75))</f>
        <v/>
      </c>
      <c r="O75" s="42" t="str">
        <f>IF($B75="","",SUMPRODUCT(COUNTIFS(pbp_PlayType,EM_Type,pbp_Batter,$B75)*EM_SF))</f>
        <v/>
      </c>
      <c r="P75" s="42" t="str">
        <f>IF($B75="","",SUMIFS(pbp_Runs,pbp_Batter,$B75))</f>
        <v/>
      </c>
      <c r="Q75" s="58" t="str">
        <f t="shared" si="8"/>
        <v/>
      </c>
      <c r="R75" s="58" t="str">
        <f t="shared" si="9"/>
        <v/>
      </c>
      <c r="S75" s="58" t="str">
        <f t="shared" si="10"/>
        <v/>
      </c>
      <c r="T75" s="58" t="str">
        <f t="shared" si="11"/>
        <v/>
      </c>
      <c r="U75" s="58" t="str">
        <f t="shared" si="12"/>
        <v/>
      </c>
      <c r="V75" s="59" t="str">
        <f t="shared" si="13"/>
        <v/>
      </c>
      <c r="W75" s="59" t="str">
        <f t="shared" si="14"/>
        <v/>
      </c>
      <c r="X75" s="60" t="str">
        <f>IF($B75="","",IF((E75)=0,"",(SUMIFS(pbp_Pitches,pbp_Batter,$B75,pbp_PlayType,"?*"))/(E75)))</f>
        <v/>
      </c>
      <c r="Y75" s="42" t="str">
        <f t="shared" si="15"/>
        <v/>
      </c>
      <c r="Z75" s="58" t="str">
        <f>IF($B75="","",IF((SUMPRODUCT(COUNTIFS(pbp_PlayType,EM_Type,pbp_Batter,$B75,pbp_On2B,"?*")*EM_AB)+SUMPRODUCT(COUNTIFS(pbp_PlayType,EM_Type,pbp_Batter,$B75,pbp_On2B,"",pbp_On3B,"?*")*EM_AB))=0,"",(SUMPRODUCT(COUNTIFS(pbp_PlayType,EM_Type,pbp_Batter,$B75,pbp_On2B,"?*")*EM_H)+SUMPRODUCT(COUNTIFS(pbp_PlayType,EM_Type,pbp_Batter,$B75,pbp_On2B,"",pbp_On3B,"?*")*EM_H))/(SUMPRODUCT(COUNTIFS(pbp_PlayType,EM_Type,pbp_Batter,$B75,pbp_On2B,"?*")*EM_AB)+SUMPRODUCT(COUNTIFS(pbp_PlayType,EM_Type,pbp_Batter,$B75,pbp_On2B,"",pbp_On3B,"?*")*EM_AB))))</f>
        <v/>
      </c>
      <c r="AA75" s="62" t="str">
        <f>IF($B75="","",IF(OR(E75&lt;MinPA,T75=""),"",COUNTIFS($E$6:$E$255,"&gt;="&amp;MinPA,$T$6:$T$255,"&gt;"&amp;T75)+COUNTIFS($E$5:E74,"&gt;="&amp;MinPA,$T$5:T74,T75)+1))</f>
        <v/>
      </c>
    </row>
    <row r="76" spans="2:27" x14ac:dyDescent="0.2">
      <c r="B76" s="44" t="str">
        <f t="array" ref="B76">IFERROR(INDEX(pbp_Batter,MATCH(0,COUNTIF($B$5:B75,pbp_Batter)+(pbp_Batter=""),0)),"")</f>
        <v/>
      </c>
      <c r="C76" s="61" t="str">
        <f>IF($B76="","",IFERROR(INDEX(pbp_BatTeam,MATCH($B76,pbp_Batter,0)),""))</f>
        <v/>
      </c>
      <c r="D76" s="61" t="str">
        <f>IF($B76="","",IFERROR(INDEX(pbp_BatHand,MATCH($B76,pbp_Batter,0)),""))</f>
        <v/>
      </c>
      <c r="E76" s="42" t="str">
        <f>IF($B76="","",SUMPRODUCT(COUNTIFS(pbp_PlayType,EM_Type,pbp_Batter,$B76)*EM_PA))</f>
        <v/>
      </c>
      <c r="F76" s="42" t="str">
        <f>IF($B76="","",SUMPRODUCT(COUNTIFS(pbp_PlayType,EM_Type,pbp_Batter,$B76)*EM_AB))</f>
        <v/>
      </c>
      <c r="G76" s="42" t="str">
        <f>IF($B76="","",SUMPRODUCT(COUNTIFS(pbp_PlayType,EM_Type,pbp_Batter,$B76)*EM_H))</f>
        <v/>
      </c>
      <c r="H76" s="42" t="str">
        <f>IF($B76="","",SUMPRODUCT(COUNTIFS(pbp_PlayType,EM_Type,pbp_Batter,$B76)*EM_2B))</f>
        <v/>
      </c>
      <c r="I76" s="42" t="str">
        <f>IF($B76="","",SUMPRODUCT(COUNTIFS(pbp_PlayType,EM_Type,pbp_Batter,$B76)*EM_3B))</f>
        <v/>
      </c>
      <c r="J76" s="42" t="str">
        <f>IF($B76="","",SUMPRODUCT(COUNTIFS(pbp_PlayType,EM_Type,pbp_Batter,$B76)*EM_HR))</f>
        <v/>
      </c>
      <c r="K76" s="42" t="str">
        <f>IF($B76="","",SUMPRODUCT(COUNTIFS(pbp_PlayType,EM_Type,pbp_Batter,$B76)*EM_1B))</f>
        <v/>
      </c>
      <c r="L76" s="42" t="str">
        <f>IF($B76="","",SUMPRODUCT(COUNTIFS(pbp_PlayType,EM_Type,pbp_Batter,$B76)*EM_BB))</f>
        <v/>
      </c>
      <c r="M76" s="42" t="str">
        <f>IF($B76="","",SUMPRODUCT(COUNTIFS(pbp_PlayType,EM_Type,pbp_Batter,$B76)*EM_HBP))</f>
        <v/>
      </c>
      <c r="N76" s="42" t="str">
        <f>IF($B76="","",COUNTIFS(pbp_PlayType,"?*",pbp_Desc,"*struck out*",pbp_Batter,$B76))</f>
        <v/>
      </c>
      <c r="O76" s="42" t="str">
        <f>IF($B76="","",SUMPRODUCT(COUNTIFS(pbp_PlayType,EM_Type,pbp_Batter,$B76)*EM_SF))</f>
        <v/>
      </c>
      <c r="P76" s="42" t="str">
        <f>IF($B76="","",SUMIFS(pbp_Runs,pbp_Batter,$B76))</f>
        <v/>
      </c>
      <c r="Q76" s="58" t="str">
        <f t="shared" si="8"/>
        <v/>
      </c>
      <c r="R76" s="58" t="str">
        <f t="shared" si="9"/>
        <v/>
      </c>
      <c r="S76" s="58" t="str">
        <f t="shared" si="10"/>
        <v/>
      </c>
      <c r="T76" s="58" t="str">
        <f t="shared" si="11"/>
        <v/>
      </c>
      <c r="U76" s="58" t="str">
        <f t="shared" si="12"/>
        <v/>
      </c>
      <c r="V76" s="59" t="str">
        <f t="shared" si="13"/>
        <v/>
      </c>
      <c r="W76" s="59" t="str">
        <f t="shared" si="14"/>
        <v/>
      </c>
      <c r="X76" s="60" t="str">
        <f>IF($B76="","",IF((E76)=0,"",(SUMIFS(pbp_Pitches,pbp_Batter,$B76,pbp_PlayType,"?*"))/(E76)))</f>
        <v/>
      </c>
      <c r="Y76" s="42" t="str">
        <f t="shared" si="15"/>
        <v/>
      </c>
      <c r="Z76" s="58" t="str">
        <f>IF($B76="","",IF((SUMPRODUCT(COUNTIFS(pbp_PlayType,EM_Type,pbp_Batter,$B76,pbp_On2B,"?*")*EM_AB)+SUMPRODUCT(COUNTIFS(pbp_PlayType,EM_Type,pbp_Batter,$B76,pbp_On2B,"",pbp_On3B,"?*")*EM_AB))=0,"",(SUMPRODUCT(COUNTIFS(pbp_PlayType,EM_Type,pbp_Batter,$B76,pbp_On2B,"?*")*EM_H)+SUMPRODUCT(COUNTIFS(pbp_PlayType,EM_Type,pbp_Batter,$B76,pbp_On2B,"",pbp_On3B,"?*")*EM_H))/(SUMPRODUCT(COUNTIFS(pbp_PlayType,EM_Type,pbp_Batter,$B76,pbp_On2B,"?*")*EM_AB)+SUMPRODUCT(COUNTIFS(pbp_PlayType,EM_Type,pbp_Batter,$B76,pbp_On2B,"",pbp_On3B,"?*")*EM_AB))))</f>
        <v/>
      </c>
      <c r="AA76" s="62" t="str">
        <f>IF($B76="","",IF(OR(E76&lt;MinPA,T76=""),"",COUNTIFS($E$6:$E$255,"&gt;="&amp;MinPA,$T$6:$T$255,"&gt;"&amp;T76)+COUNTIFS($E$5:E75,"&gt;="&amp;MinPA,$T$5:T75,T76)+1))</f>
        <v/>
      </c>
    </row>
    <row r="77" spans="2:27" x14ac:dyDescent="0.2">
      <c r="B77" s="44" t="str">
        <f t="array" ref="B77">IFERROR(INDEX(pbp_Batter,MATCH(0,COUNTIF($B$5:B76,pbp_Batter)+(pbp_Batter=""),0)),"")</f>
        <v/>
      </c>
      <c r="C77" s="61" t="str">
        <f>IF($B77="","",IFERROR(INDEX(pbp_BatTeam,MATCH($B77,pbp_Batter,0)),""))</f>
        <v/>
      </c>
      <c r="D77" s="61" t="str">
        <f>IF($B77="","",IFERROR(INDEX(pbp_BatHand,MATCH($B77,pbp_Batter,0)),""))</f>
        <v/>
      </c>
      <c r="E77" s="42" t="str">
        <f>IF($B77="","",SUMPRODUCT(COUNTIFS(pbp_PlayType,EM_Type,pbp_Batter,$B77)*EM_PA))</f>
        <v/>
      </c>
      <c r="F77" s="42" t="str">
        <f>IF($B77="","",SUMPRODUCT(COUNTIFS(pbp_PlayType,EM_Type,pbp_Batter,$B77)*EM_AB))</f>
        <v/>
      </c>
      <c r="G77" s="42" t="str">
        <f>IF($B77="","",SUMPRODUCT(COUNTIFS(pbp_PlayType,EM_Type,pbp_Batter,$B77)*EM_H))</f>
        <v/>
      </c>
      <c r="H77" s="42" t="str">
        <f>IF($B77="","",SUMPRODUCT(COUNTIFS(pbp_PlayType,EM_Type,pbp_Batter,$B77)*EM_2B))</f>
        <v/>
      </c>
      <c r="I77" s="42" t="str">
        <f>IF($B77="","",SUMPRODUCT(COUNTIFS(pbp_PlayType,EM_Type,pbp_Batter,$B77)*EM_3B))</f>
        <v/>
      </c>
      <c r="J77" s="42" t="str">
        <f>IF($B77="","",SUMPRODUCT(COUNTIFS(pbp_PlayType,EM_Type,pbp_Batter,$B77)*EM_HR))</f>
        <v/>
      </c>
      <c r="K77" s="42" t="str">
        <f>IF($B77="","",SUMPRODUCT(COUNTIFS(pbp_PlayType,EM_Type,pbp_Batter,$B77)*EM_1B))</f>
        <v/>
      </c>
      <c r="L77" s="42" t="str">
        <f>IF($B77="","",SUMPRODUCT(COUNTIFS(pbp_PlayType,EM_Type,pbp_Batter,$B77)*EM_BB))</f>
        <v/>
      </c>
      <c r="M77" s="42" t="str">
        <f>IF($B77="","",SUMPRODUCT(COUNTIFS(pbp_PlayType,EM_Type,pbp_Batter,$B77)*EM_HBP))</f>
        <v/>
      </c>
      <c r="N77" s="42" t="str">
        <f>IF($B77="","",COUNTIFS(pbp_PlayType,"?*",pbp_Desc,"*struck out*",pbp_Batter,$B77))</f>
        <v/>
      </c>
      <c r="O77" s="42" t="str">
        <f>IF($B77="","",SUMPRODUCT(COUNTIFS(pbp_PlayType,EM_Type,pbp_Batter,$B77)*EM_SF))</f>
        <v/>
      </c>
      <c r="P77" s="42" t="str">
        <f>IF($B77="","",SUMIFS(pbp_Runs,pbp_Batter,$B77))</f>
        <v/>
      </c>
      <c r="Q77" s="58" t="str">
        <f t="shared" si="8"/>
        <v/>
      </c>
      <c r="R77" s="58" t="str">
        <f t="shared" si="9"/>
        <v/>
      </c>
      <c r="S77" s="58" t="str">
        <f t="shared" si="10"/>
        <v/>
      </c>
      <c r="T77" s="58" t="str">
        <f t="shared" si="11"/>
        <v/>
      </c>
      <c r="U77" s="58" t="str">
        <f t="shared" si="12"/>
        <v/>
      </c>
      <c r="V77" s="59" t="str">
        <f t="shared" si="13"/>
        <v/>
      </c>
      <c r="W77" s="59" t="str">
        <f t="shared" si="14"/>
        <v/>
      </c>
      <c r="X77" s="60" t="str">
        <f>IF($B77="","",IF((E77)=0,"",(SUMIFS(pbp_Pitches,pbp_Batter,$B77,pbp_PlayType,"?*"))/(E77)))</f>
        <v/>
      </c>
      <c r="Y77" s="42" t="str">
        <f t="shared" si="15"/>
        <v/>
      </c>
      <c r="Z77" s="58" t="str">
        <f>IF($B77="","",IF((SUMPRODUCT(COUNTIFS(pbp_PlayType,EM_Type,pbp_Batter,$B77,pbp_On2B,"?*")*EM_AB)+SUMPRODUCT(COUNTIFS(pbp_PlayType,EM_Type,pbp_Batter,$B77,pbp_On2B,"",pbp_On3B,"?*")*EM_AB))=0,"",(SUMPRODUCT(COUNTIFS(pbp_PlayType,EM_Type,pbp_Batter,$B77,pbp_On2B,"?*")*EM_H)+SUMPRODUCT(COUNTIFS(pbp_PlayType,EM_Type,pbp_Batter,$B77,pbp_On2B,"",pbp_On3B,"?*")*EM_H))/(SUMPRODUCT(COUNTIFS(pbp_PlayType,EM_Type,pbp_Batter,$B77,pbp_On2B,"?*")*EM_AB)+SUMPRODUCT(COUNTIFS(pbp_PlayType,EM_Type,pbp_Batter,$B77,pbp_On2B,"",pbp_On3B,"?*")*EM_AB))))</f>
        <v/>
      </c>
      <c r="AA77" s="62" t="str">
        <f>IF($B77="","",IF(OR(E77&lt;MinPA,T77=""),"",COUNTIFS($E$6:$E$255,"&gt;="&amp;MinPA,$T$6:$T$255,"&gt;"&amp;T77)+COUNTIFS($E$5:E76,"&gt;="&amp;MinPA,$T$5:T76,T77)+1))</f>
        <v/>
      </c>
    </row>
    <row r="78" spans="2:27" x14ac:dyDescent="0.2">
      <c r="B78" s="44" t="str">
        <f t="array" ref="B78">IFERROR(INDEX(pbp_Batter,MATCH(0,COUNTIF($B$5:B77,pbp_Batter)+(pbp_Batter=""),0)),"")</f>
        <v/>
      </c>
      <c r="C78" s="61" t="str">
        <f>IF($B78="","",IFERROR(INDEX(pbp_BatTeam,MATCH($B78,pbp_Batter,0)),""))</f>
        <v/>
      </c>
      <c r="D78" s="61" t="str">
        <f>IF($B78="","",IFERROR(INDEX(pbp_BatHand,MATCH($B78,pbp_Batter,0)),""))</f>
        <v/>
      </c>
      <c r="E78" s="42" t="str">
        <f>IF($B78="","",SUMPRODUCT(COUNTIFS(pbp_PlayType,EM_Type,pbp_Batter,$B78)*EM_PA))</f>
        <v/>
      </c>
      <c r="F78" s="42" t="str">
        <f>IF($B78="","",SUMPRODUCT(COUNTIFS(pbp_PlayType,EM_Type,pbp_Batter,$B78)*EM_AB))</f>
        <v/>
      </c>
      <c r="G78" s="42" t="str">
        <f>IF($B78="","",SUMPRODUCT(COUNTIFS(pbp_PlayType,EM_Type,pbp_Batter,$B78)*EM_H))</f>
        <v/>
      </c>
      <c r="H78" s="42" t="str">
        <f>IF($B78="","",SUMPRODUCT(COUNTIFS(pbp_PlayType,EM_Type,pbp_Batter,$B78)*EM_2B))</f>
        <v/>
      </c>
      <c r="I78" s="42" t="str">
        <f>IF($B78="","",SUMPRODUCT(COUNTIFS(pbp_PlayType,EM_Type,pbp_Batter,$B78)*EM_3B))</f>
        <v/>
      </c>
      <c r="J78" s="42" t="str">
        <f>IF($B78="","",SUMPRODUCT(COUNTIFS(pbp_PlayType,EM_Type,pbp_Batter,$B78)*EM_HR))</f>
        <v/>
      </c>
      <c r="K78" s="42" t="str">
        <f>IF($B78="","",SUMPRODUCT(COUNTIFS(pbp_PlayType,EM_Type,pbp_Batter,$B78)*EM_1B))</f>
        <v/>
      </c>
      <c r="L78" s="42" t="str">
        <f>IF($B78="","",SUMPRODUCT(COUNTIFS(pbp_PlayType,EM_Type,pbp_Batter,$B78)*EM_BB))</f>
        <v/>
      </c>
      <c r="M78" s="42" t="str">
        <f>IF($B78="","",SUMPRODUCT(COUNTIFS(pbp_PlayType,EM_Type,pbp_Batter,$B78)*EM_HBP))</f>
        <v/>
      </c>
      <c r="N78" s="42" t="str">
        <f>IF($B78="","",COUNTIFS(pbp_PlayType,"?*",pbp_Desc,"*struck out*",pbp_Batter,$B78))</f>
        <v/>
      </c>
      <c r="O78" s="42" t="str">
        <f>IF($B78="","",SUMPRODUCT(COUNTIFS(pbp_PlayType,EM_Type,pbp_Batter,$B78)*EM_SF))</f>
        <v/>
      </c>
      <c r="P78" s="42" t="str">
        <f>IF($B78="","",SUMIFS(pbp_Runs,pbp_Batter,$B78))</f>
        <v/>
      </c>
      <c r="Q78" s="58" t="str">
        <f t="shared" si="8"/>
        <v/>
      </c>
      <c r="R78" s="58" t="str">
        <f t="shared" si="9"/>
        <v/>
      </c>
      <c r="S78" s="58" t="str">
        <f t="shared" si="10"/>
        <v/>
      </c>
      <c r="T78" s="58" t="str">
        <f t="shared" si="11"/>
        <v/>
      </c>
      <c r="U78" s="58" t="str">
        <f t="shared" si="12"/>
        <v/>
      </c>
      <c r="V78" s="59" t="str">
        <f t="shared" si="13"/>
        <v/>
      </c>
      <c r="W78" s="59" t="str">
        <f t="shared" si="14"/>
        <v/>
      </c>
      <c r="X78" s="60" t="str">
        <f>IF($B78="","",IF((E78)=0,"",(SUMIFS(pbp_Pitches,pbp_Batter,$B78,pbp_PlayType,"?*"))/(E78)))</f>
        <v/>
      </c>
      <c r="Y78" s="42" t="str">
        <f t="shared" si="15"/>
        <v/>
      </c>
      <c r="Z78" s="58" t="str">
        <f>IF($B78="","",IF((SUMPRODUCT(COUNTIFS(pbp_PlayType,EM_Type,pbp_Batter,$B78,pbp_On2B,"?*")*EM_AB)+SUMPRODUCT(COUNTIFS(pbp_PlayType,EM_Type,pbp_Batter,$B78,pbp_On2B,"",pbp_On3B,"?*")*EM_AB))=0,"",(SUMPRODUCT(COUNTIFS(pbp_PlayType,EM_Type,pbp_Batter,$B78,pbp_On2B,"?*")*EM_H)+SUMPRODUCT(COUNTIFS(pbp_PlayType,EM_Type,pbp_Batter,$B78,pbp_On2B,"",pbp_On3B,"?*")*EM_H))/(SUMPRODUCT(COUNTIFS(pbp_PlayType,EM_Type,pbp_Batter,$B78,pbp_On2B,"?*")*EM_AB)+SUMPRODUCT(COUNTIFS(pbp_PlayType,EM_Type,pbp_Batter,$B78,pbp_On2B,"",pbp_On3B,"?*")*EM_AB))))</f>
        <v/>
      </c>
      <c r="AA78" s="62" t="str">
        <f>IF($B78="","",IF(OR(E78&lt;MinPA,T78=""),"",COUNTIFS($E$6:$E$255,"&gt;="&amp;MinPA,$T$6:$T$255,"&gt;"&amp;T78)+COUNTIFS($E$5:E77,"&gt;="&amp;MinPA,$T$5:T77,T78)+1))</f>
        <v/>
      </c>
    </row>
    <row r="79" spans="2:27" x14ac:dyDescent="0.2">
      <c r="B79" s="44" t="str">
        <f t="array" ref="B79">IFERROR(INDEX(pbp_Batter,MATCH(0,COUNTIF($B$5:B78,pbp_Batter)+(pbp_Batter=""),0)),"")</f>
        <v/>
      </c>
      <c r="C79" s="61" t="str">
        <f>IF($B79="","",IFERROR(INDEX(pbp_BatTeam,MATCH($B79,pbp_Batter,0)),""))</f>
        <v/>
      </c>
      <c r="D79" s="61" t="str">
        <f>IF($B79="","",IFERROR(INDEX(pbp_BatHand,MATCH($B79,pbp_Batter,0)),""))</f>
        <v/>
      </c>
      <c r="E79" s="42" t="str">
        <f>IF($B79="","",SUMPRODUCT(COUNTIFS(pbp_PlayType,EM_Type,pbp_Batter,$B79)*EM_PA))</f>
        <v/>
      </c>
      <c r="F79" s="42" t="str">
        <f>IF($B79="","",SUMPRODUCT(COUNTIFS(pbp_PlayType,EM_Type,pbp_Batter,$B79)*EM_AB))</f>
        <v/>
      </c>
      <c r="G79" s="42" t="str">
        <f>IF($B79="","",SUMPRODUCT(COUNTIFS(pbp_PlayType,EM_Type,pbp_Batter,$B79)*EM_H))</f>
        <v/>
      </c>
      <c r="H79" s="42" t="str">
        <f>IF($B79="","",SUMPRODUCT(COUNTIFS(pbp_PlayType,EM_Type,pbp_Batter,$B79)*EM_2B))</f>
        <v/>
      </c>
      <c r="I79" s="42" t="str">
        <f>IF($B79="","",SUMPRODUCT(COUNTIFS(pbp_PlayType,EM_Type,pbp_Batter,$B79)*EM_3B))</f>
        <v/>
      </c>
      <c r="J79" s="42" t="str">
        <f>IF($B79="","",SUMPRODUCT(COUNTIFS(pbp_PlayType,EM_Type,pbp_Batter,$B79)*EM_HR))</f>
        <v/>
      </c>
      <c r="K79" s="42" t="str">
        <f>IF($B79="","",SUMPRODUCT(COUNTIFS(pbp_PlayType,EM_Type,pbp_Batter,$B79)*EM_1B))</f>
        <v/>
      </c>
      <c r="L79" s="42" t="str">
        <f>IF($B79="","",SUMPRODUCT(COUNTIFS(pbp_PlayType,EM_Type,pbp_Batter,$B79)*EM_BB))</f>
        <v/>
      </c>
      <c r="M79" s="42" t="str">
        <f>IF($B79="","",SUMPRODUCT(COUNTIFS(pbp_PlayType,EM_Type,pbp_Batter,$B79)*EM_HBP))</f>
        <v/>
      </c>
      <c r="N79" s="42" t="str">
        <f>IF($B79="","",COUNTIFS(pbp_PlayType,"?*",pbp_Desc,"*struck out*",pbp_Batter,$B79))</f>
        <v/>
      </c>
      <c r="O79" s="42" t="str">
        <f>IF($B79="","",SUMPRODUCT(COUNTIFS(pbp_PlayType,EM_Type,pbp_Batter,$B79)*EM_SF))</f>
        <v/>
      </c>
      <c r="P79" s="42" t="str">
        <f>IF($B79="","",SUMIFS(pbp_Runs,pbp_Batter,$B79))</f>
        <v/>
      </c>
      <c r="Q79" s="58" t="str">
        <f t="shared" si="8"/>
        <v/>
      </c>
      <c r="R79" s="58" t="str">
        <f t="shared" si="9"/>
        <v/>
      </c>
      <c r="S79" s="58" t="str">
        <f t="shared" si="10"/>
        <v/>
      </c>
      <c r="T79" s="58" t="str">
        <f t="shared" si="11"/>
        <v/>
      </c>
      <c r="U79" s="58" t="str">
        <f t="shared" si="12"/>
        <v/>
      </c>
      <c r="V79" s="59" t="str">
        <f t="shared" si="13"/>
        <v/>
      </c>
      <c r="W79" s="59" t="str">
        <f t="shared" si="14"/>
        <v/>
      </c>
      <c r="X79" s="60" t="str">
        <f>IF($B79="","",IF((E79)=0,"",(SUMIFS(pbp_Pitches,pbp_Batter,$B79,pbp_PlayType,"?*"))/(E79)))</f>
        <v/>
      </c>
      <c r="Y79" s="42" t="str">
        <f t="shared" si="15"/>
        <v/>
      </c>
      <c r="Z79" s="58" t="str">
        <f>IF($B79="","",IF((SUMPRODUCT(COUNTIFS(pbp_PlayType,EM_Type,pbp_Batter,$B79,pbp_On2B,"?*")*EM_AB)+SUMPRODUCT(COUNTIFS(pbp_PlayType,EM_Type,pbp_Batter,$B79,pbp_On2B,"",pbp_On3B,"?*")*EM_AB))=0,"",(SUMPRODUCT(COUNTIFS(pbp_PlayType,EM_Type,pbp_Batter,$B79,pbp_On2B,"?*")*EM_H)+SUMPRODUCT(COUNTIFS(pbp_PlayType,EM_Type,pbp_Batter,$B79,pbp_On2B,"",pbp_On3B,"?*")*EM_H))/(SUMPRODUCT(COUNTIFS(pbp_PlayType,EM_Type,pbp_Batter,$B79,pbp_On2B,"?*")*EM_AB)+SUMPRODUCT(COUNTIFS(pbp_PlayType,EM_Type,pbp_Batter,$B79,pbp_On2B,"",pbp_On3B,"?*")*EM_AB))))</f>
        <v/>
      </c>
      <c r="AA79" s="62" t="str">
        <f>IF($B79="","",IF(OR(E79&lt;MinPA,T79=""),"",COUNTIFS($E$6:$E$255,"&gt;="&amp;MinPA,$T$6:$T$255,"&gt;"&amp;T79)+COUNTIFS($E$5:E78,"&gt;="&amp;MinPA,$T$5:T78,T79)+1))</f>
        <v/>
      </c>
    </row>
    <row r="80" spans="2:27" x14ac:dyDescent="0.2">
      <c r="B80" s="44" t="str">
        <f t="array" ref="B80">IFERROR(INDEX(pbp_Batter,MATCH(0,COUNTIF($B$5:B79,pbp_Batter)+(pbp_Batter=""),0)),"")</f>
        <v/>
      </c>
      <c r="C80" s="61" t="str">
        <f>IF($B80="","",IFERROR(INDEX(pbp_BatTeam,MATCH($B80,pbp_Batter,0)),""))</f>
        <v/>
      </c>
      <c r="D80" s="61" t="str">
        <f>IF($B80="","",IFERROR(INDEX(pbp_BatHand,MATCH($B80,pbp_Batter,0)),""))</f>
        <v/>
      </c>
      <c r="E80" s="42" t="str">
        <f>IF($B80="","",SUMPRODUCT(COUNTIFS(pbp_PlayType,EM_Type,pbp_Batter,$B80)*EM_PA))</f>
        <v/>
      </c>
      <c r="F80" s="42" t="str">
        <f>IF($B80="","",SUMPRODUCT(COUNTIFS(pbp_PlayType,EM_Type,pbp_Batter,$B80)*EM_AB))</f>
        <v/>
      </c>
      <c r="G80" s="42" t="str">
        <f>IF($B80="","",SUMPRODUCT(COUNTIFS(pbp_PlayType,EM_Type,pbp_Batter,$B80)*EM_H))</f>
        <v/>
      </c>
      <c r="H80" s="42" t="str">
        <f>IF($B80="","",SUMPRODUCT(COUNTIFS(pbp_PlayType,EM_Type,pbp_Batter,$B80)*EM_2B))</f>
        <v/>
      </c>
      <c r="I80" s="42" t="str">
        <f>IF($B80="","",SUMPRODUCT(COUNTIFS(pbp_PlayType,EM_Type,pbp_Batter,$B80)*EM_3B))</f>
        <v/>
      </c>
      <c r="J80" s="42" t="str">
        <f>IF($B80="","",SUMPRODUCT(COUNTIFS(pbp_PlayType,EM_Type,pbp_Batter,$B80)*EM_HR))</f>
        <v/>
      </c>
      <c r="K80" s="42" t="str">
        <f>IF($B80="","",SUMPRODUCT(COUNTIFS(pbp_PlayType,EM_Type,pbp_Batter,$B80)*EM_1B))</f>
        <v/>
      </c>
      <c r="L80" s="42" t="str">
        <f>IF($B80="","",SUMPRODUCT(COUNTIFS(pbp_PlayType,EM_Type,pbp_Batter,$B80)*EM_BB))</f>
        <v/>
      </c>
      <c r="M80" s="42" t="str">
        <f>IF($B80="","",SUMPRODUCT(COUNTIFS(pbp_PlayType,EM_Type,pbp_Batter,$B80)*EM_HBP))</f>
        <v/>
      </c>
      <c r="N80" s="42" t="str">
        <f>IF($B80="","",COUNTIFS(pbp_PlayType,"?*",pbp_Desc,"*struck out*",pbp_Batter,$B80))</f>
        <v/>
      </c>
      <c r="O80" s="42" t="str">
        <f>IF($B80="","",SUMPRODUCT(COUNTIFS(pbp_PlayType,EM_Type,pbp_Batter,$B80)*EM_SF))</f>
        <v/>
      </c>
      <c r="P80" s="42" t="str">
        <f>IF($B80="","",SUMIFS(pbp_Runs,pbp_Batter,$B80))</f>
        <v/>
      </c>
      <c r="Q80" s="58" t="str">
        <f t="shared" si="8"/>
        <v/>
      </c>
      <c r="R80" s="58" t="str">
        <f t="shared" si="9"/>
        <v/>
      </c>
      <c r="S80" s="58" t="str">
        <f t="shared" si="10"/>
        <v/>
      </c>
      <c r="T80" s="58" t="str">
        <f t="shared" si="11"/>
        <v/>
      </c>
      <c r="U80" s="58" t="str">
        <f t="shared" si="12"/>
        <v/>
      </c>
      <c r="V80" s="59" t="str">
        <f t="shared" si="13"/>
        <v/>
      </c>
      <c r="W80" s="59" t="str">
        <f t="shared" si="14"/>
        <v/>
      </c>
      <c r="X80" s="60" t="str">
        <f>IF($B80="","",IF((E80)=0,"",(SUMIFS(pbp_Pitches,pbp_Batter,$B80,pbp_PlayType,"?*"))/(E80)))</f>
        <v/>
      </c>
      <c r="Y80" s="42" t="str">
        <f t="shared" si="15"/>
        <v/>
      </c>
      <c r="Z80" s="58" t="str">
        <f>IF($B80="","",IF((SUMPRODUCT(COUNTIFS(pbp_PlayType,EM_Type,pbp_Batter,$B80,pbp_On2B,"?*")*EM_AB)+SUMPRODUCT(COUNTIFS(pbp_PlayType,EM_Type,pbp_Batter,$B80,pbp_On2B,"",pbp_On3B,"?*")*EM_AB))=0,"",(SUMPRODUCT(COUNTIFS(pbp_PlayType,EM_Type,pbp_Batter,$B80,pbp_On2B,"?*")*EM_H)+SUMPRODUCT(COUNTIFS(pbp_PlayType,EM_Type,pbp_Batter,$B80,pbp_On2B,"",pbp_On3B,"?*")*EM_H))/(SUMPRODUCT(COUNTIFS(pbp_PlayType,EM_Type,pbp_Batter,$B80,pbp_On2B,"?*")*EM_AB)+SUMPRODUCT(COUNTIFS(pbp_PlayType,EM_Type,pbp_Batter,$B80,pbp_On2B,"",pbp_On3B,"?*")*EM_AB))))</f>
        <v/>
      </c>
      <c r="AA80" s="62" t="str">
        <f>IF($B80="","",IF(OR(E80&lt;MinPA,T80=""),"",COUNTIFS($E$6:$E$255,"&gt;="&amp;MinPA,$T$6:$T$255,"&gt;"&amp;T80)+COUNTIFS($E$5:E79,"&gt;="&amp;MinPA,$T$5:T79,T80)+1))</f>
        <v/>
      </c>
    </row>
    <row r="81" spans="2:27" x14ac:dyDescent="0.2">
      <c r="B81" s="44" t="str">
        <f t="array" ref="B81">IFERROR(INDEX(pbp_Batter,MATCH(0,COUNTIF($B$5:B80,pbp_Batter)+(pbp_Batter=""),0)),"")</f>
        <v/>
      </c>
      <c r="C81" s="61" t="str">
        <f>IF($B81="","",IFERROR(INDEX(pbp_BatTeam,MATCH($B81,pbp_Batter,0)),""))</f>
        <v/>
      </c>
      <c r="D81" s="61" t="str">
        <f>IF($B81="","",IFERROR(INDEX(pbp_BatHand,MATCH($B81,pbp_Batter,0)),""))</f>
        <v/>
      </c>
      <c r="E81" s="42" t="str">
        <f>IF($B81="","",SUMPRODUCT(COUNTIFS(pbp_PlayType,EM_Type,pbp_Batter,$B81)*EM_PA))</f>
        <v/>
      </c>
      <c r="F81" s="42" t="str">
        <f>IF($B81="","",SUMPRODUCT(COUNTIFS(pbp_PlayType,EM_Type,pbp_Batter,$B81)*EM_AB))</f>
        <v/>
      </c>
      <c r="G81" s="42" t="str">
        <f>IF($B81="","",SUMPRODUCT(COUNTIFS(pbp_PlayType,EM_Type,pbp_Batter,$B81)*EM_H))</f>
        <v/>
      </c>
      <c r="H81" s="42" t="str">
        <f>IF($B81="","",SUMPRODUCT(COUNTIFS(pbp_PlayType,EM_Type,pbp_Batter,$B81)*EM_2B))</f>
        <v/>
      </c>
      <c r="I81" s="42" t="str">
        <f>IF($B81="","",SUMPRODUCT(COUNTIFS(pbp_PlayType,EM_Type,pbp_Batter,$B81)*EM_3B))</f>
        <v/>
      </c>
      <c r="J81" s="42" t="str">
        <f>IF($B81="","",SUMPRODUCT(COUNTIFS(pbp_PlayType,EM_Type,pbp_Batter,$B81)*EM_HR))</f>
        <v/>
      </c>
      <c r="K81" s="42" t="str">
        <f>IF($B81="","",SUMPRODUCT(COUNTIFS(pbp_PlayType,EM_Type,pbp_Batter,$B81)*EM_1B))</f>
        <v/>
      </c>
      <c r="L81" s="42" t="str">
        <f>IF($B81="","",SUMPRODUCT(COUNTIFS(pbp_PlayType,EM_Type,pbp_Batter,$B81)*EM_BB))</f>
        <v/>
      </c>
      <c r="M81" s="42" t="str">
        <f>IF($B81="","",SUMPRODUCT(COUNTIFS(pbp_PlayType,EM_Type,pbp_Batter,$B81)*EM_HBP))</f>
        <v/>
      </c>
      <c r="N81" s="42" t="str">
        <f>IF($B81="","",COUNTIFS(pbp_PlayType,"?*",pbp_Desc,"*struck out*",pbp_Batter,$B81))</f>
        <v/>
      </c>
      <c r="O81" s="42" t="str">
        <f>IF($B81="","",SUMPRODUCT(COUNTIFS(pbp_PlayType,EM_Type,pbp_Batter,$B81)*EM_SF))</f>
        <v/>
      </c>
      <c r="P81" s="42" t="str">
        <f>IF($B81="","",SUMIFS(pbp_Runs,pbp_Batter,$B81))</f>
        <v/>
      </c>
      <c r="Q81" s="58" t="str">
        <f t="shared" si="8"/>
        <v/>
      </c>
      <c r="R81" s="58" t="str">
        <f t="shared" si="9"/>
        <v/>
      </c>
      <c r="S81" s="58" t="str">
        <f t="shared" si="10"/>
        <v/>
      </c>
      <c r="T81" s="58" t="str">
        <f t="shared" si="11"/>
        <v/>
      </c>
      <c r="U81" s="58" t="str">
        <f t="shared" si="12"/>
        <v/>
      </c>
      <c r="V81" s="59" t="str">
        <f t="shared" si="13"/>
        <v/>
      </c>
      <c r="W81" s="59" t="str">
        <f t="shared" si="14"/>
        <v/>
      </c>
      <c r="X81" s="60" t="str">
        <f>IF($B81="","",IF((E81)=0,"",(SUMIFS(pbp_Pitches,pbp_Batter,$B81,pbp_PlayType,"?*"))/(E81)))</f>
        <v/>
      </c>
      <c r="Y81" s="42" t="str">
        <f t="shared" si="15"/>
        <v/>
      </c>
      <c r="Z81" s="58" t="str">
        <f>IF($B81="","",IF((SUMPRODUCT(COUNTIFS(pbp_PlayType,EM_Type,pbp_Batter,$B81,pbp_On2B,"?*")*EM_AB)+SUMPRODUCT(COUNTIFS(pbp_PlayType,EM_Type,pbp_Batter,$B81,pbp_On2B,"",pbp_On3B,"?*")*EM_AB))=0,"",(SUMPRODUCT(COUNTIFS(pbp_PlayType,EM_Type,pbp_Batter,$B81,pbp_On2B,"?*")*EM_H)+SUMPRODUCT(COUNTIFS(pbp_PlayType,EM_Type,pbp_Batter,$B81,pbp_On2B,"",pbp_On3B,"?*")*EM_H))/(SUMPRODUCT(COUNTIFS(pbp_PlayType,EM_Type,pbp_Batter,$B81,pbp_On2B,"?*")*EM_AB)+SUMPRODUCT(COUNTIFS(pbp_PlayType,EM_Type,pbp_Batter,$B81,pbp_On2B,"",pbp_On3B,"?*")*EM_AB))))</f>
        <v/>
      </c>
      <c r="AA81" s="62" t="str">
        <f>IF($B81="","",IF(OR(E81&lt;MinPA,T81=""),"",COUNTIFS($E$6:$E$255,"&gt;="&amp;MinPA,$T$6:$T$255,"&gt;"&amp;T81)+COUNTIFS($E$5:E80,"&gt;="&amp;MinPA,$T$5:T80,T81)+1))</f>
        <v/>
      </c>
    </row>
    <row r="82" spans="2:27" x14ac:dyDescent="0.2">
      <c r="B82" s="44" t="str">
        <f t="array" ref="B82">IFERROR(INDEX(pbp_Batter,MATCH(0,COUNTIF($B$5:B81,pbp_Batter)+(pbp_Batter=""),0)),"")</f>
        <v/>
      </c>
      <c r="C82" s="61" t="str">
        <f>IF($B82="","",IFERROR(INDEX(pbp_BatTeam,MATCH($B82,pbp_Batter,0)),""))</f>
        <v/>
      </c>
      <c r="D82" s="61" t="str">
        <f>IF($B82="","",IFERROR(INDEX(pbp_BatHand,MATCH($B82,pbp_Batter,0)),""))</f>
        <v/>
      </c>
      <c r="E82" s="42" t="str">
        <f>IF($B82="","",SUMPRODUCT(COUNTIFS(pbp_PlayType,EM_Type,pbp_Batter,$B82)*EM_PA))</f>
        <v/>
      </c>
      <c r="F82" s="42" t="str">
        <f>IF($B82="","",SUMPRODUCT(COUNTIFS(pbp_PlayType,EM_Type,pbp_Batter,$B82)*EM_AB))</f>
        <v/>
      </c>
      <c r="G82" s="42" t="str">
        <f>IF($B82="","",SUMPRODUCT(COUNTIFS(pbp_PlayType,EM_Type,pbp_Batter,$B82)*EM_H))</f>
        <v/>
      </c>
      <c r="H82" s="42" t="str">
        <f>IF($B82="","",SUMPRODUCT(COUNTIFS(pbp_PlayType,EM_Type,pbp_Batter,$B82)*EM_2B))</f>
        <v/>
      </c>
      <c r="I82" s="42" t="str">
        <f>IF($B82="","",SUMPRODUCT(COUNTIFS(pbp_PlayType,EM_Type,pbp_Batter,$B82)*EM_3B))</f>
        <v/>
      </c>
      <c r="J82" s="42" t="str">
        <f>IF($B82="","",SUMPRODUCT(COUNTIFS(pbp_PlayType,EM_Type,pbp_Batter,$B82)*EM_HR))</f>
        <v/>
      </c>
      <c r="K82" s="42" t="str">
        <f>IF($B82="","",SUMPRODUCT(COUNTIFS(pbp_PlayType,EM_Type,pbp_Batter,$B82)*EM_1B))</f>
        <v/>
      </c>
      <c r="L82" s="42" t="str">
        <f>IF($B82="","",SUMPRODUCT(COUNTIFS(pbp_PlayType,EM_Type,pbp_Batter,$B82)*EM_BB))</f>
        <v/>
      </c>
      <c r="M82" s="42" t="str">
        <f>IF($B82="","",SUMPRODUCT(COUNTIFS(pbp_PlayType,EM_Type,pbp_Batter,$B82)*EM_HBP))</f>
        <v/>
      </c>
      <c r="N82" s="42" t="str">
        <f>IF($B82="","",COUNTIFS(pbp_PlayType,"?*",pbp_Desc,"*struck out*",pbp_Batter,$B82))</f>
        <v/>
      </c>
      <c r="O82" s="42" t="str">
        <f>IF($B82="","",SUMPRODUCT(COUNTIFS(pbp_PlayType,EM_Type,pbp_Batter,$B82)*EM_SF))</f>
        <v/>
      </c>
      <c r="P82" s="42" t="str">
        <f>IF($B82="","",SUMIFS(pbp_Runs,pbp_Batter,$B82))</f>
        <v/>
      </c>
      <c r="Q82" s="58" t="str">
        <f t="shared" si="8"/>
        <v/>
      </c>
      <c r="R82" s="58" t="str">
        <f t="shared" si="9"/>
        <v/>
      </c>
      <c r="S82" s="58" t="str">
        <f t="shared" si="10"/>
        <v/>
      </c>
      <c r="T82" s="58" t="str">
        <f t="shared" si="11"/>
        <v/>
      </c>
      <c r="U82" s="58" t="str">
        <f t="shared" si="12"/>
        <v/>
      </c>
      <c r="V82" s="59" t="str">
        <f t="shared" si="13"/>
        <v/>
      </c>
      <c r="W82" s="59" t="str">
        <f t="shared" si="14"/>
        <v/>
      </c>
      <c r="X82" s="60" t="str">
        <f>IF($B82="","",IF((E82)=0,"",(SUMIFS(pbp_Pitches,pbp_Batter,$B82,pbp_PlayType,"?*"))/(E82)))</f>
        <v/>
      </c>
      <c r="Y82" s="42" t="str">
        <f t="shared" si="15"/>
        <v/>
      </c>
      <c r="Z82" s="58" t="str">
        <f>IF($B82="","",IF((SUMPRODUCT(COUNTIFS(pbp_PlayType,EM_Type,pbp_Batter,$B82,pbp_On2B,"?*")*EM_AB)+SUMPRODUCT(COUNTIFS(pbp_PlayType,EM_Type,pbp_Batter,$B82,pbp_On2B,"",pbp_On3B,"?*")*EM_AB))=0,"",(SUMPRODUCT(COUNTIFS(pbp_PlayType,EM_Type,pbp_Batter,$B82,pbp_On2B,"?*")*EM_H)+SUMPRODUCT(COUNTIFS(pbp_PlayType,EM_Type,pbp_Batter,$B82,pbp_On2B,"",pbp_On3B,"?*")*EM_H))/(SUMPRODUCT(COUNTIFS(pbp_PlayType,EM_Type,pbp_Batter,$B82,pbp_On2B,"?*")*EM_AB)+SUMPRODUCT(COUNTIFS(pbp_PlayType,EM_Type,pbp_Batter,$B82,pbp_On2B,"",pbp_On3B,"?*")*EM_AB))))</f>
        <v/>
      </c>
      <c r="AA82" s="62" t="str">
        <f>IF($B82="","",IF(OR(E82&lt;MinPA,T82=""),"",COUNTIFS($E$6:$E$255,"&gt;="&amp;MinPA,$T$6:$T$255,"&gt;"&amp;T82)+COUNTIFS($E$5:E81,"&gt;="&amp;MinPA,$T$5:T81,T82)+1))</f>
        <v/>
      </c>
    </row>
    <row r="83" spans="2:27" x14ac:dyDescent="0.2">
      <c r="B83" s="44" t="str">
        <f t="array" ref="B83">IFERROR(INDEX(pbp_Batter,MATCH(0,COUNTIF($B$5:B82,pbp_Batter)+(pbp_Batter=""),0)),"")</f>
        <v/>
      </c>
      <c r="C83" s="61" t="str">
        <f>IF($B83="","",IFERROR(INDEX(pbp_BatTeam,MATCH($B83,pbp_Batter,0)),""))</f>
        <v/>
      </c>
      <c r="D83" s="61" t="str">
        <f>IF($B83="","",IFERROR(INDEX(pbp_BatHand,MATCH($B83,pbp_Batter,0)),""))</f>
        <v/>
      </c>
      <c r="E83" s="42" t="str">
        <f>IF($B83="","",SUMPRODUCT(COUNTIFS(pbp_PlayType,EM_Type,pbp_Batter,$B83)*EM_PA))</f>
        <v/>
      </c>
      <c r="F83" s="42" t="str">
        <f>IF($B83="","",SUMPRODUCT(COUNTIFS(pbp_PlayType,EM_Type,pbp_Batter,$B83)*EM_AB))</f>
        <v/>
      </c>
      <c r="G83" s="42" t="str">
        <f>IF($B83="","",SUMPRODUCT(COUNTIFS(pbp_PlayType,EM_Type,pbp_Batter,$B83)*EM_H))</f>
        <v/>
      </c>
      <c r="H83" s="42" t="str">
        <f>IF($B83="","",SUMPRODUCT(COUNTIFS(pbp_PlayType,EM_Type,pbp_Batter,$B83)*EM_2B))</f>
        <v/>
      </c>
      <c r="I83" s="42" t="str">
        <f>IF($B83="","",SUMPRODUCT(COUNTIFS(pbp_PlayType,EM_Type,pbp_Batter,$B83)*EM_3B))</f>
        <v/>
      </c>
      <c r="J83" s="42" t="str">
        <f>IF($B83="","",SUMPRODUCT(COUNTIFS(pbp_PlayType,EM_Type,pbp_Batter,$B83)*EM_HR))</f>
        <v/>
      </c>
      <c r="K83" s="42" t="str">
        <f>IF($B83="","",SUMPRODUCT(COUNTIFS(pbp_PlayType,EM_Type,pbp_Batter,$B83)*EM_1B))</f>
        <v/>
      </c>
      <c r="L83" s="42" t="str">
        <f>IF($B83="","",SUMPRODUCT(COUNTIFS(pbp_PlayType,EM_Type,pbp_Batter,$B83)*EM_BB))</f>
        <v/>
      </c>
      <c r="M83" s="42" t="str">
        <f>IF($B83="","",SUMPRODUCT(COUNTIFS(pbp_PlayType,EM_Type,pbp_Batter,$B83)*EM_HBP))</f>
        <v/>
      </c>
      <c r="N83" s="42" t="str">
        <f>IF($B83="","",COUNTIFS(pbp_PlayType,"?*",pbp_Desc,"*struck out*",pbp_Batter,$B83))</f>
        <v/>
      </c>
      <c r="O83" s="42" t="str">
        <f>IF($B83="","",SUMPRODUCT(COUNTIFS(pbp_PlayType,EM_Type,pbp_Batter,$B83)*EM_SF))</f>
        <v/>
      </c>
      <c r="P83" s="42" t="str">
        <f>IF($B83="","",SUMIFS(pbp_Runs,pbp_Batter,$B83))</f>
        <v/>
      </c>
      <c r="Q83" s="58" t="str">
        <f t="shared" si="8"/>
        <v/>
      </c>
      <c r="R83" s="58" t="str">
        <f t="shared" si="9"/>
        <v/>
      </c>
      <c r="S83" s="58" t="str">
        <f t="shared" si="10"/>
        <v/>
      </c>
      <c r="T83" s="58" t="str">
        <f t="shared" si="11"/>
        <v/>
      </c>
      <c r="U83" s="58" t="str">
        <f t="shared" si="12"/>
        <v/>
      </c>
      <c r="V83" s="59" t="str">
        <f t="shared" si="13"/>
        <v/>
      </c>
      <c r="W83" s="59" t="str">
        <f t="shared" si="14"/>
        <v/>
      </c>
      <c r="X83" s="60" t="str">
        <f>IF($B83="","",IF((E83)=0,"",(SUMIFS(pbp_Pitches,pbp_Batter,$B83,pbp_PlayType,"?*"))/(E83)))</f>
        <v/>
      </c>
      <c r="Y83" s="42" t="str">
        <f t="shared" si="15"/>
        <v/>
      </c>
      <c r="Z83" s="58" t="str">
        <f>IF($B83="","",IF((SUMPRODUCT(COUNTIFS(pbp_PlayType,EM_Type,pbp_Batter,$B83,pbp_On2B,"?*")*EM_AB)+SUMPRODUCT(COUNTIFS(pbp_PlayType,EM_Type,pbp_Batter,$B83,pbp_On2B,"",pbp_On3B,"?*")*EM_AB))=0,"",(SUMPRODUCT(COUNTIFS(pbp_PlayType,EM_Type,pbp_Batter,$B83,pbp_On2B,"?*")*EM_H)+SUMPRODUCT(COUNTIFS(pbp_PlayType,EM_Type,pbp_Batter,$B83,pbp_On2B,"",pbp_On3B,"?*")*EM_H))/(SUMPRODUCT(COUNTIFS(pbp_PlayType,EM_Type,pbp_Batter,$B83,pbp_On2B,"?*")*EM_AB)+SUMPRODUCT(COUNTIFS(pbp_PlayType,EM_Type,pbp_Batter,$B83,pbp_On2B,"",pbp_On3B,"?*")*EM_AB))))</f>
        <v/>
      </c>
      <c r="AA83" s="62" t="str">
        <f>IF($B83="","",IF(OR(E83&lt;MinPA,T83=""),"",COUNTIFS($E$6:$E$255,"&gt;="&amp;MinPA,$T$6:$T$255,"&gt;"&amp;T83)+COUNTIFS($E$5:E82,"&gt;="&amp;MinPA,$T$5:T82,T83)+1))</f>
        <v/>
      </c>
    </row>
    <row r="84" spans="2:27" x14ac:dyDescent="0.2">
      <c r="B84" s="44" t="str">
        <f t="array" ref="B84">IFERROR(INDEX(pbp_Batter,MATCH(0,COUNTIF($B$5:B83,pbp_Batter)+(pbp_Batter=""),0)),"")</f>
        <v/>
      </c>
      <c r="C84" s="61" t="str">
        <f>IF($B84="","",IFERROR(INDEX(pbp_BatTeam,MATCH($B84,pbp_Batter,0)),""))</f>
        <v/>
      </c>
      <c r="D84" s="61" t="str">
        <f>IF($B84="","",IFERROR(INDEX(pbp_BatHand,MATCH($B84,pbp_Batter,0)),""))</f>
        <v/>
      </c>
      <c r="E84" s="42" t="str">
        <f>IF($B84="","",SUMPRODUCT(COUNTIFS(pbp_PlayType,EM_Type,pbp_Batter,$B84)*EM_PA))</f>
        <v/>
      </c>
      <c r="F84" s="42" t="str">
        <f>IF($B84="","",SUMPRODUCT(COUNTIFS(pbp_PlayType,EM_Type,pbp_Batter,$B84)*EM_AB))</f>
        <v/>
      </c>
      <c r="G84" s="42" t="str">
        <f>IF($B84="","",SUMPRODUCT(COUNTIFS(pbp_PlayType,EM_Type,pbp_Batter,$B84)*EM_H))</f>
        <v/>
      </c>
      <c r="H84" s="42" t="str">
        <f>IF($B84="","",SUMPRODUCT(COUNTIFS(pbp_PlayType,EM_Type,pbp_Batter,$B84)*EM_2B))</f>
        <v/>
      </c>
      <c r="I84" s="42" t="str">
        <f>IF($B84="","",SUMPRODUCT(COUNTIFS(pbp_PlayType,EM_Type,pbp_Batter,$B84)*EM_3B))</f>
        <v/>
      </c>
      <c r="J84" s="42" t="str">
        <f>IF($B84="","",SUMPRODUCT(COUNTIFS(pbp_PlayType,EM_Type,pbp_Batter,$B84)*EM_HR))</f>
        <v/>
      </c>
      <c r="K84" s="42" t="str">
        <f>IF($B84="","",SUMPRODUCT(COUNTIFS(pbp_PlayType,EM_Type,pbp_Batter,$B84)*EM_1B))</f>
        <v/>
      </c>
      <c r="L84" s="42" t="str">
        <f>IF($B84="","",SUMPRODUCT(COUNTIFS(pbp_PlayType,EM_Type,pbp_Batter,$B84)*EM_BB))</f>
        <v/>
      </c>
      <c r="M84" s="42" t="str">
        <f>IF($B84="","",SUMPRODUCT(COUNTIFS(pbp_PlayType,EM_Type,pbp_Batter,$B84)*EM_HBP))</f>
        <v/>
      </c>
      <c r="N84" s="42" t="str">
        <f>IF($B84="","",COUNTIFS(pbp_PlayType,"?*",pbp_Desc,"*struck out*",pbp_Batter,$B84))</f>
        <v/>
      </c>
      <c r="O84" s="42" t="str">
        <f>IF($B84="","",SUMPRODUCT(COUNTIFS(pbp_PlayType,EM_Type,pbp_Batter,$B84)*EM_SF))</f>
        <v/>
      </c>
      <c r="P84" s="42" t="str">
        <f>IF($B84="","",SUMIFS(pbp_Runs,pbp_Batter,$B84))</f>
        <v/>
      </c>
      <c r="Q84" s="58" t="str">
        <f t="shared" si="8"/>
        <v/>
      </c>
      <c r="R84" s="58" t="str">
        <f t="shared" si="9"/>
        <v/>
      </c>
      <c r="S84" s="58" t="str">
        <f t="shared" si="10"/>
        <v/>
      </c>
      <c r="T84" s="58" t="str">
        <f t="shared" si="11"/>
        <v/>
      </c>
      <c r="U84" s="58" t="str">
        <f t="shared" si="12"/>
        <v/>
      </c>
      <c r="V84" s="59" t="str">
        <f t="shared" si="13"/>
        <v/>
      </c>
      <c r="W84" s="59" t="str">
        <f t="shared" si="14"/>
        <v/>
      </c>
      <c r="X84" s="60" t="str">
        <f>IF($B84="","",IF((E84)=0,"",(SUMIFS(pbp_Pitches,pbp_Batter,$B84,pbp_PlayType,"?*"))/(E84)))</f>
        <v/>
      </c>
      <c r="Y84" s="42" t="str">
        <f t="shared" si="15"/>
        <v/>
      </c>
      <c r="Z84" s="58" t="str">
        <f>IF($B84="","",IF((SUMPRODUCT(COUNTIFS(pbp_PlayType,EM_Type,pbp_Batter,$B84,pbp_On2B,"?*")*EM_AB)+SUMPRODUCT(COUNTIFS(pbp_PlayType,EM_Type,pbp_Batter,$B84,pbp_On2B,"",pbp_On3B,"?*")*EM_AB))=0,"",(SUMPRODUCT(COUNTIFS(pbp_PlayType,EM_Type,pbp_Batter,$B84,pbp_On2B,"?*")*EM_H)+SUMPRODUCT(COUNTIFS(pbp_PlayType,EM_Type,pbp_Batter,$B84,pbp_On2B,"",pbp_On3B,"?*")*EM_H))/(SUMPRODUCT(COUNTIFS(pbp_PlayType,EM_Type,pbp_Batter,$B84,pbp_On2B,"?*")*EM_AB)+SUMPRODUCT(COUNTIFS(pbp_PlayType,EM_Type,pbp_Batter,$B84,pbp_On2B,"",pbp_On3B,"?*")*EM_AB))))</f>
        <v/>
      </c>
      <c r="AA84" s="62" t="str">
        <f>IF($B84="","",IF(OR(E84&lt;MinPA,T84=""),"",COUNTIFS($E$6:$E$255,"&gt;="&amp;MinPA,$T$6:$T$255,"&gt;"&amp;T84)+COUNTIFS($E$5:E83,"&gt;="&amp;MinPA,$T$5:T83,T84)+1))</f>
        <v/>
      </c>
    </row>
    <row r="85" spans="2:27" x14ac:dyDescent="0.2">
      <c r="B85" s="44" t="str">
        <f t="array" ref="B85">IFERROR(INDEX(pbp_Batter,MATCH(0,COUNTIF($B$5:B84,pbp_Batter)+(pbp_Batter=""),0)),"")</f>
        <v/>
      </c>
      <c r="C85" s="61" t="str">
        <f>IF($B85="","",IFERROR(INDEX(pbp_BatTeam,MATCH($B85,pbp_Batter,0)),""))</f>
        <v/>
      </c>
      <c r="D85" s="61" t="str">
        <f>IF($B85="","",IFERROR(INDEX(pbp_BatHand,MATCH($B85,pbp_Batter,0)),""))</f>
        <v/>
      </c>
      <c r="E85" s="42" t="str">
        <f>IF($B85="","",SUMPRODUCT(COUNTIFS(pbp_PlayType,EM_Type,pbp_Batter,$B85)*EM_PA))</f>
        <v/>
      </c>
      <c r="F85" s="42" t="str">
        <f>IF($B85="","",SUMPRODUCT(COUNTIFS(pbp_PlayType,EM_Type,pbp_Batter,$B85)*EM_AB))</f>
        <v/>
      </c>
      <c r="G85" s="42" t="str">
        <f>IF($B85="","",SUMPRODUCT(COUNTIFS(pbp_PlayType,EM_Type,pbp_Batter,$B85)*EM_H))</f>
        <v/>
      </c>
      <c r="H85" s="42" t="str">
        <f>IF($B85="","",SUMPRODUCT(COUNTIFS(pbp_PlayType,EM_Type,pbp_Batter,$B85)*EM_2B))</f>
        <v/>
      </c>
      <c r="I85" s="42" t="str">
        <f>IF($B85="","",SUMPRODUCT(COUNTIFS(pbp_PlayType,EM_Type,pbp_Batter,$B85)*EM_3B))</f>
        <v/>
      </c>
      <c r="J85" s="42" t="str">
        <f>IF($B85="","",SUMPRODUCT(COUNTIFS(pbp_PlayType,EM_Type,pbp_Batter,$B85)*EM_HR))</f>
        <v/>
      </c>
      <c r="K85" s="42" t="str">
        <f>IF($B85="","",SUMPRODUCT(COUNTIFS(pbp_PlayType,EM_Type,pbp_Batter,$B85)*EM_1B))</f>
        <v/>
      </c>
      <c r="L85" s="42" t="str">
        <f>IF($B85="","",SUMPRODUCT(COUNTIFS(pbp_PlayType,EM_Type,pbp_Batter,$B85)*EM_BB))</f>
        <v/>
      </c>
      <c r="M85" s="42" t="str">
        <f>IF($B85="","",SUMPRODUCT(COUNTIFS(pbp_PlayType,EM_Type,pbp_Batter,$B85)*EM_HBP))</f>
        <v/>
      </c>
      <c r="N85" s="42" t="str">
        <f>IF($B85="","",COUNTIFS(pbp_PlayType,"?*",pbp_Desc,"*struck out*",pbp_Batter,$B85))</f>
        <v/>
      </c>
      <c r="O85" s="42" t="str">
        <f>IF($B85="","",SUMPRODUCT(COUNTIFS(pbp_PlayType,EM_Type,pbp_Batter,$B85)*EM_SF))</f>
        <v/>
      </c>
      <c r="P85" s="42" t="str">
        <f>IF($B85="","",SUMIFS(pbp_Runs,pbp_Batter,$B85))</f>
        <v/>
      </c>
      <c r="Q85" s="58" t="str">
        <f t="shared" si="8"/>
        <v/>
      </c>
      <c r="R85" s="58" t="str">
        <f t="shared" si="9"/>
        <v/>
      </c>
      <c r="S85" s="58" t="str">
        <f t="shared" si="10"/>
        <v/>
      </c>
      <c r="T85" s="58" t="str">
        <f t="shared" si="11"/>
        <v/>
      </c>
      <c r="U85" s="58" t="str">
        <f t="shared" si="12"/>
        <v/>
      </c>
      <c r="V85" s="59" t="str">
        <f t="shared" si="13"/>
        <v/>
      </c>
      <c r="W85" s="59" t="str">
        <f t="shared" si="14"/>
        <v/>
      </c>
      <c r="X85" s="60" t="str">
        <f>IF($B85="","",IF((E85)=0,"",(SUMIFS(pbp_Pitches,pbp_Batter,$B85,pbp_PlayType,"?*"))/(E85)))</f>
        <v/>
      </c>
      <c r="Y85" s="42" t="str">
        <f t="shared" si="15"/>
        <v/>
      </c>
      <c r="Z85" s="58" t="str">
        <f>IF($B85="","",IF((SUMPRODUCT(COUNTIFS(pbp_PlayType,EM_Type,pbp_Batter,$B85,pbp_On2B,"?*")*EM_AB)+SUMPRODUCT(COUNTIFS(pbp_PlayType,EM_Type,pbp_Batter,$B85,pbp_On2B,"",pbp_On3B,"?*")*EM_AB))=0,"",(SUMPRODUCT(COUNTIFS(pbp_PlayType,EM_Type,pbp_Batter,$B85,pbp_On2B,"?*")*EM_H)+SUMPRODUCT(COUNTIFS(pbp_PlayType,EM_Type,pbp_Batter,$B85,pbp_On2B,"",pbp_On3B,"?*")*EM_H))/(SUMPRODUCT(COUNTIFS(pbp_PlayType,EM_Type,pbp_Batter,$B85,pbp_On2B,"?*")*EM_AB)+SUMPRODUCT(COUNTIFS(pbp_PlayType,EM_Type,pbp_Batter,$B85,pbp_On2B,"",pbp_On3B,"?*")*EM_AB))))</f>
        <v/>
      </c>
      <c r="AA85" s="62" t="str">
        <f>IF($B85="","",IF(OR(E85&lt;MinPA,T85=""),"",COUNTIFS($E$6:$E$255,"&gt;="&amp;MinPA,$T$6:$T$255,"&gt;"&amp;T85)+COUNTIFS($E$5:E84,"&gt;="&amp;MinPA,$T$5:T84,T85)+1))</f>
        <v/>
      </c>
    </row>
    <row r="86" spans="2:27" x14ac:dyDescent="0.2">
      <c r="B86" s="44" t="str">
        <f t="array" ref="B86">IFERROR(INDEX(pbp_Batter,MATCH(0,COUNTIF($B$5:B85,pbp_Batter)+(pbp_Batter=""),0)),"")</f>
        <v/>
      </c>
      <c r="C86" s="61" t="str">
        <f>IF($B86="","",IFERROR(INDEX(pbp_BatTeam,MATCH($B86,pbp_Batter,0)),""))</f>
        <v/>
      </c>
      <c r="D86" s="61" t="str">
        <f>IF($B86="","",IFERROR(INDEX(pbp_BatHand,MATCH($B86,pbp_Batter,0)),""))</f>
        <v/>
      </c>
      <c r="E86" s="42" t="str">
        <f>IF($B86="","",SUMPRODUCT(COUNTIFS(pbp_PlayType,EM_Type,pbp_Batter,$B86)*EM_PA))</f>
        <v/>
      </c>
      <c r="F86" s="42" t="str">
        <f>IF($B86="","",SUMPRODUCT(COUNTIFS(pbp_PlayType,EM_Type,pbp_Batter,$B86)*EM_AB))</f>
        <v/>
      </c>
      <c r="G86" s="42" t="str">
        <f>IF($B86="","",SUMPRODUCT(COUNTIFS(pbp_PlayType,EM_Type,pbp_Batter,$B86)*EM_H))</f>
        <v/>
      </c>
      <c r="H86" s="42" t="str">
        <f>IF($B86="","",SUMPRODUCT(COUNTIFS(pbp_PlayType,EM_Type,pbp_Batter,$B86)*EM_2B))</f>
        <v/>
      </c>
      <c r="I86" s="42" t="str">
        <f>IF($B86="","",SUMPRODUCT(COUNTIFS(pbp_PlayType,EM_Type,pbp_Batter,$B86)*EM_3B))</f>
        <v/>
      </c>
      <c r="J86" s="42" t="str">
        <f>IF($B86="","",SUMPRODUCT(COUNTIFS(pbp_PlayType,EM_Type,pbp_Batter,$B86)*EM_HR))</f>
        <v/>
      </c>
      <c r="K86" s="42" t="str">
        <f>IF($B86="","",SUMPRODUCT(COUNTIFS(pbp_PlayType,EM_Type,pbp_Batter,$B86)*EM_1B))</f>
        <v/>
      </c>
      <c r="L86" s="42" t="str">
        <f>IF($B86="","",SUMPRODUCT(COUNTIFS(pbp_PlayType,EM_Type,pbp_Batter,$B86)*EM_BB))</f>
        <v/>
      </c>
      <c r="M86" s="42" t="str">
        <f>IF($B86="","",SUMPRODUCT(COUNTIFS(pbp_PlayType,EM_Type,pbp_Batter,$B86)*EM_HBP))</f>
        <v/>
      </c>
      <c r="N86" s="42" t="str">
        <f>IF($B86="","",COUNTIFS(pbp_PlayType,"?*",pbp_Desc,"*struck out*",pbp_Batter,$B86))</f>
        <v/>
      </c>
      <c r="O86" s="42" t="str">
        <f>IF($B86="","",SUMPRODUCT(COUNTIFS(pbp_PlayType,EM_Type,pbp_Batter,$B86)*EM_SF))</f>
        <v/>
      </c>
      <c r="P86" s="42" t="str">
        <f>IF($B86="","",SUMIFS(pbp_Runs,pbp_Batter,$B86))</f>
        <v/>
      </c>
      <c r="Q86" s="58" t="str">
        <f t="shared" si="8"/>
        <v/>
      </c>
      <c r="R86" s="58" t="str">
        <f t="shared" si="9"/>
        <v/>
      </c>
      <c r="S86" s="58" t="str">
        <f t="shared" si="10"/>
        <v/>
      </c>
      <c r="T86" s="58" t="str">
        <f t="shared" si="11"/>
        <v/>
      </c>
      <c r="U86" s="58" t="str">
        <f t="shared" si="12"/>
        <v/>
      </c>
      <c r="V86" s="59" t="str">
        <f t="shared" si="13"/>
        <v/>
      </c>
      <c r="W86" s="59" t="str">
        <f t="shared" si="14"/>
        <v/>
      </c>
      <c r="X86" s="60" t="str">
        <f>IF($B86="","",IF((E86)=0,"",(SUMIFS(pbp_Pitches,pbp_Batter,$B86,pbp_PlayType,"?*"))/(E86)))</f>
        <v/>
      </c>
      <c r="Y86" s="42" t="str">
        <f t="shared" si="15"/>
        <v/>
      </c>
      <c r="Z86" s="58" t="str">
        <f>IF($B86="","",IF((SUMPRODUCT(COUNTIFS(pbp_PlayType,EM_Type,pbp_Batter,$B86,pbp_On2B,"?*")*EM_AB)+SUMPRODUCT(COUNTIFS(pbp_PlayType,EM_Type,pbp_Batter,$B86,pbp_On2B,"",pbp_On3B,"?*")*EM_AB))=0,"",(SUMPRODUCT(COUNTIFS(pbp_PlayType,EM_Type,pbp_Batter,$B86,pbp_On2B,"?*")*EM_H)+SUMPRODUCT(COUNTIFS(pbp_PlayType,EM_Type,pbp_Batter,$B86,pbp_On2B,"",pbp_On3B,"?*")*EM_H))/(SUMPRODUCT(COUNTIFS(pbp_PlayType,EM_Type,pbp_Batter,$B86,pbp_On2B,"?*")*EM_AB)+SUMPRODUCT(COUNTIFS(pbp_PlayType,EM_Type,pbp_Batter,$B86,pbp_On2B,"",pbp_On3B,"?*")*EM_AB))))</f>
        <v/>
      </c>
      <c r="AA86" s="62" t="str">
        <f>IF($B86="","",IF(OR(E86&lt;MinPA,T86=""),"",COUNTIFS($E$6:$E$255,"&gt;="&amp;MinPA,$T$6:$T$255,"&gt;"&amp;T86)+COUNTIFS($E$5:E85,"&gt;="&amp;MinPA,$T$5:T85,T86)+1))</f>
        <v/>
      </c>
    </row>
    <row r="87" spans="2:27" x14ac:dyDescent="0.2">
      <c r="B87" s="44" t="str">
        <f t="array" ref="B87">IFERROR(INDEX(pbp_Batter,MATCH(0,COUNTIF($B$5:B86,pbp_Batter)+(pbp_Batter=""),0)),"")</f>
        <v/>
      </c>
      <c r="C87" s="61" t="str">
        <f>IF($B87="","",IFERROR(INDEX(pbp_BatTeam,MATCH($B87,pbp_Batter,0)),""))</f>
        <v/>
      </c>
      <c r="D87" s="61" t="str">
        <f>IF($B87="","",IFERROR(INDEX(pbp_BatHand,MATCH($B87,pbp_Batter,0)),""))</f>
        <v/>
      </c>
      <c r="E87" s="42" t="str">
        <f>IF($B87="","",SUMPRODUCT(COUNTIFS(pbp_PlayType,EM_Type,pbp_Batter,$B87)*EM_PA))</f>
        <v/>
      </c>
      <c r="F87" s="42" t="str">
        <f>IF($B87="","",SUMPRODUCT(COUNTIFS(pbp_PlayType,EM_Type,pbp_Batter,$B87)*EM_AB))</f>
        <v/>
      </c>
      <c r="G87" s="42" t="str">
        <f>IF($B87="","",SUMPRODUCT(COUNTIFS(pbp_PlayType,EM_Type,pbp_Batter,$B87)*EM_H))</f>
        <v/>
      </c>
      <c r="H87" s="42" t="str">
        <f>IF($B87="","",SUMPRODUCT(COUNTIFS(pbp_PlayType,EM_Type,pbp_Batter,$B87)*EM_2B))</f>
        <v/>
      </c>
      <c r="I87" s="42" t="str">
        <f>IF($B87="","",SUMPRODUCT(COUNTIFS(pbp_PlayType,EM_Type,pbp_Batter,$B87)*EM_3B))</f>
        <v/>
      </c>
      <c r="J87" s="42" t="str">
        <f>IF($B87="","",SUMPRODUCT(COUNTIFS(pbp_PlayType,EM_Type,pbp_Batter,$B87)*EM_HR))</f>
        <v/>
      </c>
      <c r="K87" s="42" t="str">
        <f>IF($B87="","",SUMPRODUCT(COUNTIFS(pbp_PlayType,EM_Type,pbp_Batter,$B87)*EM_1B))</f>
        <v/>
      </c>
      <c r="L87" s="42" t="str">
        <f>IF($B87="","",SUMPRODUCT(COUNTIFS(pbp_PlayType,EM_Type,pbp_Batter,$B87)*EM_BB))</f>
        <v/>
      </c>
      <c r="M87" s="42" t="str">
        <f>IF($B87="","",SUMPRODUCT(COUNTIFS(pbp_PlayType,EM_Type,pbp_Batter,$B87)*EM_HBP))</f>
        <v/>
      </c>
      <c r="N87" s="42" t="str">
        <f>IF($B87="","",COUNTIFS(pbp_PlayType,"?*",pbp_Desc,"*struck out*",pbp_Batter,$B87))</f>
        <v/>
      </c>
      <c r="O87" s="42" t="str">
        <f>IF($B87="","",SUMPRODUCT(COUNTIFS(pbp_PlayType,EM_Type,pbp_Batter,$B87)*EM_SF))</f>
        <v/>
      </c>
      <c r="P87" s="42" t="str">
        <f>IF($B87="","",SUMIFS(pbp_Runs,pbp_Batter,$B87))</f>
        <v/>
      </c>
      <c r="Q87" s="58" t="str">
        <f t="shared" si="8"/>
        <v/>
      </c>
      <c r="R87" s="58" t="str">
        <f t="shared" si="9"/>
        <v/>
      </c>
      <c r="S87" s="58" t="str">
        <f t="shared" si="10"/>
        <v/>
      </c>
      <c r="T87" s="58" t="str">
        <f t="shared" si="11"/>
        <v/>
      </c>
      <c r="U87" s="58" t="str">
        <f t="shared" si="12"/>
        <v/>
      </c>
      <c r="V87" s="59" t="str">
        <f t="shared" si="13"/>
        <v/>
      </c>
      <c r="W87" s="59" t="str">
        <f t="shared" si="14"/>
        <v/>
      </c>
      <c r="X87" s="60" t="str">
        <f>IF($B87="","",IF((E87)=0,"",(SUMIFS(pbp_Pitches,pbp_Batter,$B87,pbp_PlayType,"?*"))/(E87)))</f>
        <v/>
      </c>
      <c r="Y87" s="42" t="str">
        <f t="shared" si="15"/>
        <v/>
      </c>
      <c r="Z87" s="58" t="str">
        <f>IF($B87="","",IF((SUMPRODUCT(COUNTIFS(pbp_PlayType,EM_Type,pbp_Batter,$B87,pbp_On2B,"?*")*EM_AB)+SUMPRODUCT(COUNTIFS(pbp_PlayType,EM_Type,pbp_Batter,$B87,pbp_On2B,"",pbp_On3B,"?*")*EM_AB))=0,"",(SUMPRODUCT(COUNTIFS(pbp_PlayType,EM_Type,pbp_Batter,$B87,pbp_On2B,"?*")*EM_H)+SUMPRODUCT(COUNTIFS(pbp_PlayType,EM_Type,pbp_Batter,$B87,pbp_On2B,"",pbp_On3B,"?*")*EM_H))/(SUMPRODUCT(COUNTIFS(pbp_PlayType,EM_Type,pbp_Batter,$B87,pbp_On2B,"?*")*EM_AB)+SUMPRODUCT(COUNTIFS(pbp_PlayType,EM_Type,pbp_Batter,$B87,pbp_On2B,"",pbp_On3B,"?*")*EM_AB))))</f>
        <v/>
      </c>
      <c r="AA87" s="62" t="str">
        <f>IF($B87="","",IF(OR(E87&lt;MinPA,T87=""),"",COUNTIFS($E$6:$E$255,"&gt;="&amp;MinPA,$T$6:$T$255,"&gt;"&amp;T87)+COUNTIFS($E$5:E86,"&gt;="&amp;MinPA,$T$5:T86,T87)+1))</f>
        <v/>
      </c>
    </row>
    <row r="88" spans="2:27" x14ac:dyDescent="0.2">
      <c r="B88" s="44" t="str">
        <f t="array" ref="B88">IFERROR(INDEX(pbp_Batter,MATCH(0,COUNTIF($B$5:B87,pbp_Batter)+(pbp_Batter=""),0)),"")</f>
        <v/>
      </c>
      <c r="C88" s="61" t="str">
        <f>IF($B88="","",IFERROR(INDEX(pbp_BatTeam,MATCH($B88,pbp_Batter,0)),""))</f>
        <v/>
      </c>
      <c r="D88" s="61" t="str">
        <f>IF($B88="","",IFERROR(INDEX(pbp_BatHand,MATCH($B88,pbp_Batter,0)),""))</f>
        <v/>
      </c>
      <c r="E88" s="42" t="str">
        <f>IF($B88="","",SUMPRODUCT(COUNTIFS(pbp_PlayType,EM_Type,pbp_Batter,$B88)*EM_PA))</f>
        <v/>
      </c>
      <c r="F88" s="42" t="str">
        <f>IF($B88="","",SUMPRODUCT(COUNTIFS(pbp_PlayType,EM_Type,pbp_Batter,$B88)*EM_AB))</f>
        <v/>
      </c>
      <c r="G88" s="42" t="str">
        <f>IF($B88="","",SUMPRODUCT(COUNTIFS(pbp_PlayType,EM_Type,pbp_Batter,$B88)*EM_H))</f>
        <v/>
      </c>
      <c r="H88" s="42" t="str">
        <f>IF($B88="","",SUMPRODUCT(COUNTIFS(pbp_PlayType,EM_Type,pbp_Batter,$B88)*EM_2B))</f>
        <v/>
      </c>
      <c r="I88" s="42" t="str">
        <f>IF($B88="","",SUMPRODUCT(COUNTIFS(pbp_PlayType,EM_Type,pbp_Batter,$B88)*EM_3B))</f>
        <v/>
      </c>
      <c r="J88" s="42" t="str">
        <f>IF($B88="","",SUMPRODUCT(COUNTIFS(pbp_PlayType,EM_Type,pbp_Batter,$B88)*EM_HR))</f>
        <v/>
      </c>
      <c r="K88" s="42" t="str">
        <f>IF($B88="","",SUMPRODUCT(COUNTIFS(pbp_PlayType,EM_Type,pbp_Batter,$B88)*EM_1B))</f>
        <v/>
      </c>
      <c r="L88" s="42" t="str">
        <f>IF($B88="","",SUMPRODUCT(COUNTIFS(pbp_PlayType,EM_Type,pbp_Batter,$B88)*EM_BB))</f>
        <v/>
      </c>
      <c r="M88" s="42" t="str">
        <f>IF($B88="","",SUMPRODUCT(COUNTIFS(pbp_PlayType,EM_Type,pbp_Batter,$B88)*EM_HBP))</f>
        <v/>
      </c>
      <c r="N88" s="42" t="str">
        <f>IF($B88="","",COUNTIFS(pbp_PlayType,"?*",pbp_Desc,"*struck out*",pbp_Batter,$B88))</f>
        <v/>
      </c>
      <c r="O88" s="42" t="str">
        <f>IF($B88="","",SUMPRODUCT(COUNTIFS(pbp_PlayType,EM_Type,pbp_Batter,$B88)*EM_SF))</f>
        <v/>
      </c>
      <c r="P88" s="42" t="str">
        <f>IF($B88="","",SUMIFS(pbp_Runs,pbp_Batter,$B88))</f>
        <v/>
      </c>
      <c r="Q88" s="58" t="str">
        <f t="shared" si="8"/>
        <v/>
      </c>
      <c r="R88" s="58" t="str">
        <f t="shared" si="9"/>
        <v/>
      </c>
      <c r="S88" s="58" t="str">
        <f t="shared" si="10"/>
        <v/>
      </c>
      <c r="T88" s="58" t="str">
        <f t="shared" si="11"/>
        <v/>
      </c>
      <c r="U88" s="58" t="str">
        <f t="shared" si="12"/>
        <v/>
      </c>
      <c r="V88" s="59" t="str">
        <f t="shared" si="13"/>
        <v/>
      </c>
      <c r="W88" s="59" t="str">
        <f t="shared" si="14"/>
        <v/>
      </c>
      <c r="X88" s="60" t="str">
        <f>IF($B88="","",IF((E88)=0,"",(SUMIFS(pbp_Pitches,pbp_Batter,$B88,pbp_PlayType,"?*"))/(E88)))</f>
        <v/>
      </c>
      <c r="Y88" s="42" t="str">
        <f t="shared" si="15"/>
        <v/>
      </c>
      <c r="Z88" s="58" t="str">
        <f>IF($B88="","",IF((SUMPRODUCT(COUNTIFS(pbp_PlayType,EM_Type,pbp_Batter,$B88,pbp_On2B,"?*")*EM_AB)+SUMPRODUCT(COUNTIFS(pbp_PlayType,EM_Type,pbp_Batter,$B88,pbp_On2B,"",pbp_On3B,"?*")*EM_AB))=0,"",(SUMPRODUCT(COUNTIFS(pbp_PlayType,EM_Type,pbp_Batter,$B88,pbp_On2B,"?*")*EM_H)+SUMPRODUCT(COUNTIFS(pbp_PlayType,EM_Type,pbp_Batter,$B88,pbp_On2B,"",pbp_On3B,"?*")*EM_H))/(SUMPRODUCT(COUNTIFS(pbp_PlayType,EM_Type,pbp_Batter,$B88,pbp_On2B,"?*")*EM_AB)+SUMPRODUCT(COUNTIFS(pbp_PlayType,EM_Type,pbp_Batter,$B88,pbp_On2B,"",pbp_On3B,"?*")*EM_AB))))</f>
        <v/>
      </c>
      <c r="AA88" s="62" t="str">
        <f>IF($B88="","",IF(OR(E88&lt;MinPA,T88=""),"",COUNTIFS($E$6:$E$255,"&gt;="&amp;MinPA,$T$6:$T$255,"&gt;"&amp;T88)+COUNTIFS($E$5:E87,"&gt;="&amp;MinPA,$T$5:T87,T88)+1))</f>
        <v/>
      </c>
    </row>
    <row r="89" spans="2:27" x14ac:dyDescent="0.2">
      <c r="B89" s="44" t="str">
        <f t="array" ref="B89">IFERROR(INDEX(pbp_Batter,MATCH(0,COUNTIF($B$5:B88,pbp_Batter)+(pbp_Batter=""),0)),"")</f>
        <v/>
      </c>
      <c r="C89" s="61" t="str">
        <f>IF($B89="","",IFERROR(INDEX(pbp_BatTeam,MATCH($B89,pbp_Batter,0)),""))</f>
        <v/>
      </c>
      <c r="D89" s="61" t="str">
        <f>IF($B89="","",IFERROR(INDEX(pbp_BatHand,MATCH($B89,pbp_Batter,0)),""))</f>
        <v/>
      </c>
      <c r="E89" s="42" t="str">
        <f>IF($B89="","",SUMPRODUCT(COUNTIFS(pbp_PlayType,EM_Type,pbp_Batter,$B89)*EM_PA))</f>
        <v/>
      </c>
      <c r="F89" s="42" t="str">
        <f>IF($B89="","",SUMPRODUCT(COUNTIFS(pbp_PlayType,EM_Type,pbp_Batter,$B89)*EM_AB))</f>
        <v/>
      </c>
      <c r="G89" s="42" t="str">
        <f>IF($B89="","",SUMPRODUCT(COUNTIFS(pbp_PlayType,EM_Type,pbp_Batter,$B89)*EM_H))</f>
        <v/>
      </c>
      <c r="H89" s="42" t="str">
        <f>IF($B89="","",SUMPRODUCT(COUNTIFS(pbp_PlayType,EM_Type,pbp_Batter,$B89)*EM_2B))</f>
        <v/>
      </c>
      <c r="I89" s="42" t="str">
        <f>IF($B89="","",SUMPRODUCT(COUNTIFS(pbp_PlayType,EM_Type,pbp_Batter,$B89)*EM_3B))</f>
        <v/>
      </c>
      <c r="J89" s="42" t="str">
        <f>IF($B89="","",SUMPRODUCT(COUNTIFS(pbp_PlayType,EM_Type,pbp_Batter,$B89)*EM_HR))</f>
        <v/>
      </c>
      <c r="K89" s="42" t="str">
        <f>IF($B89="","",SUMPRODUCT(COUNTIFS(pbp_PlayType,EM_Type,pbp_Batter,$B89)*EM_1B))</f>
        <v/>
      </c>
      <c r="L89" s="42" t="str">
        <f>IF($B89="","",SUMPRODUCT(COUNTIFS(pbp_PlayType,EM_Type,pbp_Batter,$B89)*EM_BB))</f>
        <v/>
      </c>
      <c r="M89" s="42" t="str">
        <f>IF($B89="","",SUMPRODUCT(COUNTIFS(pbp_PlayType,EM_Type,pbp_Batter,$B89)*EM_HBP))</f>
        <v/>
      </c>
      <c r="N89" s="42" t="str">
        <f>IF($B89="","",COUNTIFS(pbp_PlayType,"?*",pbp_Desc,"*struck out*",pbp_Batter,$B89))</f>
        <v/>
      </c>
      <c r="O89" s="42" t="str">
        <f>IF($B89="","",SUMPRODUCT(COUNTIFS(pbp_PlayType,EM_Type,pbp_Batter,$B89)*EM_SF))</f>
        <v/>
      </c>
      <c r="P89" s="42" t="str">
        <f>IF($B89="","",SUMIFS(pbp_Runs,pbp_Batter,$B89))</f>
        <v/>
      </c>
      <c r="Q89" s="58" t="str">
        <f t="shared" si="8"/>
        <v/>
      </c>
      <c r="R89" s="58" t="str">
        <f t="shared" si="9"/>
        <v/>
      </c>
      <c r="S89" s="58" t="str">
        <f t="shared" si="10"/>
        <v/>
      </c>
      <c r="T89" s="58" t="str">
        <f t="shared" si="11"/>
        <v/>
      </c>
      <c r="U89" s="58" t="str">
        <f t="shared" si="12"/>
        <v/>
      </c>
      <c r="V89" s="59" t="str">
        <f t="shared" si="13"/>
        <v/>
      </c>
      <c r="W89" s="59" t="str">
        <f t="shared" si="14"/>
        <v/>
      </c>
      <c r="X89" s="60" t="str">
        <f>IF($B89="","",IF((E89)=0,"",(SUMIFS(pbp_Pitches,pbp_Batter,$B89,pbp_PlayType,"?*"))/(E89)))</f>
        <v/>
      </c>
      <c r="Y89" s="42" t="str">
        <f t="shared" si="15"/>
        <v/>
      </c>
      <c r="Z89" s="58" t="str">
        <f>IF($B89="","",IF((SUMPRODUCT(COUNTIFS(pbp_PlayType,EM_Type,pbp_Batter,$B89,pbp_On2B,"?*")*EM_AB)+SUMPRODUCT(COUNTIFS(pbp_PlayType,EM_Type,pbp_Batter,$B89,pbp_On2B,"",pbp_On3B,"?*")*EM_AB))=0,"",(SUMPRODUCT(COUNTIFS(pbp_PlayType,EM_Type,pbp_Batter,$B89,pbp_On2B,"?*")*EM_H)+SUMPRODUCT(COUNTIFS(pbp_PlayType,EM_Type,pbp_Batter,$B89,pbp_On2B,"",pbp_On3B,"?*")*EM_H))/(SUMPRODUCT(COUNTIFS(pbp_PlayType,EM_Type,pbp_Batter,$B89,pbp_On2B,"?*")*EM_AB)+SUMPRODUCT(COUNTIFS(pbp_PlayType,EM_Type,pbp_Batter,$B89,pbp_On2B,"",pbp_On3B,"?*")*EM_AB))))</f>
        <v/>
      </c>
      <c r="AA89" s="62" t="str">
        <f>IF($B89="","",IF(OR(E89&lt;MinPA,T89=""),"",COUNTIFS($E$6:$E$255,"&gt;="&amp;MinPA,$T$6:$T$255,"&gt;"&amp;T89)+COUNTIFS($E$5:E88,"&gt;="&amp;MinPA,$T$5:T88,T89)+1))</f>
        <v/>
      </c>
    </row>
    <row r="90" spans="2:27" x14ac:dyDescent="0.2">
      <c r="B90" s="44" t="str">
        <f t="array" ref="B90">IFERROR(INDEX(pbp_Batter,MATCH(0,COUNTIF($B$5:B89,pbp_Batter)+(pbp_Batter=""),0)),"")</f>
        <v/>
      </c>
      <c r="C90" s="61" t="str">
        <f>IF($B90="","",IFERROR(INDEX(pbp_BatTeam,MATCH($B90,pbp_Batter,0)),""))</f>
        <v/>
      </c>
      <c r="D90" s="61" t="str">
        <f>IF($B90="","",IFERROR(INDEX(pbp_BatHand,MATCH($B90,pbp_Batter,0)),""))</f>
        <v/>
      </c>
      <c r="E90" s="42" t="str">
        <f>IF($B90="","",SUMPRODUCT(COUNTIFS(pbp_PlayType,EM_Type,pbp_Batter,$B90)*EM_PA))</f>
        <v/>
      </c>
      <c r="F90" s="42" t="str">
        <f>IF($B90="","",SUMPRODUCT(COUNTIFS(pbp_PlayType,EM_Type,pbp_Batter,$B90)*EM_AB))</f>
        <v/>
      </c>
      <c r="G90" s="42" t="str">
        <f>IF($B90="","",SUMPRODUCT(COUNTIFS(pbp_PlayType,EM_Type,pbp_Batter,$B90)*EM_H))</f>
        <v/>
      </c>
      <c r="H90" s="42" t="str">
        <f>IF($B90="","",SUMPRODUCT(COUNTIFS(pbp_PlayType,EM_Type,pbp_Batter,$B90)*EM_2B))</f>
        <v/>
      </c>
      <c r="I90" s="42" t="str">
        <f>IF($B90="","",SUMPRODUCT(COUNTIFS(pbp_PlayType,EM_Type,pbp_Batter,$B90)*EM_3B))</f>
        <v/>
      </c>
      <c r="J90" s="42" t="str">
        <f>IF($B90="","",SUMPRODUCT(COUNTIFS(pbp_PlayType,EM_Type,pbp_Batter,$B90)*EM_HR))</f>
        <v/>
      </c>
      <c r="K90" s="42" t="str">
        <f>IF($B90="","",SUMPRODUCT(COUNTIFS(pbp_PlayType,EM_Type,pbp_Batter,$B90)*EM_1B))</f>
        <v/>
      </c>
      <c r="L90" s="42" t="str">
        <f>IF($B90="","",SUMPRODUCT(COUNTIFS(pbp_PlayType,EM_Type,pbp_Batter,$B90)*EM_BB))</f>
        <v/>
      </c>
      <c r="M90" s="42" t="str">
        <f>IF($B90="","",SUMPRODUCT(COUNTIFS(pbp_PlayType,EM_Type,pbp_Batter,$B90)*EM_HBP))</f>
        <v/>
      </c>
      <c r="N90" s="42" t="str">
        <f>IF($B90="","",COUNTIFS(pbp_PlayType,"?*",pbp_Desc,"*struck out*",pbp_Batter,$B90))</f>
        <v/>
      </c>
      <c r="O90" s="42" t="str">
        <f>IF($B90="","",SUMPRODUCT(COUNTIFS(pbp_PlayType,EM_Type,pbp_Batter,$B90)*EM_SF))</f>
        <v/>
      </c>
      <c r="P90" s="42" t="str">
        <f>IF($B90="","",SUMIFS(pbp_Runs,pbp_Batter,$B90))</f>
        <v/>
      </c>
      <c r="Q90" s="58" t="str">
        <f t="shared" si="8"/>
        <v/>
      </c>
      <c r="R90" s="58" t="str">
        <f t="shared" si="9"/>
        <v/>
      </c>
      <c r="S90" s="58" t="str">
        <f t="shared" si="10"/>
        <v/>
      </c>
      <c r="T90" s="58" t="str">
        <f t="shared" si="11"/>
        <v/>
      </c>
      <c r="U90" s="58" t="str">
        <f t="shared" si="12"/>
        <v/>
      </c>
      <c r="V90" s="59" t="str">
        <f t="shared" si="13"/>
        <v/>
      </c>
      <c r="W90" s="59" t="str">
        <f t="shared" si="14"/>
        <v/>
      </c>
      <c r="X90" s="60" t="str">
        <f>IF($B90="","",IF((E90)=0,"",(SUMIFS(pbp_Pitches,pbp_Batter,$B90,pbp_PlayType,"?*"))/(E90)))</f>
        <v/>
      </c>
      <c r="Y90" s="42" t="str">
        <f t="shared" si="15"/>
        <v/>
      </c>
      <c r="Z90" s="58" t="str">
        <f>IF($B90="","",IF((SUMPRODUCT(COUNTIFS(pbp_PlayType,EM_Type,pbp_Batter,$B90,pbp_On2B,"?*")*EM_AB)+SUMPRODUCT(COUNTIFS(pbp_PlayType,EM_Type,pbp_Batter,$B90,pbp_On2B,"",pbp_On3B,"?*")*EM_AB))=0,"",(SUMPRODUCT(COUNTIFS(pbp_PlayType,EM_Type,pbp_Batter,$B90,pbp_On2B,"?*")*EM_H)+SUMPRODUCT(COUNTIFS(pbp_PlayType,EM_Type,pbp_Batter,$B90,pbp_On2B,"",pbp_On3B,"?*")*EM_H))/(SUMPRODUCT(COUNTIFS(pbp_PlayType,EM_Type,pbp_Batter,$B90,pbp_On2B,"?*")*EM_AB)+SUMPRODUCT(COUNTIFS(pbp_PlayType,EM_Type,pbp_Batter,$B90,pbp_On2B,"",pbp_On3B,"?*")*EM_AB))))</f>
        <v/>
      </c>
      <c r="AA90" s="62" t="str">
        <f>IF($B90="","",IF(OR(E90&lt;MinPA,T90=""),"",COUNTIFS($E$6:$E$255,"&gt;="&amp;MinPA,$T$6:$T$255,"&gt;"&amp;T90)+COUNTIFS($E$5:E89,"&gt;="&amp;MinPA,$T$5:T89,T90)+1))</f>
        <v/>
      </c>
    </row>
    <row r="91" spans="2:27" x14ac:dyDescent="0.2">
      <c r="B91" s="44" t="str">
        <f t="array" ref="B91">IFERROR(INDEX(pbp_Batter,MATCH(0,COUNTIF($B$5:B90,pbp_Batter)+(pbp_Batter=""),0)),"")</f>
        <v/>
      </c>
      <c r="C91" s="61" t="str">
        <f>IF($B91="","",IFERROR(INDEX(pbp_BatTeam,MATCH($B91,pbp_Batter,0)),""))</f>
        <v/>
      </c>
      <c r="D91" s="61" t="str">
        <f>IF($B91="","",IFERROR(INDEX(pbp_BatHand,MATCH($B91,pbp_Batter,0)),""))</f>
        <v/>
      </c>
      <c r="E91" s="42" t="str">
        <f>IF($B91="","",SUMPRODUCT(COUNTIFS(pbp_PlayType,EM_Type,pbp_Batter,$B91)*EM_PA))</f>
        <v/>
      </c>
      <c r="F91" s="42" t="str">
        <f>IF($B91="","",SUMPRODUCT(COUNTIFS(pbp_PlayType,EM_Type,pbp_Batter,$B91)*EM_AB))</f>
        <v/>
      </c>
      <c r="G91" s="42" t="str">
        <f>IF($B91="","",SUMPRODUCT(COUNTIFS(pbp_PlayType,EM_Type,pbp_Batter,$B91)*EM_H))</f>
        <v/>
      </c>
      <c r="H91" s="42" t="str">
        <f>IF($B91="","",SUMPRODUCT(COUNTIFS(pbp_PlayType,EM_Type,pbp_Batter,$B91)*EM_2B))</f>
        <v/>
      </c>
      <c r="I91" s="42" t="str">
        <f>IF($B91="","",SUMPRODUCT(COUNTIFS(pbp_PlayType,EM_Type,pbp_Batter,$B91)*EM_3B))</f>
        <v/>
      </c>
      <c r="J91" s="42" t="str">
        <f>IF($B91="","",SUMPRODUCT(COUNTIFS(pbp_PlayType,EM_Type,pbp_Batter,$B91)*EM_HR))</f>
        <v/>
      </c>
      <c r="K91" s="42" t="str">
        <f>IF($B91="","",SUMPRODUCT(COUNTIFS(pbp_PlayType,EM_Type,pbp_Batter,$B91)*EM_1B))</f>
        <v/>
      </c>
      <c r="L91" s="42" t="str">
        <f>IF($B91="","",SUMPRODUCT(COUNTIFS(pbp_PlayType,EM_Type,pbp_Batter,$B91)*EM_BB))</f>
        <v/>
      </c>
      <c r="M91" s="42" t="str">
        <f>IF($B91="","",SUMPRODUCT(COUNTIFS(pbp_PlayType,EM_Type,pbp_Batter,$B91)*EM_HBP))</f>
        <v/>
      </c>
      <c r="N91" s="42" t="str">
        <f>IF($B91="","",COUNTIFS(pbp_PlayType,"?*",pbp_Desc,"*struck out*",pbp_Batter,$B91))</f>
        <v/>
      </c>
      <c r="O91" s="42" t="str">
        <f>IF($B91="","",SUMPRODUCT(COUNTIFS(pbp_PlayType,EM_Type,pbp_Batter,$B91)*EM_SF))</f>
        <v/>
      </c>
      <c r="P91" s="42" t="str">
        <f>IF($B91="","",SUMIFS(pbp_Runs,pbp_Batter,$B91))</f>
        <v/>
      </c>
      <c r="Q91" s="58" t="str">
        <f t="shared" si="8"/>
        <v/>
      </c>
      <c r="R91" s="58" t="str">
        <f t="shared" si="9"/>
        <v/>
      </c>
      <c r="S91" s="58" t="str">
        <f t="shared" si="10"/>
        <v/>
      </c>
      <c r="T91" s="58" t="str">
        <f t="shared" si="11"/>
        <v/>
      </c>
      <c r="U91" s="58" t="str">
        <f t="shared" si="12"/>
        <v/>
      </c>
      <c r="V91" s="59" t="str">
        <f t="shared" si="13"/>
        <v/>
      </c>
      <c r="W91" s="59" t="str">
        <f t="shared" si="14"/>
        <v/>
      </c>
      <c r="X91" s="60" t="str">
        <f>IF($B91="","",IF((E91)=0,"",(SUMIFS(pbp_Pitches,pbp_Batter,$B91,pbp_PlayType,"?*"))/(E91)))</f>
        <v/>
      </c>
      <c r="Y91" s="42" t="str">
        <f t="shared" si="15"/>
        <v/>
      </c>
      <c r="Z91" s="58" t="str">
        <f>IF($B91="","",IF((SUMPRODUCT(COUNTIFS(pbp_PlayType,EM_Type,pbp_Batter,$B91,pbp_On2B,"?*")*EM_AB)+SUMPRODUCT(COUNTIFS(pbp_PlayType,EM_Type,pbp_Batter,$B91,pbp_On2B,"",pbp_On3B,"?*")*EM_AB))=0,"",(SUMPRODUCT(COUNTIFS(pbp_PlayType,EM_Type,pbp_Batter,$B91,pbp_On2B,"?*")*EM_H)+SUMPRODUCT(COUNTIFS(pbp_PlayType,EM_Type,pbp_Batter,$B91,pbp_On2B,"",pbp_On3B,"?*")*EM_H))/(SUMPRODUCT(COUNTIFS(pbp_PlayType,EM_Type,pbp_Batter,$B91,pbp_On2B,"?*")*EM_AB)+SUMPRODUCT(COUNTIFS(pbp_PlayType,EM_Type,pbp_Batter,$B91,pbp_On2B,"",pbp_On3B,"?*")*EM_AB))))</f>
        <v/>
      </c>
      <c r="AA91" s="62" t="str">
        <f>IF($B91="","",IF(OR(E91&lt;MinPA,T91=""),"",COUNTIFS($E$6:$E$255,"&gt;="&amp;MinPA,$T$6:$T$255,"&gt;"&amp;T91)+COUNTIFS($E$5:E90,"&gt;="&amp;MinPA,$T$5:T90,T91)+1))</f>
        <v/>
      </c>
    </row>
    <row r="92" spans="2:27" x14ac:dyDescent="0.2">
      <c r="B92" s="44" t="str">
        <f t="array" ref="B92">IFERROR(INDEX(pbp_Batter,MATCH(0,COUNTIF($B$5:B91,pbp_Batter)+(pbp_Batter=""),0)),"")</f>
        <v/>
      </c>
      <c r="C92" s="61" t="str">
        <f>IF($B92="","",IFERROR(INDEX(pbp_BatTeam,MATCH($B92,pbp_Batter,0)),""))</f>
        <v/>
      </c>
      <c r="D92" s="61" t="str">
        <f>IF($B92="","",IFERROR(INDEX(pbp_BatHand,MATCH($B92,pbp_Batter,0)),""))</f>
        <v/>
      </c>
      <c r="E92" s="42" t="str">
        <f>IF($B92="","",SUMPRODUCT(COUNTIFS(pbp_PlayType,EM_Type,pbp_Batter,$B92)*EM_PA))</f>
        <v/>
      </c>
      <c r="F92" s="42" t="str">
        <f>IF($B92="","",SUMPRODUCT(COUNTIFS(pbp_PlayType,EM_Type,pbp_Batter,$B92)*EM_AB))</f>
        <v/>
      </c>
      <c r="G92" s="42" t="str">
        <f>IF($B92="","",SUMPRODUCT(COUNTIFS(pbp_PlayType,EM_Type,pbp_Batter,$B92)*EM_H))</f>
        <v/>
      </c>
      <c r="H92" s="42" t="str">
        <f>IF($B92="","",SUMPRODUCT(COUNTIFS(pbp_PlayType,EM_Type,pbp_Batter,$B92)*EM_2B))</f>
        <v/>
      </c>
      <c r="I92" s="42" t="str">
        <f>IF($B92="","",SUMPRODUCT(COUNTIFS(pbp_PlayType,EM_Type,pbp_Batter,$B92)*EM_3B))</f>
        <v/>
      </c>
      <c r="J92" s="42" t="str">
        <f>IF($B92="","",SUMPRODUCT(COUNTIFS(pbp_PlayType,EM_Type,pbp_Batter,$B92)*EM_HR))</f>
        <v/>
      </c>
      <c r="K92" s="42" t="str">
        <f>IF($B92="","",SUMPRODUCT(COUNTIFS(pbp_PlayType,EM_Type,pbp_Batter,$B92)*EM_1B))</f>
        <v/>
      </c>
      <c r="L92" s="42" t="str">
        <f>IF($B92="","",SUMPRODUCT(COUNTIFS(pbp_PlayType,EM_Type,pbp_Batter,$B92)*EM_BB))</f>
        <v/>
      </c>
      <c r="M92" s="42" t="str">
        <f>IF($B92="","",SUMPRODUCT(COUNTIFS(pbp_PlayType,EM_Type,pbp_Batter,$B92)*EM_HBP))</f>
        <v/>
      </c>
      <c r="N92" s="42" t="str">
        <f>IF($B92="","",COUNTIFS(pbp_PlayType,"?*",pbp_Desc,"*struck out*",pbp_Batter,$B92))</f>
        <v/>
      </c>
      <c r="O92" s="42" t="str">
        <f>IF($B92="","",SUMPRODUCT(COUNTIFS(pbp_PlayType,EM_Type,pbp_Batter,$B92)*EM_SF))</f>
        <v/>
      </c>
      <c r="P92" s="42" t="str">
        <f>IF($B92="","",SUMIFS(pbp_Runs,pbp_Batter,$B92))</f>
        <v/>
      </c>
      <c r="Q92" s="58" t="str">
        <f t="shared" si="8"/>
        <v/>
      </c>
      <c r="R92" s="58" t="str">
        <f t="shared" si="9"/>
        <v/>
      </c>
      <c r="S92" s="58" t="str">
        <f t="shared" si="10"/>
        <v/>
      </c>
      <c r="T92" s="58" t="str">
        <f t="shared" si="11"/>
        <v/>
      </c>
      <c r="U92" s="58" t="str">
        <f t="shared" si="12"/>
        <v/>
      </c>
      <c r="V92" s="59" t="str">
        <f t="shared" si="13"/>
        <v/>
      </c>
      <c r="W92" s="59" t="str">
        <f t="shared" si="14"/>
        <v/>
      </c>
      <c r="X92" s="60" t="str">
        <f>IF($B92="","",IF((E92)=0,"",(SUMIFS(pbp_Pitches,pbp_Batter,$B92,pbp_PlayType,"?*"))/(E92)))</f>
        <v/>
      </c>
      <c r="Y92" s="42" t="str">
        <f t="shared" si="15"/>
        <v/>
      </c>
      <c r="Z92" s="58" t="str">
        <f>IF($B92="","",IF((SUMPRODUCT(COUNTIFS(pbp_PlayType,EM_Type,pbp_Batter,$B92,pbp_On2B,"?*")*EM_AB)+SUMPRODUCT(COUNTIFS(pbp_PlayType,EM_Type,pbp_Batter,$B92,pbp_On2B,"",pbp_On3B,"?*")*EM_AB))=0,"",(SUMPRODUCT(COUNTIFS(pbp_PlayType,EM_Type,pbp_Batter,$B92,pbp_On2B,"?*")*EM_H)+SUMPRODUCT(COUNTIFS(pbp_PlayType,EM_Type,pbp_Batter,$B92,pbp_On2B,"",pbp_On3B,"?*")*EM_H))/(SUMPRODUCT(COUNTIFS(pbp_PlayType,EM_Type,pbp_Batter,$B92,pbp_On2B,"?*")*EM_AB)+SUMPRODUCT(COUNTIFS(pbp_PlayType,EM_Type,pbp_Batter,$B92,pbp_On2B,"",pbp_On3B,"?*")*EM_AB))))</f>
        <v/>
      </c>
      <c r="AA92" s="62" t="str">
        <f>IF($B92="","",IF(OR(E92&lt;MinPA,T92=""),"",COUNTIFS($E$6:$E$255,"&gt;="&amp;MinPA,$T$6:$T$255,"&gt;"&amp;T92)+COUNTIFS($E$5:E91,"&gt;="&amp;MinPA,$T$5:T91,T92)+1))</f>
        <v/>
      </c>
    </row>
    <row r="93" spans="2:27" x14ac:dyDescent="0.2">
      <c r="B93" s="44" t="str">
        <f t="array" ref="B93">IFERROR(INDEX(pbp_Batter,MATCH(0,COUNTIF($B$5:B92,pbp_Batter)+(pbp_Batter=""),0)),"")</f>
        <v/>
      </c>
      <c r="C93" s="61" t="str">
        <f>IF($B93="","",IFERROR(INDEX(pbp_BatTeam,MATCH($B93,pbp_Batter,0)),""))</f>
        <v/>
      </c>
      <c r="D93" s="61" t="str">
        <f>IF($B93="","",IFERROR(INDEX(pbp_BatHand,MATCH($B93,pbp_Batter,0)),""))</f>
        <v/>
      </c>
      <c r="E93" s="42" t="str">
        <f>IF($B93="","",SUMPRODUCT(COUNTIFS(pbp_PlayType,EM_Type,pbp_Batter,$B93)*EM_PA))</f>
        <v/>
      </c>
      <c r="F93" s="42" t="str">
        <f>IF($B93="","",SUMPRODUCT(COUNTIFS(pbp_PlayType,EM_Type,pbp_Batter,$B93)*EM_AB))</f>
        <v/>
      </c>
      <c r="G93" s="42" t="str">
        <f>IF($B93="","",SUMPRODUCT(COUNTIFS(pbp_PlayType,EM_Type,pbp_Batter,$B93)*EM_H))</f>
        <v/>
      </c>
      <c r="H93" s="42" t="str">
        <f>IF($B93="","",SUMPRODUCT(COUNTIFS(pbp_PlayType,EM_Type,pbp_Batter,$B93)*EM_2B))</f>
        <v/>
      </c>
      <c r="I93" s="42" t="str">
        <f>IF($B93="","",SUMPRODUCT(COUNTIFS(pbp_PlayType,EM_Type,pbp_Batter,$B93)*EM_3B))</f>
        <v/>
      </c>
      <c r="J93" s="42" t="str">
        <f>IF($B93="","",SUMPRODUCT(COUNTIFS(pbp_PlayType,EM_Type,pbp_Batter,$B93)*EM_HR))</f>
        <v/>
      </c>
      <c r="K93" s="42" t="str">
        <f>IF($B93="","",SUMPRODUCT(COUNTIFS(pbp_PlayType,EM_Type,pbp_Batter,$B93)*EM_1B))</f>
        <v/>
      </c>
      <c r="L93" s="42" t="str">
        <f>IF($B93="","",SUMPRODUCT(COUNTIFS(pbp_PlayType,EM_Type,pbp_Batter,$B93)*EM_BB))</f>
        <v/>
      </c>
      <c r="M93" s="42" t="str">
        <f>IF($B93="","",SUMPRODUCT(COUNTIFS(pbp_PlayType,EM_Type,pbp_Batter,$B93)*EM_HBP))</f>
        <v/>
      </c>
      <c r="N93" s="42" t="str">
        <f>IF($B93="","",COUNTIFS(pbp_PlayType,"?*",pbp_Desc,"*struck out*",pbp_Batter,$B93))</f>
        <v/>
      </c>
      <c r="O93" s="42" t="str">
        <f>IF($B93="","",SUMPRODUCT(COUNTIFS(pbp_PlayType,EM_Type,pbp_Batter,$B93)*EM_SF))</f>
        <v/>
      </c>
      <c r="P93" s="42" t="str">
        <f>IF($B93="","",SUMIFS(pbp_Runs,pbp_Batter,$B93))</f>
        <v/>
      </c>
      <c r="Q93" s="58" t="str">
        <f t="shared" si="8"/>
        <v/>
      </c>
      <c r="R93" s="58" t="str">
        <f t="shared" si="9"/>
        <v/>
      </c>
      <c r="S93" s="58" t="str">
        <f t="shared" si="10"/>
        <v/>
      </c>
      <c r="T93" s="58" t="str">
        <f t="shared" si="11"/>
        <v/>
      </c>
      <c r="U93" s="58" t="str">
        <f t="shared" si="12"/>
        <v/>
      </c>
      <c r="V93" s="59" t="str">
        <f t="shared" si="13"/>
        <v/>
      </c>
      <c r="W93" s="59" t="str">
        <f t="shared" si="14"/>
        <v/>
      </c>
      <c r="X93" s="60" t="str">
        <f>IF($B93="","",IF((E93)=0,"",(SUMIFS(pbp_Pitches,pbp_Batter,$B93,pbp_PlayType,"?*"))/(E93)))</f>
        <v/>
      </c>
      <c r="Y93" s="42" t="str">
        <f t="shared" si="15"/>
        <v/>
      </c>
      <c r="Z93" s="58" t="str">
        <f>IF($B93="","",IF((SUMPRODUCT(COUNTIFS(pbp_PlayType,EM_Type,pbp_Batter,$B93,pbp_On2B,"?*")*EM_AB)+SUMPRODUCT(COUNTIFS(pbp_PlayType,EM_Type,pbp_Batter,$B93,pbp_On2B,"",pbp_On3B,"?*")*EM_AB))=0,"",(SUMPRODUCT(COUNTIFS(pbp_PlayType,EM_Type,pbp_Batter,$B93,pbp_On2B,"?*")*EM_H)+SUMPRODUCT(COUNTIFS(pbp_PlayType,EM_Type,pbp_Batter,$B93,pbp_On2B,"",pbp_On3B,"?*")*EM_H))/(SUMPRODUCT(COUNTIFS(pbp_PlayType,EM_Type,pbp_Batter,$B93,pbp_On2B,"?*")*EM_AB)+SUMPRODUCT(COUNTIFS(pbp_PlayType,EM_Type,pbp_Batter,$B93,pbp_On2B,"",pbp_On3B,"?*")*EM_AB))))</f>
        <v/>
      </c>
      <c r="AA93" s="62" t="str">
        <f>IF($B93="","",IF(OR(E93&lt;MinPA,T93=""),"",COUNTIFS($E$6:$E$255,"&gt;="&amp;MinPA,$T$6:$T$255,"&gt;"&amp;T93)+COUNTIFS($E$5:E92,"&gt;="&amp;MinPA,$T$5:T92,T93)+1))</f>
        <v/>
      </c>
    </row>
    <row r="94" spans="2:27" x14ac:dyDescent="0.2">
      <c r="B94" s="44" t="str">
        <f t="array" ref="B94">IFERROR(INDEX(pbp_Batter,MATCH(0,COUNTIF($B$5:B93,pbp_Batter)+(pbp_Batter=""),0)),"")</f>
        <v/>
      </c>
      <c r="C94" s="61" t="str">
        <f>IF($B94="","",IFERROR(INDEX(pbp_BatTeam,MATCH($B94,pbp_Batter,0)),""))</f>
        <v/>
      </c>
      <c r="D94" s="61" t="str">
        <f>IF($B94="","",IFERROR(INDEX(pbp_BatHand,MATCH($B94,pbp_Batter,0)),""))</f>
        <v/>
      </c>
      <c r="E94" s="42" t="str">
        <f>IF($B94="","",SUMPRODUCT(COUNTIFS(pbp_PlayType,EM_Type,pbp_Batter,$B94)*EM_PA))</f>
        <v/>
      </c>
      <c r="F94" s="42" t="str">
        <f>IF($B94="","",SUMPRODUCT(COUNTIFS(pbp_PlayType,EM_Type,pbp_Batter,$B94)*EM_AB))</f>
        <v/>
      </c>
      <c r="G94" s="42" t="str">
        <f>IF($B94="","",SUMPRODUCT(COUNTIFS(pbp_PlayType,EM_Type,pbp_Batter,$B94)*EM_H))</f>
        <v/>
      </c>
      <c r="H94" s="42" t="str">
        <f>IF($B94="","",SUMPRODUCT(COUNTIFS(pbp_PlayType,EM_Type,pbp_Batter,$B94)*EM_2B))</f>
        <v/>
      </c>
      <c r="I94" s="42" t="str">
        <f>IF($B94="","",SUMPRODUCT(COUNTIFS(pbp_PlayType,EM_Type,pbp_Batter,$B94)*EM_3B))</f>
        <v/>
      </c>
      <c r="J94" s="42" t="str">
        <f>IF($B94="","",SUMPRODUCT(COUNTIFS(pbp_PlayType,EM_Type,pbp_Batter,$B94)*EM_HR))</f>
        <v/>
      </c>
      <c r="K94" s="42" t="str">
        <f>IF($B94="","",SUMPRODUCT(COUNTIFS(pbp_PlayType,EM_Type,pbp_Batter,$B94)*EM_1B))</f>
        <v/>
      </c>
      <c r="L94" s="42" t="str">
        <f>IF($B94="","",SUMPRODUCT(COUNTIFS(pbp_PlayType,EM_Type,pbp_Batter,$B94)*EM_BB))</f>
        <v/>
      </c>
      <c r="M94" s="42" t="str">
        <f>IF($B94="","",SUMPRODUCT(COUNTIFS(pbp_PlayType,EM_Type,pbp_Batter,$B94)*EM_HBP))</f>
        <v/>
      </c>
      <c r="N94" s="42" t="str">
        <f>IF($B94="","",COUNTIFS(pbp_PlayType,"?*",pbp_Desc,"*struck out*",pbp_Batter,$B94))</f>
        <v/>
      </c>
      <c r="O94" s="42" t="str">
        <f>IF($B94="","",SUMPRODUCT(COUNTIFS(pbp_PlayType,EM_Type,pbp_Batter,$B94)*EM_SF))</f>
        <v/>
      </c>
      <c r="P94" s="42" t="str">
        <f>IF($B94="","",SUMIFS(pbp_Runs,pbp_Batter,$B94))</f>
        <v/>
      </c>
      <c r="Q94" s="58" t="str">
        <f t="shared" si="8"/>
        <v/>
      </c>
      <c r="R94" s="58" t="str">
        <f t="shared" si="9"/>
        <v/>
      </c>
      <c r="S94" s="58" t="str">
        <f t="shared" si="10"/>
        <v/>
      </c>
      <c r="T94" s="58" t="str">
        <f t="shared" si="11"/>
        <v/>
      </c>
      <c r="U94" s="58" t="str">
        <f t="shared" si="12"/>
        <v/>
      </c>
      <c r="V94" s="59" t="str">
        <f t="shared" si="13"/>
        <v/>
      </c>
      <c r="W94" s="59" t="str">
        <f t="shared" si="14"/>
        <v/>
      </c>
      <c r="X94" s="60" t="str">
        <f>IF($B94="","",IF((E94)=0,"",(SUMIFS(pbp_Pitches,pbp_Batter,$B94,pbp_PlayType,"?*"))/(E94)))</f>
        <v/>
      </c>
      <c r="Y94" s="42" t="str">
        <f t="shared" si="15"/>
        <v/>
      </c>
      <c r="Z94" s="58" t="str">
        <f>IF($B94="","",IF((SUMPRODUCT(COUNTIFS(pbp_PlayType,EM_Type,pbp_Batter,$B94,pbp_On2B,"?*")*EM_AB)+SUMPRODUCT(COUNTIFS(pbp_PlayType,EM_Type,pbp_Batter,$B94,pbp_On2B,"",pbp_On3B,"?*")*EM_AB))=0,"",(SUMPRODUCT(COUNTIFS(pbp_PlayType,EM_Type,pbp_Batter,$B94,pbp_On2B,"?*")*EM_H)+SUMPRODUCT(COUNTIFS(pbp_PlayType,EM_Type,pbp_Batter,$B94,pbp_On2B,"",pbp_On3B,"?*")*EM_H))/(SUMPRODUCT(COUNTIFS(pbp_PlayType,EM_Type,pbp_Batter,$B94,pbp_On2B,"?*")*EM_AB)+SUMPRODUCT(COUNTIFS(pbp_PlayType,EM_Type,pbp_Batter,$B94,pbp_On2B,"",pbp_On3B,"?*")*EM_AB))))</f>
        <v/>
      </c>
      <c r="AA94" s="62" t="str">
        <f>IF($B94="","",IF(OR(E94&lt;MinPA,T94=""),"",COUNTIFS($E$6:$E$255,"&gt;="&amp;MinPA,$T$6:$T$255,"&gt;"&amp;T94)+COUNTIFS($E$5:E93,"&gt;="&amp;MinPA,$T$5:T93,T94)+1))</f>
        <v/>
      </c>
    </row>
    <row r="95" spans="2:27" x14ac:dyDescent="0.2">
      <c r="B95" s="44" t="str">
        <f t="array" ref="B95">IFERROR(INDEX(pbp_Batter,MATCH(0,COUNTIF($B$5:B94,pbp_Batter)+(pbp_Batter=""),0)),"")</f>
        <v/>
      </c>
      <c r="C95" s="61" t="str">
        <f>IF($B95="","",IFERROR(INDEX(pbp_BatTeam,MATCH($B95,pbp_Batter,0)),""))</f>
        <v/>
      </c>
      <c r="D95" s="61" t="str">
        <f>IF($B95="","",IFERROR(INDEX(pbp_BatHand,MATCH($B95,pbp_Batter,0)),""))</f>
        <v/>
      </c>
      <c r="E95" s="42" t="str">
        <f>IF($B95="","",SUMPRODUCT(COUNTIFS(pbp_PlayType,EM_Type,pbp_Batter,$B95)*EM_PA))</f>
        <v/>
      </c>
      <c r="F95" s="42" t="str">
        <f>IF($B95="","",SUMPRODUCT(COUNTIFS(pbp_PlayType,EM_Type,pbp_Batter,$B95)*EM_AB))</f>
        <v/>
      </c>
      <c r="G95" s="42" t="str">
        <f>IF($B95="","",SUMPRODUCT(COUNTIFS(pbp_PlayType,EM_Type,pbp_Batter,$B95)*EM_H))</f>
        <v/>
      </c>
      <c r="H95" s="42" t="str">
        <f>IF($B95="","",SUMPRODUCT(COUNTIFS(pbp_PlayType,EM_Type,pbp_Batter,$B95)*EM_2B))</f>
        <v/>
      </c>
      <c r="I95" s="42" t="str">
        <f>IF($B95="","",SUMPRODUCT(COUNTIFS(pbp_PlayType,EM_Type,pbp_Batter,$B95)*EM_3B))</f>
        <v/>
      </c>
      <c r="J95" s="42" t="str">
        <f>IF($B95="","",SUMPRODUCT(COUNTIFS(pbp_PlayType,EM_Type,pbp_Batter,$B95)*EM_HR))</f>
        <v/>
      </c>
      <c r="K95" s="42" t="str">
        <f>IF($B95="","",SUMPRODUCT(COUNTIFS(pbp_PlayType,EM_Type,pbp_Batter,$B95)*EM_1B))</f>
        <v/>
      </c>
      <c r="L95" s="42" t="str">
        <f>IF($B95="","",SUMPRODUCT(COUNTIFS(pbp_PlayType,EM_Type,pbp_Batter,$B95)*EM_BB))</f>
        <v/>
      </c>
      <c r="M95" s="42" t="str">
        <f>IF($B95="","",SUMPRODUCT(COUNTIFS(pbp_PlayType,EM_Type,pbp_Batter,$B95)*EM_HBP))</f>
        <v/>
      </c>
      <c r="N95" s="42" t="str">
        <f>IF($B95="","",COUNTIFS(pbp_PlayType,"?*",pbp_Desc,"*struck out*",pbp_Batter,$B95))</f>
        <v/>
      </c>
      <c r="O95" s="42" t="str">
        <f>IF($B95="","",SUMPRODUCT(COUNTIFS(pbp_PlayType,EM_Type,pbp_Batter,$B95)*EM_SF))</f>
        <v/>
      </c>
      <c r="P95" s="42" t="str">
        <f>IF($B95="","",SUMIFS(pbp_Runs,pbp_Batter,$B95))</f>
        <v/>
      </c>
      <c r="Q95" s="58" t="str">
        <f t="shared" si="8"/>
        <v/>
      </c>
      <c r="R95" s="58" t="str">
        <f t="shared" si="9"/>
        <v/>
      </c>
      <c r="S95" s="58" t="str">
        <f t="shared" si="10"/>
        <v/>
      </c>
      <c r="T95" s="58" t="str">
        <f t="shared" si="11"/>
        <v/>
      </c>
      <c r="U95" s="58" t="str">
        <f t="shared" si="12"/>
        <v/>
      </c>
      <c r="V95" s="59" t="str">
        <f t="shared" si="13"/>
        <v/>
      </c>
      <c r="W95" s="59" t="str">
        <f t="shared" si="14"/>
        <v/>
      </c>
      <c r="X95" s="60" t="str">
        <f>IF($B95="","",IF((E95)=0,"",(SUMIFS(pbp_Pitches,pbp_Batter,$B95,pbp_PlayType,"?*"))/(E95)))</f>
        <v/>
      </c>
      <c r="Y95" s="42" t="str">
        <f t="shared" si="15"/>
        <v/>
      </c>
      <c r="Z95" s="58" t="str">
        <f>IF($B95="","",IF((SUMPRODUCT(COUNTIFS(pbp_PlayType,EM_Type,pbp_Batter,$B95,pbp_On2B,"?*")*EM_AB)+SUMPRODUCT(COUNTIFS(pbp_PlayType,EM_Type,pbp_Batter,$B95,pbp_On2B,"",pbp_On3B,"?*")*EM_AB))=0,"",(SUMPRODUCT(COUNTIFS(pbp_PlayType,EM_Type,pbp_Batter,$B95,pbp_On2B,"?*")*EM_H)+SUMPRODUCT(COUNTIFS(pbp_PlayType,EM_Type,pbp_Batter,$B95,pbp_On2B,"",pbp_On3B,"?*")*EM_H))/(SUMPRODUCT(COUNTIFS(pbp_PlayType,EM_Type,pbp_Batter,$B95,pbp_On2B,"?*")*EM_AB)+SUMPRODUCT(COUNTIFS(pbp_PlayType,EM_Type,pbp_Batter,$B95,pbp_On2B,"",pbp_On3B,"?*")*EM_AB))))</f>
        <v/>
      </c>
      <c r="AA95" s="62" t="str">
        <f>IF($B95="","",IF(OR(E95&lt;MinPA,T95=""),"",COUNTIFS($E$6:$E$255,"&gt;="&amp;MinPA,$T$6:$T$255,"&gt;"&amp;T95)+COUNTIFS($E$5:E94,"&gt;="&amp;MinPA,$T$5:T94,T95)+1))</f>
        <v/>
      </c>
    </row>
    <row r="96" spans="2:27" x14ac:dyDescent="0.2">
      <c r="B96" s="44" t="str">
        <f t="array" ref="B96">IFERROR(INDEX(pbp_Batter,MATCH(0,COUNTIF($B$5:B95,pbp_Batter)+(pbp_Batter=""),0)),"")</f>
        <v/>
      </c>
      <c r="C96" s="61" t="str">
        <f>IF($B96="","",IFERROR(INDEX(pbp_BatTeam,MATCH($B96,pbp_Batter,0)),""))</f>
        <v/>
      </c>
      <c r="D96" s="61" t="str">
        <f>IF($B96="","",IFERROR(INDEX(pbp_BatHand,MATCH($B96,pbp_Batter,0)),""))</f>
        <v/>
      </c>
      <c r="E96" s="42" t="str">
        <f>IF($B96="","",SUMPRODUCT(COUNTIFS(pbp_PlayType,EM_Type,pbp_Batter,$B96)*EM_PA))</f>
        <v/>
      </c>
      <c r="F96" s="42" t="str">
        <f>IF($B96="","",SUMPRODUCT(COUNTIFS(pbp_PlayType,EM_Type,pbp_Batter,$B96)*EM_AB))</f>
        <v/>
      </c>
      <c r="G96" s="42" t="str">
        <f>IF($B96="","",SUMPRODUCT(COUNTIFS(pbp_PlayType,EM_Type,pbp_Batter,$B96)*EM_H))</f>
        <v/>
      </c>
      <c r="H96" s="42" t="str">
        <f>IF($B96="","",SUMPRODUCT(COUNTIFS(pbp_PlayType,EM_Type,pbp_Batter,$B96)*EM_2B))</f>
        <v/>
      </c>
      <c r="I96" s="42" t="str">
        <f>IF($B96="","",SUMPRODUCT(COUNTIFS(pbp_PlayType,EM_Type,pbp_Batter,$B96)*EM_3B))</f>
        <v/>
      </c>
      <c r="J96" s="42" t="str">
        <f>IF($B96="","",SUMPRODUCT(COUNTIFS(pbp_PlayType,EM_Type,pbp_Batter,$B96)*EM_HR))</f>
        <v/>
      </c>
      <c r="K96" s="42" t="str">
        <f>IF($B96="","",SUMPRODUCT(COUNTIFS(pbp_PlayType,EM_Type,pbp_Batter,$B96)*EM_1B))</f>
        <v/>
      </c>
      <c r="L96" s="42" t="str">
        <f>IF($B96="","",SUMPRODUCT(COUNTIFS(pbp_PlayType,EM_Type,pbp_Batter,$B96)*EM_BB))</f>
        <v/>
      </c>
      <c r="M96" s="42" t="str">
        <f>IF($B96="","",SUMPRODUCT(COUNTIFS(pbp_PlayType,EM_Type,pbp_Batter,$B96)*EM_HBP))</f>
        <v/>
      </c>
      <c r="N96" s="42" t="str">
        <f>IF($B96="","",COUNTIFS(pbp_PlayType,"?*",pbp_Desc,"*struck out*",pbp_Batter,$B96))</f>
        <v/>
      </c>
      <c r="O96" s="42" t="str">
        <f>IF($B96="","",SUMPRODUCT(COUNTIFS(pbp_PlayType,EM_Type,pbp_Batter,$B96)*EM_SF))</f>
        <v/>
      </c>
      <c r="P96" s="42" t="str">
        <f>IF($B96="","",SUMIFS(pbp_Runs,pbp_Batter,$B96))</f>
        <v/>
      </c>
      <c r="Q96" s="58" t="str">
        <f t="shared" si="8"/>
        <v/>
      </c>
      <c r="R96" s="58" t="str">
        <f t="shared" si="9"/>
        <v/>
      </c>
      <c r="S96" s="58" t="str">
        <f t="shared" si="10"/>
        <v/>
      </c>
      <c r="T96" s="58" t="str">
        <f t="shared" si="11"/>
        <v/>
      </c>
      <c r="U96" s="58" t="str">
        <f t="shared" si="12"/>
        <v/>
      </c>
      <c r="V96" s="59" t="str">
        <f t="shared" si="13"/>
        <v/>
      </c>
      <c r="W96" s="59" t="str">
        <f t="shared" si="14"/>
        <v/>
      </c>
      <c r="X96" s="60" t="str">
        <f>IF($B96="","",IF((E96)=0,"",(SUMIFS(pbp_Pitches,pbp_Batter,$B96,pbp_PlayType,"?*"))/(E96)))</f>
        <v/>
      </c>
      <c r="Y96" s="42" t="str">
        <f t="shared" si="15"/>
        <v/>
      </c>
      <c r="Z96" s="58" t="str">
        <f>IF($B96="","",IF((SUMPRODUCT(COUNTIFS(pbp_PlayType,EM_Type,pbp_Batter,$B96,pbp_On2B,"?*")*EM_AB)+SUMPRODUCT(COUNTIFS(pbp_PlayType,EM_Type,pbp_Batter,$B96,pbp_On2B,"",pbp_On3B,"?*")*EM_AB))=0,"",(SUMPRODUCT(COUNTIFS(pbp_PlayType,EM_Type,pbp_Batter,$B96,pbp_On2B,"?*")*EM_H)+SUMPRODUCT(COUNTIFS(pbp_PlayType,EM_Type,pbp_Batter,$B96,pbp_On2B,"",pbp_On3B,"?*")*EM_H))/(SUMPRODUCT(COUNTIFS(pbp_PlayType,EM_Type,pbp_Batter,$B96,pbp_On2B,"?*")*EM_AB)+SUMPRODUCT(COUNTIFS(pbp_PlayType,EM_Type,pbp_Batter,$B96,pbp_On2B,"",pbp_On3B,"?*")*EM_AB))))</f>
        <v/>
      </c>
      <c r="AA96" s="62" t="str">
        <f>IF($B96="","",IF(OR(E96&lt;MinPA,T96=""),"",COUNTIFS($E$6:$E$255,"&gt;="&amp;MinPA,$T$6:$T$255,"&gt;"&amp;T96)+COUNTIFS($E$5:E95,"&gt;="&amp;MinPA,$T$5:T95,T96)+1))</f>
        <v/>
      </c>
    </row>
    <row r="97" spans="2:27" x14ac:dyDescent="0.2">
      <c r="B97" s="44" t="str">
        <f t="array" ref="B97">IFERROR(INDEX(pbp_Batter,MATCH(0,COUNTIF($B$5:B96,pbp_Batter)+(pbp_Batter=""),0)),"")</f>
        <v/>
      </c>
      <c r="C97" s="61" t="str">
        <f>IF($B97="","",IFERROR(INDEX(pbp_BatTeam,MATCH($B97,pbp_Batter,0)),""))</f>
        <v/>
      </c>
      <c r="D97" s="61" t="str">
        <f>IF($B97="","",IFERROR(INDEX(pbp_BatHand,MATCH($B97,pbp_Batter,0)),""))</f>
        <v/>
      </c>
      <c r="E97" s="42" t="str">
        <f>IF($B97="","",SUMPRODUCT(COUNTIFS(pbp_PlayType,EM_Type,pbp_Batter,$B97)*EM_PA))</f>
        <v/>
      </c>
      <c r="F97" s="42" t="str">
        <f>IF($B97="","",SUMPRODUCT(COUNTIFS(pbp_PlayType,EM_Type,pbp_Batter,$B97)*EM_AB))</f>
        <v/>
      </c>
      <c r="G97" s="42" t="str">
        <f>IF($B97="","",SUMPRODUCT(COUNTIFS(pbp_PlayType,EM_Type,pbp_Batter,$B97)*EM_H))</f>
        <v/>
      </c>
      <c r="H97" s="42" t="str">
        <f>IF($B97="","",SUMPRODUCT(COUNTIFS(pbp_PlayType,EM_Type,pbp_Batter,$B97)*EM_2B))</f>
        <v/>
      </c>
      <c r="I97" s="42" t="str">
        <f>IF($B97="","",SUMPRODUCT(COUNTIFS(pbp_PlayType,EM_Type,pbp_Batter,$B97)*EM_3B))</f>
        <v/>
      </c>
      <c r="J97" s="42" t="str">
        <f>IF($B97="","",SUMPRODUCT(COUNTIFS(pbp_PlayType,EM_Type,pbp_Batter,$B97)*EM_HR))</f>
        <v/>
      </c>
      <c r="K97" s="42" t="str">
        <f>IF($B97="","",SUMPRODUCT(COUNTIFS(pbp_PlayType,EM_Type,pbp_Batter,$B97)*EM_1B))</f>
        <v/>
      </c>
      <c r="L97" s="42" t="str">
        <f>IF($B97="","",SUMPRODUCT(COUNTIFS(pbp_PlayType,EM_Type,pbp_Batter,$B97)*EM_BB))</f>
        <v/>
      </c>
      <c r="M97" s="42" t="str">
        <f>IF($B97="","",SUMPRODUCT(COUNTIFS(pbp_PlayType,EM_Type,pbp_Batter,$B97)*EM_HBP))</f>
        <v/>
      </c>
      <c r="N97" s="42" t="str">
        <f>IF($B97="","",COUNTIFS(pbp_PlayType,"?*",pbp_Desc,"*struck out*",pbp_Batter,$B97))</f>
        <v/>
      </c>
      <c r="O97" s="42" t="str">
        <f>IF($B97="","",SUMPRODUCT(COUNTIFS(pbp_PlayType,EM_Type,pbp_Batter,$B97)*EM_SF))</f>
        <v/>
      </c>
      <c r="P97" s="42" t="str">
        <f>IF($B97="","",SUMIFS(pbp_Runs,pbp_Batter,$B97))</f>
        <v/>
      </c>
      <c r="Q97" s="58" t="str">
        <f t="shared" si="8"/>
        <v/>
      </c>
      <c r="R97" s="58" t="str">
        <f t="shared" si="9"/>
        <v/>
      </c>
      <c r="S97" s="58" t="str">
        <f t="shared" si="10"/>
        <v/>
      </c>
      <c r="T97" s="58" t="str">
        <f t="shared" si="11"/>
        <v/>
      </c>
      <c r="U97" s="58" t="str">
        <f t="shared" si="12"/>
        <v/>
      </c>
      <c r="V97" s="59" t="str">
        <f t="shared" si="13"/>
        <v/>
      </c>
      <c r="W97" s="59" t="str">
        <f t="shared" si="14"/>
        <v/>
      </c>
      <c r="X97" s="60" t="str">
        <f>IF($B97="","",IF((E97)=0,"",(SUMIFS(pbp_Pitches,pbp_Batter,$B97,pbp_PlayType,"?*"))/(E97)))</f>
        <v/>
      </c>
      <c r="Y97" s="42" t="str">
        <f t="shared" si="15"/>
        <v/>
      </c>
      <c r="Z97" s="58" t="str">
        <f>IF($B97="","",IF((SUMPRODUCT(COUNTIFS(pbp_PlayType,EM_Type,pbp_Batter,$B97,pbp_On2B,"?*")*EM_AB)+SUMPRODUCT(COUNTIFS(pbp_PlayType,EM_Type,pbp_Batter,$B97,pbp_On2B,"",pbp_On3B,"?*")*EM_AB))=0,"",(SUMPRODUCT(COUNTIFS(pbp_PlayType,EM_Type,pbp_Batter,$B97,pbp_On2B,"?*")*EM_H)+SUMPRODUCT(COUNTIFS(pbp_PlayType,EM_Type,pbp_Batter,$B97,pbp_On2B,"",pbp_On3B,"?*")*EM_H))/(SUMPRODUCT(COUNTIFS(pbp_PlayType,EM_Type,pbp_Batter,$B97,pbp_On2B,"?*")*EM_AB)+SUMPRODUCT(COUNTIFS(pbp_PlayType,EM_Type,pbp_Batter,$B97,pbp_On2B,"",pbp_On3B,"?*")*EM_AB))))</f>
        <v/>
      </c>
      <c r="AA97" s="62" t="str">
        <f>IF($B97="","",IF(OR(E97&lt;MinPA,T97=""),"",COUNTIFS($E$6:$E$255,"&gt;="&amp;MinPA,$T$6:$T$255,"&gt;"&amp;T97)+COUNTIFS($E$5:E96,"&gt;="&amp;MinPA,$T$5:T96,T97)+1))</f>
        <v/>
      </c>
    </row>
    <row r="98" spans="2:27" x14ac:dyDescent="0.2">
      <c r="B98" s="44" t="str">
        <f t="array" ref="B98">IFERROR(INDEX(pbp_Batter,MATCH(0,COUNTIF($B$5:B97,pbp_Batter)+(pbp_Batter=""),0)),"")</f>
        <v/>
      </c>
      <c r="C98" s="61" t="str">
        <f>IF($B98="","",IFERROR(INDEX(pbp_BatTeam,MATCH($B98,pbp_Batter,0)),""))</f>
        <v/>
      </c>
      <c r="D98" s="61" t="str">
        <f>IF($B98="","",IFERROR(INDEX(pbp_BatHand,MATCH($B98,pbp_Batter,0)),""))</f>
        <v/>
      </c>
      <c r="E98" s="42" t="str">
        <f>IF($B98="","",SUMPRODUCT(COUNTIFS(pbp_PlayType,EM_Type,pbp_Batter,$B98)*EM_PA))</f>
        <v/>
      </c>
      <c r="F98" s="42" t="str">
        <f>IF($B98="","",SUMPRODUCT(COUNTIFS(pbp_PlayType,EM_Type,pbp_Batter,$B98)*EM_AB))</f>
        <v/>
      </c>
      <c r="G98" s="42" t="str">
        <f>IF($B98="","",SUMPRODUCT(COUNTIFS(pbp_PlayType,EM_Type,pbp_Batter,$B98)*EM_H))</f>
        <v/>
      </c>
      <c r="H98" s="42" t="str">
        <f>IF($B98="","",SUMPRODUCT(COUNTIFS(pbp_PlayType,EM_Type,pbp_Batter,$B98)*EM_2B))</f>
        <v/>
      </c>
      <c r="I98" s="42" t="str">
        <f>IF($B98="","",SUMPRODUCT(COUNTIFS(pbp_PlayType,EM_Type,pbp_Batter,$B98)*EM_3B))</f>
        <v/>
      </c>
      <c r="J98" s="42" t="str">
        <f>IF($B98="","",SUMPRODUCT(COUNTIFS(pbp_PlayType,EM_Type,pbp_Batter,$B98)*EM_HR))</f>
        <v/>
      </c>
      <c r="K98" s="42" t="str">
        <f>IF($B98="","",SUMPRODUCT(COUNTIFS(pbp_PlayType,EM_Type,pbp_Batter,$B98)*EM_1B))</f>
        <v/>
      </c>
      <c r="L98" s="42" t="str">
        <f>IF($B98="","",SUMPRODUCT(COUNTIFS(pbp_PlayType,EM_Type,pbp_Batter,$B98)*EM_BB))</f>
        <v/>
      </c>
      <c r="M98" s="42" t="str">
        <f>IF($B98="","",SUMPRODUCT(COUNTIFS(pbp_PlayType,EM_Type,pbp_Batter,$B98)*EM_HBP))</f>
        <v/>
      </c>
      <c r="N98" s="42" t="str">
        <f>IF($B98="","",COUNTIFS(pbp_PlayType,"?*",pbp_Desc,"*struck out*",pbp_Batter,$B98))</f>
        <v/>
      </c>
      <c r="O98" s="42" t="str">
        <f>IF($B98="","",SUMPRODUCT(COUNTIFS(pbp_PlayType,EM_Type,pbp_Batter,$B98)*EM_SF))</f>
        <v/>
      </c>
      <c r="P98" s="42" t="str">
        <f>IF($B98="","",SUMIFS(pbp_Runs,pbp_Batter,$B98))</f>
        <v/>
      </c>
      <c r="Q98" s="58" t="str">
        <f t="shared" si="8"/>
        <v/>
      </c>
      <c r="R98" s="58" t="str">
        <f t="shared" si="9"/>
        <v/>
      </c>
      <c r="S98" s="58" t="str">
        <f t="shared" si="10"/>
        <v/>
      </c>
      <c r="T98" s="58" t="str">
        <f t="shared" si="11"/>
        <v/>
      </c>
      <c r="U98" s="58" t="str">
        <f t="shared" si="12"/>
        <v/>
      </c>
      <c r="V98" s="59" t="str">
        <f t="shared" si="13"/>
        <v/>
      </c>
      <c r="W98" s="59" t="str">
        <f t="shared" si="14"/>
        <v/>
      </c>
      <c r="X98" s="60" t="str">
        <f>IF($B98="","",IF((E98)=0,"",(SUMIFS(pbp_Pitches,pbp_Batter,$B98,pbp_PlayType,"?*"))/(E98)))</f>
        <v/>
      </c>
      <c r="Y98" s="42" t="str">
        <f t="shared" si="15"/>
        <v/>
      </c>
      <c r="Z98" s="58" t="str">
        <f>IF($B98="","",IF((SUMPRODUCT(COUNTIFS(pbp_PlayType,EM_Type,pbp_Batter,$B98,pbp_On2B,"?*")*EM_AB)+SUMPRODUCT(COUNTIFS(pbp_PlayType,EM_Type,pbp_Batter,$B98,pbp_On2B,"",pbp_On3B,"?*")*EM_AB))=0,"",(SUMPRODUCT(COUNTIFS(pbp_PlayType,EM_Type,pbp_Batter,$B98,pbp_On2B,"?*")*EM_H)+SUMPRODUCT(COUNTIFS(pbp_PlayType,EM_Type,pbp_Batter,$B98,pbp_On2B,"",pbp_On3B,"?*")*EM_H))/(SUMPRODUCT(COUNTIFS(pbp_PlayType,EM_Type,pbp_Batter,$B98,pbp_On2B,"?*")*EM_AB)+SUMPRODUCT(COUNTIFS(pbp_PlayType,EM_Type,pbp_Batter,$B98,pbp_On2B,"",pbp_On3B,"?*")*EM_AB))))</f>
        <v/>
      </c>
      <c r="AA98" s="62" t="str">
        <f>IF($B98="","",IF(OR(E98&lt;MinPA,T98=""),"",COUNTIFS($E$6:$E$255,"&gt;="&amp;MinPA,$T$6:$T$255,"&gt;"&amp;T98)+COUNTIFS($E$5:E97,"&gt;="&amp;MinPA,$T$5:T97,T98)+1))</f>
        <v/>
      </c>
    </row>
    <row r="99" spans="2:27" x14ac:dyDescent="0.2">
      <c r="B99" s="44" t="str">
        <f t="array" ref="B99">IFERROR(INDEX(pbp_Batter,MATCH(0,COUNTIF($B$5:B98,pbp_Batter)+(pbp_Batter=""),0)),"")</f>
        <v/>
      </c>
      <c r="C99" s="61" t="str">
        <f>IF($B99="","",IFERROR(INDEX(pbp_BatTeam,MATCH($B99,pbp_Batter,0)),""))</f>
        <v/>
      </c>
      <c r="D99" s="61" t="str">
        <f>IF($B99="","",IFERROR(INDEX(pbp_BatHand,MATCH($B99,pbp_Batter,0)),""))</f>
        <v/>
      </c>
      <c r="E99" s="42" t="str">
        <f>IF($B99="","",SUMPRODUCT(COUNTIFS(pbp_PlayType,EM_Type,pbp_Batter,$B99)*EM_PA))</f>
        <v/>
      </c>
      <c r="F99" s="42" t="str">
        <f>IF($B99="","",SUMPRODUCT(COUNTIFS(pbp_PlayType,EM_Type,pbp_Batter,$B99)*EM_AB))</f>
        <v/>
      </c>
      <c r="G99" s="42" t="str">
        <f>IF($B99="","",SUMPRODUCT(COUNTIFS(pbp_PlayType,EM_Type,pbp_Batter,$B99)*EM_H))</f>
        <v/>
      </c>
      <c r="H99" s="42" t="str">
        <f>IF($B99="","",SUMPRODUCT(COUNTIFS(pbp_PlayType,EM_Type,pbp_Batter,$B99)*EM_2B))</f>
        <v/>
      </c>
      <c r="I99" s="42" t="str">
        <f>IF($B99="","",SUMPRODUCT(COUNTIFS(pbp_PlayType,EM_Type,pbp_Batter,$B99)*EM_3B))</f>
        <v/>
      </c>
      <c r="J99" s="42" t="str">
        <f>IF($B99="","",SUMPRODUCT(COUNTIFS(pbp_PlayType,EM_Type,pbp_Batter,$B99)*EM_HR))</f>
        <v/>
      </c>
      <c r="K99" s="42" t="str">
        <f>IF($B99="","",SUMPRODUCT(COUNTIFS(pbp_PlayType,EM_Type,pbp_Batter,$B99)*EM_1B))</f>
        <v/>
      </c>
      <c r="L99" s="42" t="str">
        <f>IF($B99="","",SUMPRODUCT(COUNTIFS(pbp_PlayType,EM_Type,pbp_Batter,$B99)*EM_BB))</f>
        <v/>
      </c>
      <c r="M99" s="42" t="str">
        <f>IF($B99="","",SUMPRODUCT(COUNTIFS(pbp_PlayType,EM_Type,pbp_Batter,$B99)*EM_HBP))</f>
        <v/>
      </c>
      <c r="N99" s="42" t="str">
        <f>IF($B99="","",COUNTIFS(pbp_PlayType,"?*",pbp_Desc,"*struck out*",pbp_Batter,$B99))</f>
        <v/>
      </c>
      <c r="O99" s="42" t="str">
        <f>IF($B99="","",SUMPRODUCT(COUNTIFS(pbp_PlayType,EM_Type,pbp_Batter,$B99)*EM_SF))</f>
        <v/>
      </c>
      <c r="P99" s="42" t="str">
        <f>IF($B99="","",SUMIFS(pbp_Runs,pbp_Batter,$B99))</f>
        <v/>
      </c>
      <c r="Q99" s="58" t="str">
        <f t="shared" si="8"/>
        <v/>
      </c>
      <c r="R99" s="58" t="str">
        <f t="shared" si="9"/>
        <v/>
      </c>
      <c r="S99" s="58" t="str">
        <f t="shared" si="10"/>
        <v/>
      </c>
      <c r="T99" s="58" t="str">
        <f t="shared" si="11"/>
        <v/>
      </c>
      <c r="U99" s="58" t="str">
        <f t="shared" si="12"/>
        <v/>
      </c>
      <c r="V99" s="59" t="str">
        <f t="shared" si="13"/>
        <v/>
      </c>
      <c r="W99" s="59" t="str">
        <f t="shared" si="14"/>
        <v/>
      </c>
      <c r="X99" s="60" t="str">
        <f>IF($B99="","",IF((E99)=0,"",(SUMIFS(pbp_Pitches,pbp_Batter,$B99,pbp_PlayType,"?*"))/(E99)))</f>
        <v/>
      </c>
      <c r="Y99" s="42" t="str">
        <f t="shared" si="15"/>
        <v/>
      </c>
      <c r="Z99" s="58" t="str">
        <f>IF($B99="","",IF((SUMPRODUCT(COUNTIFS(pbp_PlayType,EM_Type,pbp_Batter,$B99,pbp_On2B,"?*")*EM_AB)+SUMPRODUCT(COUNTIFS(pbp_PlayType,EM_Type,pbp_Batter,$B99,pbp_On2B,"",pbp_On3B,"?*")*EM_AB))=0,"",(SUMPRODUCT(COUNTIFS(pbp_PlayType,EM_Type,pbp_Batter,$B99,pbp_On2B,"?*")*EM_H)+SUMPRODUCT(COUNTIFS(pbp_PlayType,EM_Type,pbp_Batter,$B99,pbp_On2B,"",pbp_On3B,"?*")*EM_H))/(SUMPRODUCT(COUNTIFS(pbp_PlayType,EM_Type,pbp_Batter,$B99,pbp_On2B,"?*")*EM_AB)+SUMPRODUCT(COUNTIFS(pbp_PlayType,EM_Type,pbp_Batter,$B99,pbp_On2B,"",pbp_On3B,"?*")*EM_AB))))</f>
        <v/>
      </c>
      <c r="AA99" s="62" t="str">
        <f>IF($B99="","",IF(OR(E99&lt;MinPA,T99=""),"",COUNTIFS($E$6:$E$255,"&gt;="&amp;MinPA,$T$6:$T$255,"&gt;"&amp;T99)+COUNTIFS($E$5:E98,"&gt;="&amp;MinPA,$T$5:T98,T99)+1))</f>
        <v/>
      </c>
    </row>
    <row r="100" spans="2:27" x14ac:dyDescent="0.2">
      <c r="B100" s="44" t="str">
        <f t="array" ref="B100">IFERROR(INDEX(pbp_Batter,MATCH(0,COUNTIF($B$5:B99,pbp_Batter)+(pbp_Batter=""),0)),"")</f>
        <v/>
      </c>
      <c r="C100" s="61" t="str">
        <f>IF($B100="","",IFERROR(INDEX(pbp_BatTeam,MATCH($B100,pbp_Batter,0)),""))</f>
        <v/>
      </c>
      <c r="D100" s="61" t="str">
        <f>IF($B100="","",IFERROR(INDEX(pbp_BatHand,MATCH($B100,pbp_Batter,0)),""))</f>
        <v/>
      </c>
      <c r="E100" s="42" t="str">
        <f>IF($B100="","",SUMPRODUCT(COUNTIFS(pbp_PlayType,EM_Type,pbp_Batter,$B100)*EM_PA))</f>
        <v/>
      </c>
      <c r="F100" s="42" t="str">
        <f>IF($B100="","",SUMPRODUCT(COUNTIFS(pbp_PlayType,EM_Type,pbp_Batter,$B100)*EM_AB))</f>
        <v/>
      </c>
      <c r="G100" s="42" t="str">
        <f>IF($B100="","",SUMPRODUCT(COUNTIFS(pbp_PlayType,EM_Type,pbp_Batter,$B100)*EM_H))</f>
        <v/>
      </c>
      <c r="H100" s="42" t="str">
        <f>IF($B100="","",SUMPRODUCT(COUNTIFS(pbp_PlayType,EM_Type,pbp_Batter,$B100)*EM_2B))</f>
        <v/>
      </c>
      <c r="I100" s="42" t="str">
        <f>IF($B100="","",SUMPRODUCT(COUNTIFS(pbp_PlayType,EM_Type,pbp_Batter,$B100)*EM_3B))</f>
        <v/>
      </c>
      <c r="J100" s="42" t="str">
        <f>IF($B100="","",SUMPRODUCT(COUNTIFS(pbp_PlayType,EM_Type,pbp_Batter,$B100)*EM_HR))</f>
        <v/>
      </c>
      <c r="K100" s="42" t="str">
        <f>IF($B100="","",SUMPRODUCT(COUNTIFS(pbp_PlayType,EM_Type,pbp_Batter,$B100)*EM_1B))</f>
        <v/>
      </c>
      <c r="L100" s="42" t="str">
        <f>IF($B100="","",SUMPRODUCT(COUNTIFS(pbp_PlayType,EM_Type,pbp_Batter,$B100)*EM_BB))</f>
        <v/>
      </c>
      <c r="M100" s="42" t="str">
        <f>IF($B100="","",SUMPRODUCT(COUNTIFS(pbp_PlayType,EM_Type,pbp_Batter,$B100)*EM_HBP))</f>
        <v/>
      </c>
      <c r="N100" s="42" t="str">
        <f>IF($B100="","",COUNTIFS(pbp_PlayType,"?*",pbp_Desc,"*struck out*",pbp_Batter,$B100))</f>
        <v/>
      </c>
      <c r="O100" s="42" t="str">
        <f>IF($B100="","",SUMPRODUCT(COUNTIFS(pbp_PlayType,EM_Type,pbp_Batter,$B100)*EM_SF))</f>
        <v/>
      </c>
      <c r="P100" s="42" t="str">
        <f>IF($B100="","",SUMIFS(pbp_Runs,pbp_Batter,$B100))</f>
        <v/>
      </c>
      <c r="Q100" s="58" t="str">
        <f t="shared" si="8"/>
        <v/>
      </c>
      <c r="R100" s="58" t="str">
        <f t="shared" si="9"/>
        <v/>
      </c>
      <c r="S100" s="58" t="str">
        <f t="shared" si="10"/>
        <v/>
      </c>
      <c r="T100" s="58" t="str">
        <f t="shared" si="11"/>
        <v/>
      </c>
      <c r="U100" s="58" t="str">
        <f t="shared" si="12"/>
        <v/>
      </c>
      <c r="V100" s="59" t="str">
        <f t="shared" si="13"/>
        <v/>
      </c>
      <c r="W100" s="59" t="str">
        <f t="shared" si="14"/>
        <v/>
      </c>
      <c r="X100" s="60" t="str">
        <f>IF($B100="","",IF((E100)=0,"",(SUMIFS(pbp_Pitches,pbp_Batter,$B100,pbp_PlayType,"?*"))/(E100)))</f>
        <v/>
      </c>
      <c r="Y100" s="42" t="str">
        <f t="shared" si="15"/>
        <v/>
      </c>
      <c r="Z100" s="58" t="str">
        <f>IF($B100="","",IF((SUMPRODUCT(COUNTIFS(pbp_PlayType,EM_Type,pbp_Batter,$B100,pbp_On2B,"?*")*EM_AB)+SUMPRODUCT(COUNTIFS(pbp_PlayType,EM_Type,pbp_Batter,$B100,pbp_On2B,"",pbp_On3B,"?*")*EM_AB))=0,"",(SUMPRODUCT(COUNTIFS(pbp_PlayType,EM_Type,pbp_Batter,$B100,pbp_On2B,"?*")*EM_H)+SUMPRODUCT(COUNTIFS(pbp_PlayType,EM_Type,pbp_Batter,$B100,pbp_On2B,"",pbp_On3B,"?*")*EM_H))/(SUMPRODUCT(COUNTIFS(pbp_PlayType,EM_Type,pbp_Batter,$B100,pbp_On2B,"?*")*EM_AB)+SUMPRODUCT(COUNTIFS(pbp_PlayType,EM_Type,pbp_Batter,$B100,pbp_On2B,"",pbp_On3B,"?*")*EM_AB))))</f>
        <v/>
      </c>
      <c r="AA100" s="62" t="str">
        <f>IF($B100="","",IF(OR(E100&lt;MinPA,T100=""),"",COUNTIFS($E$6:$E$255,"&gt;="&amp;MinPA,$T$6:$T$255,"&gt;"&amp;T100)+COUNTIFS($E$5:E99,"&gt;="&amp;MinPA,$T$5:T99,T100)+1))</f>
        <v/>
      </c>
    </row>
    <row r="101" spans="2:27" x14ac:dyDescent="0.2">
      <c r="B101" s="44" t="str">
        <f t="array" ref="B101">IFERROR(INDEX(pbp_Batter,MATCH(0,COUNTIF($B$5:B100,pbp_Batter)+(pbp_Batter=""),0)),"")</f>
        <v/>
      </c>
      <c r="C101" s="61" t="str">
        <f>IF($B101="","",IFERROR(INDEX(pbp_BatTeam,MATCH($B101,pbp_Batter,0)),""))</f>
        <v/>
      </c>
      <c r="D101" s="61" t="str">
        <f>IF($B101="","",IFERROR(INDEX(pbp_BatHand,MATCH($B101,pbp_Batter,0)),""))</f>
        <v/>
      </c>
      <c r="E101" s="42" t="str">
        <f>IF($B101="","",SUMPRODUCT(COUNTIFS(pbp_PlayType,EM_Type,pbp_Batter,$B101)*EM_PA))</f>
        <v/>
      </c>
      <c r="F101" s="42" t="str">
        <f>IF($B101="","",SUMPRODUCT(COUNTIFS(pbp_PlayType,EM_Type,pbp_Batter,$B101)*EM_AB))</f>
        <v/>
      </c>
      <c r="G101" s="42" t="str">
        <f>IF($B101="","",SUMPRODUCT(COUNTIFS(pbp_PlayType,EM_Type,pbp_Batter,$B101)*EM_H))</f>
        <v/>
      </c>
      <c r="H101" s="42" t="str">
        <f>IF($B101="","",SUMPRODUCT(COUNTIFS(pbp_PlayType,EM_Type,pbp_Batter,$B101)*EM_2B))</f>
        <v/>
      </c>
      <c r="I101" s="42" t="str">
        <f>IF($B101="","",SUMPRODUCT(COUNTIFS(pbp_PlayType,EM_Type,pbp_Batter,$B101)*EM_3B))</f>
        <v/>
      </c>
      <c r="J101" s="42" t="str">
        <f>IF($B101="","",SUMPRODUCT(COUNTIFS(pbp_PlayType,EM_Type,pbp_Batter,$B101)*EM_HR))</f>
        <v/>
      </c>
      <c r="K101" s="42" t="str">
        <f>IF($B101="","",SUMPRODUCT(COUNTIFS(pbp_PlayType,EM_Type,pbp_Batter,$B101)*EM_1B))</f>
        <v/>
      </c>
      <c r="L101" s="42" t="str">
        <f>IF($B101="","",SUMPRODUCT(COUNTIFS(pbp_PlayType,EM_Type,pbp_Batter,$B101)*EM_BB))</f>
        <v/>
      </c>
      <c r="M101" s="42" t="str">
        <f>IF($B101="","",SUMPRODUCT(COUNTIFS(pbp_PlayType,EM_Type,pbp_Batter,$B101)*EM_HBP))</f>
        <v/>
      </c>
      <c r="N101" s="42" t="str">
        <f>IF($B101="","",COUNTIFS(pbp_PlayType,"?*",pbp_Desc,"*struck out*",pbp_Batter,$B101))</f>
        <v/>
      </c>
      <c r="O101" s="42" t="str">
        <f>IF($B101="","",SUMPRODUCT(COUNTIFS(pbp_PlayType,EM_Type,pbp_Batter,$B101)*EM_SF))</f>
        <v/>
      </c>
      <c r="P101" s="42" t="str">
        <f>IF($B101="","",SUMIFS(pbp_Runs,pbp_Batter,$B101))</f>
        <v/>
      </c>
      <c r="Q101" s="58" t="str">
        <f t="shared" si="8"/>
        <v/>
      </c>
      <c r="R101" s="58" t="str">
        <f t="shared" si="9"/>
        <v/>
      </c>
      <c r="S101" s="58" t="str">
        <f t="shared" si="10"/>
        <v/>
      </c>
      <c r="T101" s="58" t="str">
        <f t="shared" si="11"/>
        <v/>
      </c>
      <c r="U101" s="58" t="str">
        <f t="shared" si="12"/>
        <v/>
      </c>
      <c r="V101" s="59" t="str">
        <f t="shared" si="13"/>
        <v/>
      </c>
      <c r="W101" s="59" t="str">
        <f t="shared" si="14"/>
        <v/>
      </c>
      <c r="X101" s="60" t="str">
        <f>IF($B101="","",IF((E101)=0,"",(SUMIFS(pbp_Pitches,pbp_Batter,$B101,pbp_PlayType,"?*"))/(E101)))</f>
        <v/>
      </c>
      <c r="Y101" s="42" t="str">
        <f t="shared" si="15"/>
        <v/>
      </c>
      <c r="Z101" s="58" t="str">
        <f>IF($B101="","",IF((SUMPRODUCT(COUNTIFS(pbp_PlayType,EM_Type,pbp_Batter,$B101,pbp_On2B,"?*")*EM_AB)+SUMPRODUCT(COUNTIFS(pbp_PlayType,EM_Type,pbp_Batter,$B101,pbp_On2B,"",pbp_On3B,"?*")*EM_AB))=0,"",(SUMPRODUCT(COUNTIFS(pbp_PlayType,EM_Type,pbp_Batter,$B101,pbp_On2B,"?*")*EM_H)+SUMPRODUCT(COUNTIFS(pbp_PlayType,EM_Type,pbp_Batter,$B101,pbp_On2B,"",pbp_On3B,"?*")*EM_H))/(SUMPRODUCT(COUNTIFS(pbp_PlayType,EM_Type,pbp_Batter,$B101,pbp_On2B,"?*")*EM_AB)+SUMPRODUCT(COUNTIFS(pbp_PlayType,EM_Type,pbp_Batter,$B101,pbp_On2B,"",pbp_On3B,"?*")*EM_AB))))</f>
        <v/>
      </c>
      <c r="AA101" s="62" t="str">
        <f>IF($B101="","",IF(OR(E101&lt;MinPA,T101=""),"",COUNTIFS($E$6:$E$255,"&gt;="&amp;MinPA,$T$6:$T$255,"&gt;"&amp;T101)+COUNTIFS($E$5:E100,"&gt;="&amp;MinPA,$T$5:T100,T101)+1))</f>
        <v/>
      </c>
    </row>
    <row r="102" spans="2:27" x14ac:dyDescent="0.2">
      <c r="B102" s="44" t="str">
        <f t="array" ref="B102">IFERROR(INDEX(pbp_Batter,MATCH(0,COUNTIF($B$5:B101,pbp_Batter)+(pbp_Batter=""),0)),"")</f>
        <v/>
      </c>
      <c r="C102" s="61" t="str">
        <f>IF($B102="","",IFERROR(INDEX(pbp_BatTeam,MATCH($B102,pbp_Batter,0)),""))</f>
        <v/>
      </c>
      <c r="D102" s="61" t="str">
        <f>IF($B102="","",IFERROR(INDEX(pbp_BatHand,MATCH($B102,pbp_Batter,0)),""))</f>
        <v/>
      </c>
      <c r="E102" s="42" t="str">
        <f>IF($B102="","",SUMPRODUCT(COUNTIFS(pbp_PlayType,EM_Type,pbp_Batter,$B102)*EM_PA))</f>
        <v/>
      </c>
      <c r="F102" s="42" t="str">
        <f>IF($B102="","",SUMPRODUCT(COUNTIFS(pbp_PlayType,EM_Type,pbp_Batter,$B102)*EM_AB))</f>
        <v/>
      </c>
      <c r="G102" s="42" t="str">
        <f>IF($B102="","",SUMPRODUCT(COUNTIFS(pbp_PlayType,EM_Type,pbp_Batter,$B102)*EM_H))</f>
        <v/>
      </c>
      <c r="H102" s="42" t="str">
        <f>IF($B102="","",SUMPRODUCT(COUNTIFS(pbp_PlayType,EM_Type,pbp_Batter,$B102)*EM_2B))</f>
        <v/>
      </c>
      <c r="I102" s="42" t="str">
        <f>IF($B102="","",SUMPRODUCT(COUNTIFS(pbp_PlayType,EM_Type,pbp_Batter,$B102)*EM_3B))</f>
        <v/>
      </c>
      <c r="J102" s="42" t="str">
        <f>IF($B102="","",SUMPRODUCT(COUNTIFS(pbp_PlayType,EM_Type,pbp_Batter,$B102)*EM_HR))</f>
        <v/>
      </c>
      <c r="K102" s="42" t="str">
        <f>IF($B102="","",SUMPRODUCT(COUNTIFS(pbp_PlayType,EM_Type,pbp_Batter,$B102)*EM_1B))</f>
        <v/>
      </c>
      <c r="L102" s="42" t="str">
        <f>IF($B102="","",SUMPRODUCT(COUNTIFS(pbp_PlayType,EM_Type,pbp_Batter,$B102)*EM_BB))</f>
        <v/>
      </c>
      <c r="M102" s="42" t="str">
        <f>IF($B102="","",SUMPRODUCT(COUNTIFS(pbp_PlayType,EM_Type,pbp_Batter,$B102)*EM_HBP))</f>
        <v/>
      </c>
      <c r="N102" s="42" t="str">
        <f>IF($B102="","",COUNTIFS(pbp_PlayType,"?*",pbp_Desc,"*struck out*",pbp_Batter,$B102))</f>
        <v/>
      </c>
      <c r="O102" s="42" t="str">
        <f>IF($B102="","",SUMPRODUCT(COUNTIFS(pbp_PlayType,EM_Type,pbp_Batter,$B102)*EM_SF))</f>
        <v/>
      </c>
      <c r="P102" s="42" t="str">
        <f>IF($B102="","",SUMIFS(pbp_Runs,pbp_Batter,$B102))</f>
        <v/>
      </c>
      <c r="Q102" s="58" t="str">
        <f t="shared" si="8"/>
        <v/>
      </c>
      <c r="R102" s="58" t="str">
        <f t="shared" si="9"/>
        <v/>
      </c>
      <c r="S102" s="58" t="str">
        <f t="shared" si="10"/>
        <v/>
      </c>
      <c r="T102" s="58" t="str">
        <f t="shared" si="11"/>
        <v/>
      </c>
      <c r="U102" s="58" t="str">
        <f t="shared" si="12"/>
        <v/>
      </c>
      <c r="V102" s="59" t="str">
        <f t="shared" si="13"/>
        <v/>
      </c>
      <c r="W102" s="59" t="str">
        <f t="shared" si="14"/>
        <v/>
      </c>
      <c r="X102" s="60" t="str">
        <f>IF($B102="","",IF((E102)=0,"",(SUMIFS(pbp_Pitches,pbp_Batter,$B102,pbp_PlayType,"?*"))/(E102)))</f>
        <v/>
      </c>
      <c r="Y102" s="42" t="str">
        <f t="shared" si="15"/>
        <v/>
      </c>
      <c r="Z102" s="58" t="str">
        <f>IF($B102="","",IF((SUMPRODUCT(COUNTIFS(pbp_PlayType,EM_Type,pbp_Batter,$B102,pbp_On2B,"?*")*EM_AB)+SUMPRODUCT(COUNTIFS(pbp_PlayType,EM_Type,pbp_Batter,$B102,pbp_On2B,"",pbp_On3B,"?*")*EM_AB))=0,"",(SUMPRODUCT(COUNTIFS(pbp_PlayType,EM_Type,pbp_Batter,$B102,pbp_On2B,"?*")*EM_H)+SUMPRODUCT(COUNTIFS(pbp_PlayType,EM_Type,pbp_Batter,$B102,pbp_On2B,"",pbp_On3B,"?*")*EM_H))/(SUMPRODUCT(COUNTIFS(pbp_PlayType,EM_Type,pbp_Batter,$B102,pbp_On2B,"?*")*EM_AB)+SUMPRODUCT(COUNTIFS(pbp_PlayType,EM_Type,pbp_Batter,$B102,pbp_On2B,"",pbp_On3B,"?*")*EM_AB))))</f>
        <v/>
      </c>
      <c r="AA102" s="62" t="str">
        <f>IF($B102="","",IF(OR(E102&lt;MinPA,T102=""),"",COUNTIFS($E$6:$E$255,"&gt;="&amp;MinPA,$T$6:$T$255,"&gt;"&amp;T102)+COUNTIFS($E$5:E101,"&gt;="&amp;MinPA,$T$5:T101,T102)+1))</f>
        <v/>
      </c>
    </row>
    <row r="103" spans="2:27" x14ac:dyDescent="0.2">
      <c r="B103" s="44" t="str">
        <f t="array" ref="B103">IFERROR(INDEX(pbp_Batter,MATCH(0,COUNTIF($B$5:B102,pbp_Batter)+(pbp_Batter=""),0)),"")</f>
        <v/>
      </c>
      <c r="C103" s="61" t="str">
        <f>IF($B103="","",IFERROR(INDEX(pbp_BatTeam,MATCH($B103,pbp_Batter,0)),""))</f>
        <v/>
      </c>
      <c r="D103" s="61" t="str">
        <f>IF($B103="","",IFERROR(INDEX(pbp_BatHand,MATCH($B103,pbp_Batter,0)),""))</f>
        <v/>
      </c>
      <c r="E103" s="42" t="str">
        <f>IF($B103="","",SUMPRODUCT(COUNTIFS(pbp_PlayType,EM_Type,pbp_Batter,$B103)*EM_PA))</f>
        <v/>
      </c>
      <c r="F103" s="42" t="str">
        <f>IF($B103="","",SUMPRODUCT(COUNTIFS(pbp_PlayType,EM_Type,pbp_Batter,$B103)*EM_AB))</f>
        <v/>
      </c>
      <c r="G103" s="42" t="str">
        <f>IF($B103="","",SUMPRODUCT(COUNTIFS(pbp_PlayType,EM_Type,pbp_Batter,$B103)*EM_H))</f>
        <v/>
      </c>
      <c r="H103" s="42" t="str">
        <f>IF($B103="","",SUMPRODUCT(COUNTIFS(pbp_PlayType,EM_Type,pbp_Batter,$B103)*EM_2B))</f>
        <v/>
      </c>
      <c r="I103" s="42" t="str">
        <f>IF($B103="","",SUMPRODUCT(COUNTIFS(pbp_PlayType,EM_Type,pbp_Batter,$B103)*EM_3B))</f>
        <v/>
      </c>
      <c r="J103" s="42" t="str">
        <f>IF($B103="","",SUMPRODUCT(COUNTIFS(pbp_PlayType,EM_Type,pbp_Batter,$B103)*EM_HR))</f>
        <v/>
      </c>
      <c r="K103" s="42" t="str">
        <f>IF($B103="","",SUMPRODUCT(COUNTIFS(pbp_PlayType,EM_Type,pbp_Batter,$B103)*EM_1B))</f>
        <v/>
      </c>
      <c r="L103" s="42" t="str">
        <f>IF($B103="","",SUMPRODUCT(COUNTIFS(pbp_PlayType,EM_Type,pbp_Batter,$B103)*EM_BB))</f>
        <v/>
      </c>
      <c r="M103" s="42" t="str">
        <f>IF($B103="","",SUMPRODUCT(COUNTIFS(pbp_PlayType,EM_Type,pbp_Batter,$B103)*EM_HBP))</f>
        <v/>
      </c>
      <c r="N103" s="42" t="str">
        <f>IF($B103="","",COUNTIFS(pbp_PlayType,"?*",pbp_Desc,"*struck out*",pbp_Batter,$B103))</f>
        <v/>
      </c>
      <c r="O103" s="42" t="str">
        <f>IF($B103="","",SUMPRODUCT(COUNTIFS(pbp_PlayType,EM_Type,pbp_Batter,$B103)*EM_SF))</f>
        <v/>
      </c>
      <c r="P103" s="42" t="str">
        <f>IF($B103="","",SUMIFS(pbp_Runs,pbp_Batter,$B103))</f>
        <v/>
      </c>
      <c r="Q103" s="58" t="str">
        <f t="shared" si="8"/>
        <v/>
      </c>
      <c r="R103" s="58" t="str">
        <f t="shared" si="9"/>
        <v/>
      </c>
      <c r="S103" s="58" t="str">
        <f t="shared" si="10"/>
        <v/>
      </c>
      <c r="T103" s="58" t="str">
        <f t="shared" si="11"/>
        <v/>
      </c>
      <c r="U103" s="58" t="str">
        <f t="shared" si="12"/>
        <v/>
      </c>
      <c r="V103" s="59" t="str">
        <f t="shared" si="13"/>
        <v/>
      </c>
      <c r="W103" s="59" t="str">
        <f t="shared" si="14"/>
        <v/>
      </c>
      <c r="X103" s="60" t="str">
        <f>IF($B103="","",IF((E103)=0,"",(SUMIFS(pbp_Pitches,pbp_Batter,$B103,pbp_PlayType,"?*"))/(E103)))</f>
        <v/>
      </c>
      <c r="Y103" s="42" t="str">
        <f t="shared" si="15"/>
        <v/>
      </c>
      <c r="Z103" s="58" t="str">
        <f>IF($B103="","",IF((SUMPRODUCT(COUNTIFS(pbp_PlayType,EM_Type,pbp_Batter,$B103,pbp_On2B,"?*")*EM_AB)+SUMPRODUCT(COUNTIFS(pbp_PlayType,EM_Type,pbp_Batter,$B103,pbp_On2B,"",pbp_On3B,"?*")*EM_AB))=0,"",(SUMPRODUCT(COUNTIFS(pbp_PlayType,EM_Type,pbp_Batter,$B103,pbp_On2B,"?*")*EM_H)+SUMPRODUCT(COUNTIFS(pbp_PlayType,EM_Type,pbp_Batter,$B103,pbp_On2B,"",pbp_On3B,"?*")*EM_H))/(SUMPRODUCT(COUNTIFS(pbp_PlayType,EM_Type,pbp_Batter,$B103,pbp_On2B,"?*")*EM_AB)+SUMPRODUCT(COUNTIFS(pbp_PlayType,EM_Type,pbp_Batter,$B103,pbp_On2B,"",pbp_On3B,"?*")*EM_AB))))</f>
        <v/>
      </c>
      <c r="AA103" s="62" t="str">
        <f>IF($B103="","",IF(OR(E103&lt;MinPA,T103=""),"",COUNTIFS($E$6:$E$255,"&gt;="&amp;MinPA,$T$6:$T$255,"&gt;"&amp;T103)+COUNTIFS($E$5:E102,"&gt;="&amp;MinPA,$T$5:T102,T103)+1))</f>
        <v/>
      </c>
    </row>
    <row r="104" spans="2:27" x14ac:dyDescent="0.2">
      <c r="B104" s="44" t="str">
        <f t="array" ref="B104">IFERROR(INDEX(pbp_Batter,MATCH(0,COUNTIF($B$5:B103,pbp_Batter)+(pbp_Batter=""),0)),"")</f>
        <v/>
      </c>
      <c r="C104" s="61" t="str">
        <f>IF($B104="","",IFERROR(INDEX(pbp_BatTeam,MATCH($B104,pbp_Batter,0)),""))</f>
        <v/>
      </c>
      <c r="D104" s="61" t="str">
        <f>IF($B104="","",IFERROR(INDEX(pbp_BatHand,MATCH($B104,pbp_Batter,0)),""))</f>
        <v/>
      </c>
      <c r="E104" s="42" t="str">
        <f>IF($B104="","",SUMPRODUCT(COUNTIFS(pbp_PlayType,EM_Type,pbp_Batter,$B104)*EM_PA))</f>
        <v/>
      </c>
      <c r="F104" s="42" t="str">
        <f>IF($B104="","",SUMPRODUCT(COUNTIFS(pbp_PlayType,EM_Type,pbp_Batter,$B104)*EM_AB))</f>
        <v/>
      </c>
      <c r="G104" s="42" t="str">
        <f>IF($B104="","",SUMPRODUCT(COUNTIFS(pbp_PlayType,EM_Type,pbp_Batter,$B104)*EM_H))</f>
        <v/>
      </c>
      <c r="H104" s="42" t="str">
        <f>IF($B104="","",SUMPRODUCT(COUNTIFS(pbp_PlayType,EM_Type,pbp_Batter,$B104)*EM_2B))</f>
        <v/>
      </c>
      <c r="I104" s="42" t="str">
        <f>IF($B104="","",SUMPRODUCT(COUNTIFS(pbp_PlayType,EM_Type,pbp_Batter,$B104)*EM_3B))</f>
        <v/>
      </c>
      <c r="J104" s="42" t="str">
        <f>IF($B104="","",SUMPRODUCT(COUNTIFS(pbp_PlayType,EM_Type,pbp_Batter,$B104)*EM_HR))</f>
        <v/>
      </c>
      <c r="K104" s="42" t="str">
        <f>IF($B104="","",SUMPRODUCT(COUNTIFS(pbp_PlayType,EM_Type,pbp_Batter,$B104)*EM_1B))</f>
        <v/>
      </c>
      <c r="L104" s="42" t="str">
        <f>IF($B104="","",SUMPRODUCT(COUNTIFS(pbp_PlayType,EM_Type,pbp_Batter,$B104)*EM_BB))</f>
        <v/>
      </c>
      <c r="M104" s="42" t="str">
        <f>IF($B104="","",SUMPRODUCT(COUNTIFS(pbp_PlayType,EM_Type,pbp_Batter,$B104)*EM_HBP))</f>
        <v/>
      </c>
      <c r="N104" s="42" t="str">
        <f>IF($B104="","",COUNTIFS(pbp_PlayType,"?*",pbp_Desc,"*struck out*",pbp_Batter,$B104))</f>
        <v/>
      </c>
      <c r="O104" s="42" t="str">
        <f>IF($B104="","",SUMPRODUCT(COUNTIFS(pbp_PlayType,EM_Type,pbp_Batter,$B104)*EM_SF))</f>
        <v/>
      </c>
      <c r="P104" s="42" t="str">
        <f>IF($B104="","",SUMIFS(pbp_Runs,pbp_Batter,$B104))</f>
        <v/>
      </c>
      <c r="Q104" s="58" t="str">
        <f t="shared" si="8"/>
        <v/>
      </c>
      <c r="R104" s="58" t="str">
        <f t="shared" si="9"/>
        <v/>
      </c>
      <c r="S104" s="58" t="str">
        <f t="shared" si="10"/>
        <v/>
      </c>
      <c r="T104" s="58" t="str">
        <f t="shared" si="11"/>
        <v/>
      </c>
      <c r="U104" s="58" t="str">
        <f t="shared" si="12"/>
        <v/>
      </c>
      <c r="V104" s="59" t="str">
        <f t="shared" si="13"/>
        <v/>
      </c>
      <c r="W104" s="59" t="str">
        <f t="shared" si="14"/>
        <v/>
      </c>
      <c r="X104" s="60" t="str">
        <f>IF($B104="","",IF((E104)=0,"",(SUMIFS(pbp_Pitches,pbp_Batter,$B104,pbp_PlayType,"?*"))/(E104)))</f>
        <v/>
      </c>
      <c r="Y104" s="42" t="str">
        <f t="shared" si="15"/>
        <v/>
      </c>
      <c r="Z104" s="58" t="str">
        <f>IF($B104="","",IF((SUMPRODUCT(COUNTIFS(pbp_PlayType,EM_Type,pbp_Batter,$B104,pbp_On2B,"?*")*EM_AB)+SUMPRODUCT(COUNTIFS(pbp_PlayType,EM_Type,pbp_Batter,$B104,pbp_On2B,"",pbp_On3B,"?*")*EM_AB))=0,"",(SUMPRODUCT(COUNTIFS(pbp_PlayType,EM_Type,pbp_Batter,$B104,pbp_On2B,"?*")*EM_H)+SUMPRODUCT(COUNTIFS(pbp_PlayType,EM_Type,pbp_Batter,$B104,pbp_On2B,"",pbp_On3B,"?*")*EM_H))/(SUMPRODUCT(COUNTIFS(pbp_PlayType,EM_Type,pbp_Batter,$B104,pbp_On2B,"?*")*EM_AB)+SUMPRODUCT(COUNTIFS(pbp_PlayType,EM_Type,pbp_Batter,$B104,pbp_On2B,"",pbp_On3B,"?*")*EM_AB))))</f>
        <v/>
      </c>
      <c r="AA104" s="62" t="str">
        <f>IF($B104="","",IF(OR(E104&lt;MinPA,T104=""),"",COUNTIFS($E$6:$E$255,"&gt;="&amp;MinPA,$T$6:$T$255,"&gt;"&amp;T104)+COUNTIFS($E$5:E103,"&gt;="&amp;MinPA,$T$5:T103,T104)+1))</f>
        <v/>
      </c>
    </row>
    <row r="105" spans="2:27" x14ac:dyDescent="0.2">
      <c r="B105" s="44" t="str">
        <f t="array" ref="B105">IFERROR(INDEX(pbp_Batter,MATCH(0,COUNTIF($B$5:B104,pbp_Batter)+(pbp_Batter=""),0)),"")</f>
        <v/>
      </c>
      <c r="C105" s="61" t="str">
        <f>IF($B105="","",IFERROR(INDEX(pbp_BatTeam,MATCH($B105,pbp_Batter,0)),""))</f>
        <v/>
      </c>
      <c r="D105" s="61" t="str">
        <f>IF($B105="","",IFERROR(INDEX(pbp_BatHand,MATCH($B105,pbp_Batter,0)),""))</f>
        <v/>
      </c>
      <c r="E105" s="42" t="str">
        <f>IF($B105="","",SUMPRODUCT(COUNTIFS(pbp_PlayType,EM_Type,pbp_Batter,$B105)*EM_PA))</f>
        <v/>
      </c>
      <c r="F105" s="42" t="str">
        <f>IF($B105="","",SUMPRODUCT(COUNTIFS(pbp_PlayType,EM_Type,pbp_Batter,$B105)*EM_AB))</f>
        <v/>
      </c>
      <c r="G105" s="42" t="str">
        <f>IF($B105="","",SUMPRODUCT(COUNTIFS(pbp_PlayType,EM_Type,pbp_Batter,$B105)*EM_H))</f>
        <v/>
      </c>
      <c r="H105" s="42" t="str">
        <f>IF($B105="","",SUMPRODUCT(COUNTIFS(pbp_PlayType,EM_Type,pbp_Batter,$B105)*EM_2B))</f>
        <v/>
      </c>
      <c r="I105" s="42" t="str">
        <f>IF($B105="","",SUMPRODUCT(COUNTIFS(pbp_PlayType,EM_Type,pbp_Batter,$B105)*EM_3B))</f>
        <v/>
      </c>
      <c r="J105" s="42" t="str">
        <f>IF($B105="","",SUMPRODUCT(COUNTIFS(pbp_PlayType,EM_Type,pbp_Batter,$B105)*EM_HR))</f>
        <v/>
      </c>
      <c r="K105" s="42" t="str">
        <f>IF($B105="","",SUMPRODUCT(COUNTIFS(pbp_PlayType,EM_Type,pbp_Batter,$B105)*EM_1B))</f>
        <v/>
      </c>
      <c r="L105" s="42" t="str">
        <f>IF($B105="","",SUMPRODUCT(COUNTIFS(pbp_PlayType,EM_Type,pbp_Batter,$B105)*EM_BB))</f>
        <v/>
      </c>
      <c r="M105" s="42" t="str">
        <f>IF($B105="","",SUMPRODUCT(COUNTIFS(pbp_PlayType,EM_Type,pbp_Batter,$B105)*EM_HBP))</f>
        <v/>
      </c>
      <c r="N105" s="42" t="str">
        <f>IF($B105="","",COUNTIFS(pbp_PlayType,"?*",pbp_Desc,"*struck out*",pbp_Batter,$B105))</f>
        <v/>
      </c>
      <c r="O105" s="42" t="str">
        <f>IF($B105="","",SUMPRODUCT(COUNTIFS(pbp_PlayType,EM_Type,pbp_Batter,$B105)*EM_SF))</f>
        <v/>
      </c>
      <c r="P105" s="42" t="str">
        <f>IF($B105="","",SUMIFS(pbp_Runs,pbp_Batter,$B105))</f>
        <v/>
      </c>
      <c r="Q105" s="58" t="str">
        <f t="shared" si="8"/>
        <v/>
      </c>
      <c r="R105" s="58" t="str">
        <f t="shared" si="9"/>
        <v/>
      </c>
      <c r="S105" s="58" t="str">
        <f t="shared" si="10"/>
        <v/>
      </c>
      <c r="T105" s="58" t="str">
        <f t="shared" si="11"/>
        <v/>
      </c>
      <c r="U105" s="58" t="str">
        <f t="shared" si="12"/>
        <v/>
      </c>
      <c r="V105" s="59" t="str">
        <f t="shared" si="13"/>
        <v/>
      </c>
      <c r="W105" s="59" t="str">
        <f t="shared" si="14"/>
        <v/>
      </c>
      <c r="X105" s="60" t="str">
        <f>IF($B105="","",IF((E105)=0,"",(SUMIFS(pbp_Pitches,pbp_Batter,$B105,pbp_PlayType,"?*"))/(E105)))</f>
        <v/>
      </c>
      <c r="Y105" s="42" t="str">
        <f t="shared" si="15"/>
        <v/>
      </c>
      <c r="Z105" s="58" t="str">
        <f>IF($B105="","",IF((SUMPRODUCT(COUNTIFS(pbp_PlayType,EM_Type,pbp_Batter,$B105,pbp_On2B,"?*")*EM_AB)+SUMPRODUCT(COUNTIFS(pbp_PlayType,EM_Type,pbp_Batter,$B105,pbp_On2B,"",pbp_On3B,"?*")*EM_AB))=0,"",(SUMPRODUCT(COUNTIFS(pbp_PlayType,EM_Type,pbp_Batter,$B105,pbp_On2B,"?*")*EM_H)+SUMPRODUCT(COUNTIFS(pbp_PlayType,EM_Type,pbp_Batter,$B105,pbp_On2B,"",pbp_On3B,"?*")*EM_H))/(SUMPRODUCT(COUNTIFS(pbp_PlayType,EM_Type,pbp_Batter,$B105,pbp_On2B,"?*")*EM_AB)+SUMPRODUCT(COUNTIFS(pbp_PlayType,EM_Type,pbp_Batter,$B105,pbp_On2B,"",pbp_On3B,"?*")*EM_AB))))</f>
        <v/>
      </c>
      <c r="AA105" s="62" t="str">
        <f>IF($B105="","",IF(OR(E105&lt;MinPA,T105=""),"",COUNTIFS($E$6:$E$255,"&gt;="&amp;MinPA,$T$6:$T$255,"&gt;"&amp;T105)+COUNTIFS($E$5:E104,"&gt;="&amp;MinPA,$T$5:T104,T105)+1))</f>
        <v/>
      </c>
    </row>
    <row r="106" spans="2:27" x14ac:dyDescent="0.2">
      <c r="B106" s="44" t="str">
        <f t="array" ref="B106">IFERROR(INDEX(pbp_Batter,MATCH(0,COUNTIF($B$5:B105,pbp_Batter)+(pbp_Batter=""),0)),"")</f>
        <v/>
      </c>
      <c r="C106" s="61" t="str">
        <f>IF($B106="","",IFERROR(INDEX(pbp_BatTeam,MATCH($B106,pbp_Batter,0)),""))</f>
        <v/>
      </c>
      <c r="D106" s="61" t="str">
        <f>IF($B106="","",IFERROR(INDEX(pbp_BatHand,MATCH($B106,pbp_Batter,0)),""))</f>
        <v/>
      </c>
      <c r="E106" s="42" t="str">
        <f>IF($B106="","",SUMPRODUCT(COUNTIFS(pbp_PlayType,EM_Type,pbp_Batter,$B106)*EM_PA))</f>
        <v/>
      </c>
      <c r="F106" s="42" t="str">
        <f>IF($B106="","",SUMPRODUCT(COUNTIFS(pbp_PlayType,EM_Type,pbp_Batter,$B106)*EM_AB))</f>
        <v/>
      </c>
      <c r="G106" s="42" t="str">
        <f>IF($B106="","",SUMPRODUCT(COUNTIFS(pbp_PlayType,EM_Type,pbp_Batter,$B106)*EM_H))</f>
        <v/>
      </c>
      <c r="H106" s="42" t="str">
        <f>IF($B106="","",SUMPRODUCT(COUNTIFS(pbp_PlayType,EM_Type,pbp_Batter,$B106)*EM_2B))</f>
        <v/>
      </c>
      <c r="I106" s="42" t="str">
        <f>IF($B106="","",SUMPRODUCT(COUNTIFS(pbp_PlayType,EM_Type,pbp_Batter,$B106)*EM_3B))</f>
        <v/>
      </c>
      <c r="J106" s="42" t="str">
        <f>IF($B106="","",SUMPRODUCT(COUNTIFS(pbp_PlayType,EM_Type,pbp_Batter,$B106)*EM_HR))</f>
        <v/>
      </c>
      <c r="K106" s="42" t="str">
        <f>IF($B106="","",SUMPRODUCT(COUNTIFS(pbp_PlayType,EM_Type,pbp_Batter,$B106)*EM_1B))</f>
        <v/>
      </c>
      <c r="L106" s="42" t="str">
        <f>IF($B106="","",SUMPRODUCT(COUNTIFS(pbp_PlayType,EM_Type,pbp_Batter,$B106)*EM_BB))</f>
        <v/>
      </c>
      <c r="M106" s="42" t="str">
        <f>IF($B106="","",SUMPRODUCT(COUNTIFS(pbp_PlayType,EM_Type,pbp_Batter,$B106)*EM_HBP))</f>
        <v/>
      </c>
      <c r="N106" s="42" t="str">
        <f>IF($B106="","",COUNTIFS(pbp_PlayType,"?*",pbp_Desc,"*struck out*",pbp_Batter,$B106))</f>
        <v/>
      </c>
      <c r="O106" s="42" t="str">
        <f>IF($B106="","",SUMPRODUCT(COUNTIFS(pbp_PlayType,EM_Type,pbp_Batter,$B106)*EM_SF))</f>
        <v/>
      </c>
      <c r="P106" s="42" t="str">
        <f>IF($B106="","",SUMIFS(pbp_Runs,pbp_Batter,$B106))</f>
        <v/>
      </c>
      <c r="Q106" s="58" t="str">
        <f t="shared" si="8"/>
        <v/>
      </c>
      <c r="R106" s="58" t="str">
        <f t="shared" si="9"/>
        <v/>
      </c>
      <c r="S106" s="58" t="str">
        <f t="shared" si="10"/>
        <v/>
      </c>
      <c r="T106" s="58" t="str">
        <f t="shared" si="11"/>
        <v/>
      </c>
      <c r="U106" s="58" t="str">
        <f t="shared" si="12"/>
        <v/>
      </c>
      <c r="V106" s="59" t="str">
        <f t="shared" si="13"/>
        <v/>
      </c>
      <c r="W106" s="59" t="str">
        <f t="shared" si="14"/>
        <v/>
      </c>
      <c r="X106" s="60" t="str">
        <f>IF($B106="","",IF((E106)=0,"",(SUMIFS(pbp_Pitches,pbp_Batter,$B106,pbp_PlayType,"?*"))/(E106)))</f>
        <v/>
      </c>
      <c r="Y106" s="42" t="str">
        <f t="shared" si="15"/>
        <v/>
      </c>
      <c r="Z106" s="58" t="str">
        <f>IF($B106="","",IF((SUMPRODUCT(COUNTIFS(pbp_PlayType,EM_Type,pbp_Batter,$B106,pbp_On2B,"?*")*EM_AB)+SUMPRODUCT(COUNTIFS(pbp_PlayType,EM_Type,pbp_Batter,$B106,pbp_On2B,"",pbp_On3B,"?*")*EM_AB))=0,"",(SUMPRODUCT(COUNTIFS(pbp_PlayType,EM_Type,pbp_Batter,$B106,pbp_On2B,"?*")*EM_H)+SUMPRODUCT(COUNTIFS(pbp_PlayType,EM_Type,pbp_Batter,$B106,pbp_On2B,"",pbp_On3B,"?*")*EM_H))/(SUMPRODUCT(COUNTIFS(pbp_PlayType,EM_Type,pbp_Batter,$B106,pbp_On2B,"?*")*EM_AB)+SUMPRODUCT(COUNTIFS(pbp_PlayType,EM_Type,pbp_Batter,$B106,pbp_On2B,"",pbp_On3B,"?*")*EM_AB))))</f>
        <v/>
      </c>
      <c r="AA106" s="62" t="str">
        <f>IF($B106="","",IF(OR(E106&lt;MinPA,T106=""),"",COUNTIFS($E$6:$E$255,"&gt;="&amp;MinPA,$T$6:$T$255,"&gt;"&amp;T106)+COUNTIFS($E$5:E105,"&gt;="&amp;MinPA,$T$5:T105,T106)+1))</f>
        <v/>
      </c>
    </row>
    <row r="107" spans="2:27" x14ac:dyDescent="0.2">
      <c r="B107" s="44" t="str">
        <f t="array" ref="B107">IFERROR(INDEX(pbp_Batter,MATCH(0,COUNTIF($B$5:B106,pbp_Batter)+(pbp_Batter=""),0)),"")</f>
        <v/>
      </c>
      <c r="C107" s="61" t="str">
        <f>IF($B107="","",IFERROR(INDEX(pbp_BatTeam,MATCH($B107,pbp_Batter,0)),""))</f>
        <v/>
      </c>
      <c r="D107" s="61" t="str">
        <f>IF($B107="","",IFERROR(INDEX(pbp_BatHand,MATCH($B107,pbp_Batter,0)),""))</f>
        <v/>
      </c>
      <c r="E107" s="42" t="str">
        <f>IF($B107="","",SUMPRODUCT(COUNTIFS(pbp_PlayType,EM_Type,pbp_Batter,$B107)*EM_PA))</f>
        <v/>
      </c>
      <c r="F107" s="42" t="str">
        <f>IF($B107="","",SUMPRODUCT(COUNTIFS(pbp_PlayType,EM_Type,pbp_Batter,$B107)*EM_AB))</f>
        <v/>
      </c>
      <c r="G107" s="42" t="str">
        <f>IF($B107="","",SUMPRODUCT(COUNTIFS(pbp_PlayType,EM_Type,pbp_Batter,$B107)*EM_H))</f>
        <v/>
      </c>
      <c r="H107" s="42" t="str">
        <f>IF($B107="","",SUMPRODUCT(COUNTIFS(pbp_PlayType,EM_Type,pbp_Batter,$B107)*EM_2B))</f>
        <v/>
      </c>
      <c r="I107" s="42" t="str">
        <f>IF($B107="","",SUMPRODUCT(COUNTIFS(pbp_PlayType,EM_Type,pbp_Batter,$B107)*EM_3B))</f>
        <v/>
      </c>
      <c r="J107" s="42" t="str">
        <f>IF($B107="","",SUMPRODUCT(COUNTIFS(pbp_PlayType,EM_Type,pbp_Batter,$B107)*EM_HR))</f>
        <v/>
      </c>
      <c r="K107" s="42" t="str">
        <f>IF($B107="","",SUMPRODUCT(COUNTIFS(pbp_PlayType,EM_Type,pbp_Batter,$B107)*EM_1B))</f>
        <v/>
      </c>
      <c r="L107" s="42" t="str">
        <f>IF($B107="","",SUMPRODUCT(COUNTIFS(pbp_PlayType,EM_Type,pbp_Batter,$B107)*EM_BB))</f>
        <v/>
      </c>
      <c r="M107" s="42" t="str">
        <f>IF($B107="","",SUMPRODUCT(COUNTIFS(pbp_PlayType,EM_Type,pbp_Batter,$B107)*EM_HBP))</f>
        <v/>
      </c>
      <c r="N107" s="42" t="str">
        <f>IF($B107="","",COUNTIFS(pbp_PlayType,"?*",pbp_Desc,"*struck out*",pbp_Batter,$B107))</f>
        <v/>
      </c>
      <c r="O107" s="42" t="str">
        <f>IF($B107="","",SUMPRODUCT(COUNTIFS(pbp_PlayType,EM_Type,pbp_Batter,$B107)*EM_SF))</f>
        <v/>
      </c>
      <c r="P107" s="42" t="str">
        <f>IF($B107="","",SUMIFS(pbp_Runs,pbp_Batter,$B107))</f>
        <v/>
      </c>
      <c r="Q107" s="58" t="str">
        <f t="shared" si="8"/>
        <v/>
      </c>
      <c r="R107" s="58" t="str">
        <f t="shared" si="9"/>
        <v/>
      </c>
      <c r="S107" s="58" t="str">
        <f t="shared" si="10"/>
        <v/>
      </c>
      <c r="T107" s="58" t="str">
        <f t="shared" si="11"/>
        <v/>
      </c>
      <c r="U107" s="58" t="str">
        <f t="shared" si="12"/>
        <v/>
      </c>
      <c r="V107" s="59" t="str">
        <f t="shared" si="13"/>
        <v/>
      </c>
      <c r="W107" s="59" t="str">
        <f t="shared" si="14"/>
        <v/>
      </c>
      <c r="X107" s="60" t="str">
        <f>IF($B107="","",IF((E107)=0,"",(SUMIFS(pbp_Pitches,pbp_Batter,$B107,pbp_PlayType,"?*"))/(E107)))</f>
        <v/>
      </c>
      <c r="Y107" s="42" t="str">
        <f t="shared" si="15"/>
        <v/>
      </c>
      <c r="Z107" s="58" t="str">
        <f>IF($B107="","",IF((SUMPRODUCT(COUNTIFS(pbp_PlayType,EM_Type,pbp_Batter,$B107,pbp_On2B,"?*")*EM_AB)+SUMPRODUCT(COUNTIFS(pbp_PlayType,EM_Type,pbp_Batter,$B107,pbp_On2B,"",pbp_On3B,"?*")*EM_AB))=0,"",(SUMPRODUCT(COUNTIFS(pbp_PlayType,EM_Type,pbp_Batter,$B107,pbp_On2B,"?*")*EM_H)+SUMPRODUCT(COUNTIFS(pbp_PlayType,EM_Type,pbp_Batter,$B107,pbp_On2B,"",pbp_On3B,"?*")*EM_H))/(SUMPRODUCT(COUNTIFS(pbp_PlayType,EM_Type,pbp_Batter,$B107,pbp_On2B,"?*")*EM_AB)+SUMPRODUCT(COUNTIFS(pbp_PlayType,EM_Type,pbp_Batter,$B107,pbp_On2B,"",pbp_On3B,"?*")*EM_AB))))</f>
        <v/>
      </c>
      <c r="AA107" s="62" t="str">
        <f>IF($B107="","",IF(OR(E107&lt;MinPA,T107=""),"",COUNTIFS($E$6:$E$255,"&gt;="&amp;MinPA,$T$6:$T$255,"&gt;"&amp;T107)+COUNTIFS($E$5:E106,"&gt;="&amp;MinPA,$T$5:T106,T107)+1))</f>
        <v/>
      </c>
    </row>
    <row r="108" spans="2:27" x14ac:dyDescent="0.2">
      <c r="B108" s="44" t="str">
        <f t="array" ref="B108">IFERROR(INDEX(pbp_Batter,MATCH(0,COUNTIF($B$5:B107,pbp_Batter)+(pbp_Batter=""),0)),"")</f>
        <v/>
      </c>
      <c r="C108" s="61" t="str">
        <f>IF($B108="","",IFERROR(INDEX(pbp_BatTeam,MATCH($B108,pbp_Batter,0)),""))</f>
        <v/>
      </c>
      <c r="D108" s="61" t="str">
        <f>IF($B108="","",IFERROR(INDEX(pbp_BatHand,MATCH($B108,pbp_Batter,0)),""))</f>
        <v/>
      </c>
      <c r="E108" s="42" t="str">
        <f>IF($B108="","",SUMPRODUCT(COUNTIFS(pbp_PlayType,EM_Type,pbp_Batter,$B108)*EM_PA))</f>
        <v/>
      </c>
      <c r="F108" s="42" t="str">
        <f>IF($B108="","",SUMPRODUCT(COUNTIFS(pbp_PlayType,EM_Type,pbp_Batter,$B108)*EM_AB))</f>
        <v/>
      </c>
      <c r="G108" s="42" t="str">
        <f>IF($B108="","",SUMPRODUCT(COUNTIFS(pbp_PlayType,EM_Type,pbp_Batter,$B108)*EM_H))</f>
        <v/>
      </c>
      <c r="H108" s="42" t="str">
        <f>IF($B108="","",SUMPRODUCT(COUNTIFS(pbp_PlayType,EM_Type,pbp_Batter,$B108)*EM_2B))</f>
        <v/>
      </c>
      <c r="I108" s="42" t="str">
        <f>IF($B108="","",SUMPRODUCT(COUNTIFS(pbp_PlayType,EM_Type,pbp_Batter,$B108)*EM_3B))</f>
        <v/>
      </c>
      <c r="J108" s="42" t="str">
        <f>IF($B108="","",SUMPRODUCT(COUNTIFS(pbp_PlayType,EM_Type,pbp_Batter,$B108)*EM_HR))</f>
        <v/>
      </c>
      <c r="K108" s="42" t="str">
        <f>IF($B108="","",SUMPRODUCT(COUNTIFS(pbp_PlayType,EM_Type,pbp_Batter,$B108)*EM_1B))</f>
        <v/>
      </c>
      <c r="L108" s="42" t="str">
        <f>IF($B108="","",SUMPRODUCT(COUNTIFS(pbp_PlayType,EM_Type,pbp_Batter,$B108)*EM_BB))</f>
        <v/>
      </c>
      <c r="M108" s="42" t="str">
        <f>IF($B108="","",SUMPRODUCT(COUNTIFS(pbp_PlayType,EM_Type,pbp_Batter,$B108)*EM_HBP))</f>
        <v/>
      </c>
      <c r="N108" s="42" t="str">
        <f>IF($B108="","",COUNTIFS(pbp_PlayType,"?*",pbp_Desc,"*struck out*",pbp_Batter,$B108))</f>
        <v/>
      </c>
      <c r="O108" s="42" t="str">
        <f>IF($B108="","",SUMPRODUCT(COUNTIFS(pbp_PlayType,EM_Type,pbp_Batter,$B108)*EM_SF))</f>
        <v/>
      </c>
      <c r="P108" s="42" t="str">
        <f>IF($B108="","",SUMIFS(pbp_Runs,pbp_Batter,$B108))</f>
        <v/>
      </c>
      <c r="Q108" s="58" t="str">
        <f t="shared" si="8"/>
        <v/>
      </c>
      <c r="R108" s="58" t="str">
        <f t="shared" si="9"/>
        <v/>
      </c>
      <c r="S108" s="58" t="str">
        <f t="shared" si="10"/>
        <v/>
      </c>
      <c r="T108" s="58" t="str">
        <f t="shared" si="11"/>
        <v/>
      </c>
      <c r="U108" s="58" t="str">
        <f t="shared" si="12"/>
        <v/>
      </c>
      <c r="V108" s="59" t="str">
        <f t="shared" si="13"/>
        <v/>
      </c>
      <c r="W108" s="59" t="str">
        <f t="shared" si="14"/>
        <v/>
      </c>
      <c r="X108" s="60" t="str">
        <f>IF($B108="","",IF((E108)=0,"",(SUMIFS(pbp_Pitches,pbp_Batter,$B108,pbp_PlayType,"?*"))/(E108)))</f>
        <v/>
      </c>
      <c r="Y108" s="42" t="str">
        <f t="shared" si="15"/>
        <v/>
      </c>
      <c r="Z108" s="58" t="str">
        <f>IF($B108="","",IF((SUMPRODUCT(COUNTIFS(pbp_PlayType,EM_Type,pbp_Batter,$B108,pbp_On2B,"?*")*EM_AB)+SUMPRODUCT(COUNTIFS(pbp_PlayType,EM_Type,pbp_Batter,$B108,pbp_On2B,"",pbp_On3B,"?*")*EM_AB))=0,"",(SUMPRODUCT(COUNTIFS(pbp_PlayType,EM_Type,pbp_Batter,$B108,pbp_On2B,"?*")*EM_H)+SUMPRODUCT(COUNTIFS(pbp_PlayType,EM_Type,pbp_Batter,$B108,pbp_On2B,"",pbp_On3B,"?*")*EM_H))/(SUMPRODUCT(COUNTIFS(pbp_PlayType,EM_Type,pbp_Batter,$B108,pbp_On2B,"?*")*EM_AB)+SUMPRODUCT(COUNTIFS(pbp_PlayType,EM_Type,pbp_Batter,$B108,pbp_On2B,"",pbp_On3B,"?*")*EM_AB))))</f>
        <v/>
      </c>
      <c r="AA108" s="62" t="str">
        <f>IF($B108="","",IF(OR(E108&lt;MinPA,T108=""),"",COUNTIFS($E$6:$E$255,"&gt;="&amp;MinPA,$T$6:$T$255,"&gt;"&amp;T108)+COUNTIFS($E$5:E107,"&gt;="&amp;MinPA,$T$5:T107,T108)+1))</f>
        <v/>
      </c>
    </row>
    <row r="109" spans="2:27" x14ac:dyDescent="0.2">
      <c r="B109" s="44" t="str">
        <f t="array" ref="B109">IFERROR(INDEX(pbp_Batter,MATCH(0,COUNTIF($B$5:B108,pbp_Batter)+(pbp_Batter=""),0)),"")</f>
        <v/>
      </c>
      <c r="C109" s="61" t="str">
        <f>IF($B109="","",IFERROR(INDEX(pbp_BatTeam,MATCH($B109,pbp_Batter,0)),""))</f>
        <v/>
      </c>
      <c r="D109" s="61" t="str">
        <f>IF($B109="","",IFERROR(INDEX(pbp_BatHand,MATCH($B109,pbp_Batter,0)),""))</f>
        <v/>
      </c>
      <c r="E109" s="42" t="str">
        <f>IF($B109="","",SUMPRODUCT(COUNTIFS(pbp_PlayType,EM_Type,pbp_Batter,$B109)*EM_PA))</f>
        <v/>
      </c>
      <c r="F109" s="42" t="str">
        <f>IF($B109="","",SUMPRODUCT(COUNTIFS(pbp_PlayType,EM_Type,pbp_Batter,$B109)*EM_AB))</f>
        <v/>
      </c>
      <c r="G109" s="42" t="str">
        <f>IF($B109="","",SUMPRODUCT(COUNTIFS(pbp_PlayType,EM_Type,pbp_Batter,$B109)*EM_H))</f>
        <v/>
      </c>
      <c r="H109" s="42" t="str">
        <f>IF($B109="","",SUMPRODUCT(COUNTIFS(pbp_PlayType,EM_Type,pbp_Batter,$B109)*EM_2B))</f>
        <v/>
      </c>
      <c r="I109" s="42" t="str">
        <f>IF($B109="","",SUMPRODUCT(COUNTIFS(pbp_PlayType,EM_Type,pbp_Batter,$B109)*EM_3B))</f>
        <v/>
      </c>
      <c r="J109" s="42" t="str">
        <f>IF($B109="","",SUMPRODUCT(COUNTIFS(pbp_PlayType,EM_Type,pbp_Batter,$B109)*EM_HR))</f>
        <v/>
      </c>
      <c r="K109" s="42" t="str">
        <f>IF($B109="","",SUMPRODUCT(COUNTIFS(pbp_PlayType,EM_Type,pbp_Batter,$B109)*EM_1B))</f>
        <v/>
      </c>
      <c r="L109" s="42" t="str">
        <f>IF($B109="","",SUMPRODUCT(COUNTIFS(pbp_PlayType,EM_Type,pbp_Batter,$B109)*EM_BB))</f>
        <v/>
      </c>
      <c r="M109" s="42" t="str">
        <f>IF($B109="","",SUMPRODUCT(COUNTIFS(pbp_PlayType,EM_Type,pbp_Batter,$B109)*EM_HBP))</f>
        <v/>
      </c>
      <c r="N109" s="42" t="str">
        <f>IF($B109="","",COUNTIFS(pbp_PlayType,"?*",pbp_Desc,"*struck out*",pbp_Batter,$B109))</f>
        <v/>
      </c>
      <c r="O109" s="42" t="str">
        <f>IF($B109="","",SUMPRODUCT(COUNTIFS(pbp_PlayType,EM_Type,pbp_Batter,$B109)*EM_SF))</f>
        <v/>
      </c>
      <c r="P109" s="42" t="str">
        <f>IF($B109="","",SUMIFS(pbp_Runs,pbp_Batter,$B109))</f>
        <v/>
      </c>
      <c r="Q109" s="58" t="str">
        <f t="shared" si="8"/>
        <v/>
      </c>
      <c r="R109" s="58" t="str">
        <f t="shared" si="9"/>
        <v/>
      </c>
      <c r="S109" s="58" t="str">
        <f t="shared" si="10"/>
        <v/>
      </c>
      <c r="T109" s="58" t="str">
        <f t="shared" si="11"/>
        <v/>
      </c>
      <c r="U109" s="58" t="str">
        <f t="shared" si="12"/>
        <v/>
      </c>
      <c r="V109" s="59" t="str">
        <f t="shared" si="13"/>
        <v/>
      </c>
      <c r="W109" s="59" t="str">
        <f t="shared" si="14"/>
        <v/>
      </c>
      <c r="X109" s="60" t="str">
        <f>IF($B109="","",IF((E109)=0,"",(SUMIFS(pbp_Pitches,pbp_Batter,$B109,pbp_PlayType,"?*"))/(E109)))</f>
        <v/>
      </c>
      <c r="Y109" s="42" t="str">
        <f t="shared" si="15"/>
        <v/>
      </c>
      <c r="Z109" s="58" t="str">
        <f>IF($B109="","",IF((SUMPRODUCT(COUNTIFS(pbp_PlayType,EM_Type,pbp_Batter,$B109,pbp_On2B,"?*")*EM_AB)+SUMPRODUCT(COUNTIFS(pbp_PlayType,EM_Type,pbp_Batter,$B109,pbp_On2B,"",pbp_On3B,"?*")*EM_AB))=0,"",(SUMPRODUCT(COUNTIFS(pbp_PlayType,EM_Type,pbp_Batter,$B109,pbp_On2B,"?*")*EM_H)+SUMPRODUCT(COUNTIFS(pbp_PlayType,EM_Type,pbp_Batter,$B109,pbp_On2B,"",pbp_On3B,"?*")*EM_H))/(SUMPRODUCT(COUNTIFS(pbp_PlayType,EM_Type,pbp_Batter,$B109,pbp_On2B,"?*")*EM_AB)+SUMPRODUCT(COUNTIFS(pbp_PlayType,EM_Type,pbp_Batter,$B109,pbp_On2B,"",pbp_On3B,"?*")*EM_AB))))</f>
        <v/>
      </c>
      <c r="AA109" s="62" t="str">
        <f>IF($B109="","",IF(OR(E109&lt;MinPA,T109=""),"",COUNTIFS($E$6:$E$255,"&gt;="&amp;MinPA,$T$6:$T$255,"&gt;"&amp;T109)+COUNTIFS($E$5:E108,"&gt;="&amp;MinPA,$T$5:T108,T109)+1))</f>
        <v/>
      </c>
    </row>
    <row r="110" spans="2:27" x14ac:dyDescent="0.2">
      <c r="B110" s="44" t="str">
        <f t="array" ref="B110">IFERROR(INDEX(pbp_Batter,MATCH(0,COUNTIF($B$5:B109,pbp_Batter)+(pbp_Batter=""),0)),"")</f>
        <v/>
      </c>
      <c r="C110" s="61" t="str">
        <f>IF($B110="","",IFERROR(INDEX(pbp_BatTeam,MATCH($B110,pbp_Batter,0)),""))</f>
        <v/>
      </c>
      <c r="D110" s="61" t="str">
        <f>IF($B110="","",IFERROR(INDEX(pbp_BatHand,MATCH($B110,pbp_Batter,0)),""))</f>
        <v/>
      </c>
      <c r="E110" s="42" t="str">
        <f>IF($B110="","",SUMPRODUCT(COUNTIFS(pbp_PlayType,EM_Type,pbp_Batter,$B110)*EM_PA))</f>
        <v/>
      </c>
      <c r="F110" s="42" t="str">
        <f>IF($B110="","",SUMPRODUCT(COUNTIFS(pbp_PlayType,EM_Type,pbp_Batter,$B110)*EM_AB))</f>
        <v/>
      </c>
      <c r="G110" s="42" t="str">
        <f>IF($B110="","",SUMPRODUCT(COUNTIFS(pbp_PlayType,EM_Type,pbp_Batter,$B110)*EM_H))</f>
        <v/>
      </c>
      <c r="H110" s="42" t="str">
        <f>IF($B110="","",SUMPRODUCT(COUNTIFS(pbp_PlayType,EM_Type,pbp_Batter,$B110)*EM_2B))</f>
        <v/>
      </c>
      <c r="I110" s="42" t="str">
        <f>IF($B110="","",SUMPRODUCT(COUNTIFS(pbp_PlayType,EM_Type,pbp_Batter,$B110)*EM_3B))</f>
        <v/>
      </c>
      <c r="J110" s="42" t="str">
        <f>IF($B110="","",SUMPRODUCT(COUNTIFS(pbp_PlayType,EM_Type,pbp_Batter,$B110)*EM_HR))</f>
        <v/>
      </c>
      <c r="K110" s="42" t="str">
        <f>IF($B110="","",SUMPRODUCT(COUNTIFS(pbp_PlayType,EM_Type,pbp_Batter,$B110)*EM_1B))</f>
        <v/>
      </c>
      <c r="L110" s="42" t="str">
        <f>IF($B110="","",SUMPRODUCT(COUNTIFS(pbp_PlayType,EM_Type,pbp_Batter,$B110)*EM_BB))</f>
        <v/>
      </c>
      <c r="M110" s="42" t="str">
        <f>IF($B110="","",SUMPRODUCT(COUNTIFS(pbp_PlayType,EM_Type,pbp_Batter,$B110)*EM_HBP))</f>
        <v/>
      </c>
      <c r="N110" s="42" t="str">
        <f>IF($B110="","",COUNTIFS(pbp_PlayType,"?*",pbp_Desc,"*struck out*",pbp_Batter,$B110))</f>
        <v/>
      </c>
      <c r="O110" s="42" t="str">
        <f>IF($B110="","",SUMPRODUCT(COUNTIFS(pbp_PlayType,EM_Type,pbp_Batter,$B110)*EM_SF))</f>
        <v/>
      </c>
      <c r="P110" s="42" t="str">
        <f>IF($B110="","",SUMIFS(pbp_Runs,pbp_Batter,$B110))</f>
        <v/>
      </c>
      <c r="Q110" s="58" t="str">
        <f t="shared" si="8"/>
        <v/>
      </c>
      <c r="R110" s="58" t="str">
        <f t="shared" si="9"/>
        <v/>
      </c>
      <c r="S110" s="58" t="str">
        <f t="shared" si="10"/>
        <v/>
      </c>
      <c r="T110" s="58" t="str">
        <f t="shared" si="11"/>
        <v/>
      </c>
      <c r="U110" s="58" t="str">
        <f t="shared" si="12"/>
        <v/>
      </c>
      <c r="V110" s="59" t="str">
        <f t="shared" si="13"/>
        <v/>
      </c>
      <c r="W110" s="59" t="str">
        <f t="shared" si="14"/>
        <v/>
      </c>
      <c r="X110" s="60" t="str">
        <f>IF($B110="","",IF((E110)=0,"",(SUMIFS(pbp_Pitches,pbp_Batter,$B110,pbp_PlayType,"?*"))/(E110)))</f>
        <v/>
      </c>
      <c r="Y110" s="42" t="str">
        <f t="shared" si="15"/>
        <v/>
      </c>
      <c r="Z110" s="58" t="str">
        <f>IF($B110="","",IF((SUMPRODUCT(COUNTIFS(pbp_PlayType,EM_Type,pbp_Batter,$B110,pbp_On2B,"?*")*EM_AB)+SUMPRODUCT(COUNTIFS(pbp_PlayType,EM_Type,pbp_Batter,$B110,pbp_On2B,"",pbp_On3B,"?*")*EM_AB))=0,"",(SUMPRODUCT(COUNTIFS(pbp_PlayType,EM_Type,pbp_Batter,$B110,pbp_On2B,"?*")*EM_H)+SUMPRODUCT(COUNTIFS(pbp_PlayType,EM_Type,pbp_Batter,$B110,pbp_On2B,"",pbp_On3B,"?*")*EM_H))/(SUMPRODUCT(COUNTIFS(pbp_PlayType,EM_Type,pbp_Batter,$B110,pbp_On2B,"?*")*EM_AB)+SUMPRODUCT(COUNTIFS(pbp_PlayType,EM_Type,pbp_Batter,$B110,pbp_On2B,"",pbp_On3B,"?*")*EM_AB))))</f>
        <v/>
      </c>
      <c r="AA110" s="62" t="str">
        <f>IF($B110="","",IF(OR(E110&lt;MinPA,T110=""),"",COUNTIFS($E$6:$E$255,"&gt;="&amp;MinPA,$T$6:$T$255,"&gt;"&amp;T110)+COUNTIFS($E$5:E109,"&gt;="&amp;MinPA,$T$5:T109,T110)+1))</f>
        <v/>
      </c>
    </row>
    <row r="111" spans="2:27" x14ac:dyDescent="0.2">
      <c r="B111" s="44" t="str">
        <f t="array" ref="B111">IFERROR(INDEX(pbp_Batter,MATCH(0,COUNTIF($B$5:B110,pbp_Batter)+(pbp_Batter=""),0)),"")</f>
        <v/>
      </c>
      <c r="C111" s="61" t="str">
        <f>IF($B111="","",IFERROR(INDEX(pbp_BatTeam,MATCH($B111,pbp_Batter,0)),""))</f>
        <v/>
      </c>
      <c r="D111" s="61" t="str">
        <f>IF($B111="","",IFERROR(INDEX(pbp_BatHand,MATCH($B111,pbp_Batter,0)),""))</f>
        <v/>
      </c>
      <c r="E111" s="42" t="str">
        <f>IF($B111="","",SUMPRODUCT(COUNTIFS(pbp_PlayType,EM_Type,pbp_Batter,$B111)*EM_PA))</f>
        <v/>
      </c>
      <c r="F111" s="42" t="str">
        <f>IF($B111="","",SUMPRODUCT(COUNTIFS(pbp_PlayType,EM_Type,pbp_Batter,$B111)*EM_AB))</f>
        <v/>
      </c>
      <c r="G111" s="42" t="str">
        <f>IF($B111="","",SUMPRODUCT(COUNTIFS(pbp_PlayType,EM_Type,pbp_Batter,$B111)*EM_H))</f>
        <v/>
      </c>
      <c r="H111" s="42" t="str">
        <f>IF($B111="","",SUMPRODUCT(COUNTIFS(pbp_PlayType,EM_Type,pbp_Batter,$B111)*EM_2B))</f>
        <v/>
      </c>
      <c r="I111" s="42" t="str">
        <f>IF($B111="","",SUMPRODUCT(COUNTIFS(pbp_PlayType,EM_Type,pbp_Batter,$B111)*EM_3B))</f>
        <v/>
      </c>
      <c r="J111" s="42" t="str">
        <f>IF($B111="","",SUMPRODUCT(COUNTIFS(pbp_PlayType,EM_Type,pbp_Batter,$B111)*EM_HR))</f>
        <v/>
      </c>
      <c r="K111" s="42" t="str">
        <f>IF($B111="","",SUMPRODUCT(COUNTIFS(pbp_PlayType,EM_Type,pbp_Batter,$B111)*EM_1B))</f>
        <v/>
      </c>
      <c r="L111" s="42" t="str">
        <f>IF($B111="","",SUMPRODUCT(COUNTIFS(pbp_PlayType,EM_Type,pbp_Batter,$B111)*EM_BB))</f>
        <v/>
      </c>
      <c r="M111" s="42" t="str">
        <f>IF($B111="","",SUMPRODUCT(COUNTIFS(pbp_PlayType,EM_Type,pbp_Batter,$B111)*EM_HBP))</f>
        <v/>
      </c>
      <c r="N111" s="42" t="str">
        <f>IF($B111="","",COUNTIFS(pbp_PlayType,"?*",pbp_Desc,"*struck out*",pbp_Batter,$B111))</f>
        <v/>
      </c>
      <c r="O111" s="42" t="str">
        <f>IF($B111="","",SUMPRODUCT(COUNTIFS(pbp_PlayType,EM_Type,pbp_Batter,$B111)*EM_SF))</f>
        <v/>
      </c>
      <c r="P111" s="42" t="str">
        <f>IF($B111="","",SUMIFS(pbp_Runs,pbp_Batter,$B111))</f>
        <v/>
      </c>
      <c r="Q111" s="58" t="str">
        <f t="shared" si="8"/>
        <v/>
      </c>
      <c r="R111" s="58" t="str">
        <f t="shared" si="9"/>
        <v/>
      </c>
      <c r="S111" s="58" t="str">
        <f t="shared" si="10"/>
        <v/>
      </c>
      <c r="T111" s="58" t="str">
        <f t="shared" si="11"/>
        <v/>
      </c>
      <c r="U111" s="58" t="str">
        <f t="shared" si="12"/>
        <v/>
      </c>
      <c r="V111" s="59" t="str">
        <f t="shared" si="13"/>
        <v/>
      </c>
      <c r="W111" s="59" t="str">
        <f t="shared" si="14"/>
        <v/>
      </c>
      <c r="X111" s="60" t="str">
        <f>IF($B111="","",IF((E111)=0,"",(SUMIFS(pbp_Pitches,pbp_Batter,$B111,pbp_PlayType,"?*"))/(E111)))</f>
        <v/>
      </c>
      <c r="Y111" s="42" t="str">
        <f t="shared" si="15"/>
        <v/>
      </c>
      <c r="Z111" s="58" t="str">
        <f>IF($B111="","",IF((SUMPRODUCT(COUNTIFS(pbp_PlayType,EM_Type,pbp_Batter,$B111,pbp_On2B,"?*")*EM_AB)+SUMPRODUCT(COUNTIFS(pbp_PlayType,EM_Type,pbp_Batter,$B111,pbp_On2B,"",pbp_On3B,"?*")*EM_AB))=0,"",(SUMPRODUCT(COUNTIFS(pbp_PlayType,EM_Type,pbp_Batter,$B111,pbp_On2B,"?*")*EM_H)+SUMPRODUCT(COUNTIFS(pbp_PlayType,EM_Type,pbp_Batter,$B111,pbp_On2B,"",pbp_On3B,"?*")*EM_H))/(SUMPRODUCT(COUNTIFS(pbp_PlayType,EM_Type,pbp_Batter,$B111,pbp_On2B,"?*")*EM_AB)+SUMPRODUCT(COUNTIFS(pbp_PlayType,EM_Type,pbp_Batter,$B111,pbp_On2B,"",pbp_On3B,"?*")*EM_AB))))</f>
        <v/>
      </c>
      <c r="AA111" s="62" t="str">
        <f>IF($B111="","",IF(OR(E111&lt;MinPA,T111=""),"",COUNTIFS($E$6:$E$255,"&gt;="&amp;MinPA,$T$6:$T$255,"&gt;"&amp;T111)+COUNTIFS($E$5:E110,"&gt;="&amp;MinPA,$T$5:T110,T111)+1))</f>
        <v/>
      </c>
    </row>
    <row r="112" spans="2:27" x14ac:dyDescent="0.2">
      <c r="B112" s="44" t="str">
        <f t="array" ref="B112">IFERROR(INDEX(pbp_Batter,MATCH(0,COUNTIF($B$5:B111,pbp_Batter)+(pbp_Batter=""),0)),"")</f>
        <v/>
      </c>
      <c r="C112" s="61" t="str">
        <f>IF($B112="","",IFERROR(INDEX(pbp_BatTeam,MATCH($B112,pbp_Batter,0)),""))</f>
        <v/>
      </c>
      <c r="D112" s="61" t="str">
        <f>IF($B112="","",IFERROR(INDEX(pbp_BatHand,MATCH($B112,pbp_Batter,0)),""))</f>
        <v/>
      </c>
      <c r="E112" s="42" t="str">
        <f>IF($B112="","",SUMPRODUCT(COUNTIFS(pbp_PlayType,EM_Type,pbp_Batter,$B112)*EM_PA))</f>
        <v/>
      </c>
      <c r="F112" s="42" t="str">
        <f>IF($B112="","",SUMPRODUCT(COUNTIFS(pbp_PlayType,EM_Type,pbp_Batter,$B112)*EM_AB))</f>
        <v/>
      </c>
      <c r="G112" s="42" t="str">
        <f>IF($B112="","",SUMPRODUCT(COUNTIFS(pbp_PlayType,EM_Type,pbp_Batter,$B112)*EM_H))</f>
        <v/>
      </c>
      <c r="H112" s="42" t="str">
        <f>IF($B112="","",SUMPRODUCT(COUNTIFS(pbp_PlayType,EM_Type,pbp_Batter,$B112)*EM_2B))</f>
        <v/>
      </c>
      <c r="I112" s="42" t="str">
        <f>IF($B112="","",SUMPRODUCT(COUNTIFS(pbp_PlayType,EM_Type,pbp_Batter,$B112)*EM_3B))</f>
        <v/>
      </c>
      <c r="J112" s="42" t="str">
        <f>IF($B112="","",SUMPRODUCT(COUNTIFS(pbp_PlayType,EM_Type,pbp_Batter,$B112)*EM_HR))</f>
        <v/>
      </c>
      <c r="K112" s="42" t="str">
        <f>IF($B112="","",SUMPRODUCT(COUNTIFS(pbp_PlayType,EM_Type,pbp_Batter,$B112)*EM_1B))</f>
        <v/>
      </c>
      <c r="L112" s="42" t="str">
        <f>IF($B112="","",SUMPRODUCT(COUNTIFS(pbp_PlayType,EM_Type,pbp_Batter,$B112)*EM_BB))</f>
        <v/>
      </c>
      <c r="M112" s="42" t="str">
        <f>IF($B112="","",SUMPRODUCT(COUNTIFS(pbp_PlayType,EM_Type,pbp_Batter,$B112)*EM_HBP))</f>
        <v/>
      </c>
      <c r="N112" s="42" t="str">
        <f>IF($B112="","",COUNTIFS(pbp_PlayType,"?*",pbp_Desc,"*struck out*",pbp_Batter,$B112))</f>
        <v/>
      </c>
      <c r="O112" s="42" t="str">
        <f>IF($B112="","",SUMPRODUCT(COUNTIFS(pbp_PlayType,EM_Type,pbp_Batter,$B112)*EM_SF))</f>
        <v/>
      </c>
      <c r="P112" s="42" t="str">
        <f>IF($B112="","",SUMIFS(pbp_Runs,pbp_Batter,$B112))</f>
        <v/>
      </c>
      <c r="Q112" s="58" t="str">
        <f t="shared" si="8"/>
        <v/>
      </c>
      <c r="R112" s="58" t="str">
        <f t="shared" si="9"/>
        <v/>
      </c>
      <c r="S112" s="58" t="str">
        <f t="shared" si="10"/>
        <v/>
      </c>
      <c r="T112" s="58" t="str">
        <f t="shared" si="11"/>
        <v/>
      </c>
      <c r="U112" s="58" t="str">
        <f t="shared" si="12"/>
        <v/>
      </c>
      <c r="V112" s="59" t="str">
        <f t="shared" si="13"/>
        <v/>
      </c>
      <c r="W112" s="59" t="str">
        <f t="shared" si="14"/>
        <v/>
      </c>
      <c r="X112" s="60" t="str">
        <f>IF($B112="","",IF((E112)=0,"",(SUMIFS(pbp_Pitches,pbp_Batter,$B112,pbp_PlayType,"?*"))/(E112)))</f>
        <v/>
      </c>
      <c r="Y112" s="42" t="str">
        <f t="shared" si="15"/>
        <v/>
      </c>
      <c r="Z112" s="58" t="str">
        <f>IF($B112="","",IF((SUMPRODUCT(COUNTIFS(pbp_PlayType,EM_Type,pbp_Batter,$B112,pbp_On2B,"?*")*EM_AB)+SUMPRODUCT(COUNTIFS(pbp_PlayType,EM_Type,pbp_Batter,$B112,pbp_On2B,"",pbp_On3B,"?*")*EM_AB))=0,"",(SUMPRODUCT(COUNTIFS(pbp_PlayType,EM_Type,pbp_Batter,$B112,pbp_On2B,"?*")*EM_H)+SUMPRODUCT(COUNTIFS(pbp_PlayType,EM_Type,pbp_Batter,$B112,pbp_On2B,"",pbp_On3B,"?*")*EM_H))/(SUMPRODUCT(COUNTIFS(pbp_PlayType,EM_Type,pbp_Batter,$B112,pbp_On2B,"?*")*EM_AB)+SUMPRODUCT(COUNTIFS(pbp_PlayType,EM_Type,pbp_Batter,$B112,pbp_On2B,"",pbp_On3B,"?*")*EM_AB))))</f>
        <v/>
      </c>
      <c r="AA112" s="62" t="str">
        <f>IF($B112="","",IF(OR(E112&lt;MinPA,T112=""),"",COUNTIFS($E$6:$E$255,"&gt;="&amp;MinPA,$T$6:$T$255,"&gt;"&amp;T112)+COUNTIFS($E$5:E111,"&gt;="&amp;MinPA,$T$5:T111,T112)+1))</f>
        <v/>
      </c>
    </row>
    <row r="113" spans="2:27" x14ac:dyDescent="0.2">
      <c r="B113" s="44" t="str">
        <f t="array" ref="B113">IFERROR(INDEX(pbp_Batter,MATCH(0,COUNTIF($B$5:B112,pbp_Batter)+(pbp_Batter=""),0)),"")</f>
        <v/>
      </c>
      <c r="C113" s="61" t="str">
        <f>IF($B113="","",IFERROR(INDEX(pbp_BatTeam,MATCH($B113,pbp_Batter,0)),""))</f>
        <v/>
      </c>
      <c r="D113" s="61" t="str">
        <f>IF($B113="","",IFERROR(INDEX(pbp_BatHand,MATCH($B113,pbp_Batter,0)),""))</f>
        <v/>
      </c>
      <c r="E113" s="42" t="str">
        <f>IF($B113="","",SUMPRODUCT(COUNTIFS(pbp_PlayType,EM_Type,pbp_Batter,$B113)*EM_PA))</f>
        <v/>
      </c>
      <c r="F113" s="42" t="str">
        <f>IF($B113="","",SUMPRODUCT(COUNTIFS(pbp_PlayType,EM_Type,pbp_Batter,$B113)*EM_AB))</f>
        <v/>
      </c>
      <c r="G113" s="42" t="str">
        <f>IF($B113="","",SUMPRODUCT(COUNTIFS(pbp_PlayType,EM_Type,pbp_Batter,$B113)*EM_H))</f>
        <v/>
      </c>
      <c r="H113" s="42" t="str">
        <f>IF($B113="","",SUMPRODUCT(COUNTIFS(pbp_PlayType,EM_Type,pbp_Batter,$B113)*EM_2B))</f>
        <v/>
      </c>
      <c r="I113" s="42" t="str">
        <f>IF($B113="","",SUMPRODUCT(COUNTIFS(pbp_PlayType,EM_Type,pbp_Batter,$B113)*EM_3B))</f>
        <v/>
      </c>
      <c r="J113" s="42" t="str">
        <f>IF($B113="","",SUMPRODUCT(COUNTIFS(pbp_PlayType,EM_Type,pbp_Batter,$B113)*EM_HR))</f>
        <v/>
      </c>
      <c r="K113" s="42" t="str">
        <f>IF($B113="","",SUMPRODUCT(COUNTIFS(pbp_PlayType,EM_Type,pbp_Batter,$B113)*EM_1B))</f>
        <v/>
      </c>
      <c r="L113" s="42" t="str">
        <f>IF($B113="","",SUMPRODUCT(COUNTIFS(pbp_PlayType,EM_Type,pbp_Batter,$B113)*EM_BB))</f>
        <v/>
      </c>
      <c r="M113" s="42" t="str">
        <f>IF($B113="","",SUMPRODUCT(COUNTIFS(pbp_PlayType,EM_Type,pbp_Batter,$B113)*EM_HBP))</f>
        <v/>
      </c>
      <c r="N113" s="42" t="str">
        <f>IF($B113="","",COUNTIFS(pbp_PlayType,"?*",pbp_Desc,"*struck out*",pbp_Batter,$B113))</f>
        <v/>
      </c>
      <c r="O113" s="42" t="str">
        <f>IF($B113="","",SUMPRODUCT(COUNTIFS(pbp_PlayType,EM_Type,pbp_Batter,$B113)*EM_SF))</f>
        <v/>
      </c>
      <c r="P113" s="42" t="str">
        <f>IF($B113="","",SUMIFS(pbp_Runs,pbp_Batter,$B113))</f>
        <v/>
      </c>
      <c r="Q113" s="58" t="str">
        <f t="shared" si="8"/>
        <v/>
      </c>
      <c r="R113" s="58" t="str">
        <f t="shared" si="9"/>
        <v/>
      </c>
      <c r="S113" s="58" t="str">
        <f t="shared" si="10"/>
        <v/>
      </c>
      <c r="T113" s="58" t="str">
        <f t="shared" si="11"/>
        <v/>
      </c>
      <c r="U113" s="58" t="str">
        <f t="shared" si="12"/>
        <v/>
      </c>
      <c r="V113" s="59" t="str">
        <f t="shared" si="13"/>
        <v/>
      </c>
      <c r="W113" s="59" t="str">
        <f t="shared" si="14"/>
        <v/>
      </c>
      <c r="X113" s="60" t="str">
        <f>IF($B113="","",IF((E113)=0,"",(SUMIFS(pbp_Pitches,pbp_Batter,$B113,pbp_PlayType,"?*"))/(E113)))</f>
        <v/>
      </c>
      <c r="Y113" s="42" t="str">
        <f t="shared" si="15"/>
        <v/>
      </c>
      <c r="Z113" s="58" t="str">
        <f>IF($B113="","",IF((SUMPRODUCT(COUNTIFS(pbp_PlayType,EM_Type,pbp_Batter,$B113,pbp_On2B,"?*")*EM_AB)+SUMPRODUCT(COUNTIFS(pbp_PlayType,EM_Type,pbp_Batter,$B113,pbp_On2B,"",pbp_On3B,"?*")*EM_AB))=0,"",(SUMPRODUCT(COUNTIFS(pbp_PlayType,EM_Type,pbp_Batter,$B113,pbp_On2B,"?*")*EM_H)+SUMPRODUCT(COUNTIFS(pbp_PlayType,EM_Type,pbp_Batter,$B113,pbp_On2B,"",pbp_On3B,"?*")*EM_H))/(SUMPRODUCT(COUNTIFS(pbp_PlayType,EM_Type,pbp_Batter,$B113,pbp_On2B,"?*")*EM_AB)+SUMPRODUCT(COUNTIFS(pbp_PlayType,EM_Type,pbp_Batter,$B113,pbp_On2B,"",pbp_On3B,"?*")*EM_AB))))</f>
        <v/>
      </c>
      <c r="AA113" s="62" t="str">
        <f>IF($B113="","",IF(OR(E113&lt;MinPA,T113=""),"",COUNTIFS($E$6:$E$255,"&gt;="&amp;MinPA,$T$6:$T$255,"&gt;"&amp;T113)+COUNTIFS($E$5:E112,"&gt;="&amp;MinPA,$T$5:T112,T113)+1))</f>
        <v/>
      </c>
    </row>
    <row r="114" spans="2:27" x14ac:dyDescent="0.2">
      <c r="B114" s="44" t="str">
        <f t="array" ref="B114">IFERROR(INDEX(pbp_Batter,MATCH(0,COUNTIF($B$5:B113,pbp_Batter)+(pbp_Batter=""),0)),"")</f>
        <v/>
      </c>
      <c r="C114" s="61" t="str">
        <f>IF($B114="","",IFERROR(INDEX(pbp_BatTeam,MATCH($B114,pbp_Batter,0)),""))</f>
        <v/>
      </c>
      <c r="D114" s="61" t="str">
        <f>IF($B114="","",IFERROR(INDEX(pbp_BatHand,MATCH($B114,pbp_Batter,0)),""))</f>
        <v/>
      </c>
      <c r="E114" s="42" t="str">
        <f>IF($B114="","",SUMPRODUCT(COUNTIFS(pbp_PlayType,EM_Type,pbp_Batter,$B114)*EM_PA))</f>
        <v/>
      </c>
      <c r="F114" s="42" t="str">
        <f>IF($B114="","",SUMPRODUCT(COUNTIFS(pbp_PlayType,EM_Type,pbp_Batter,$B114)*EM_AB))</f>
        <v/>
      </c>
      <c r="G114" s="42" t="str">
        <f>IF($B114="","",SUMPRODUCT(COUNTIFS(pbp_PlayType,EM_Type,pbp_Batter,$B114)*EM_H))</f>
        <v/>
      </c>
      <c r="H114" s="42" t="str">
        <f>IF($B114="","",SUMPRODUCT(COUNTIFS(pbp_PlayType,EM_Type,pbp_Batter,$B114)*EM_2B))</f>
        <v/>
      </c>
      <c r="I114" s="42" t="str">
        <f>IF($B114="","",SUMPRODUCT(COUNTIFS(pbp_PlayType,EM_Type,pbp_Batter,$B114)*EM_3B))</f>
        <v/>
      </c>
      <c r="J114" s="42" t="str">
        <f>IF($B114="","",SUMPRODUCT(COUNTIFS(pbp_PlayType,EM_Type,pbp_Batter,$B114)*EM_HR))</f>
        <v/>
      </c>
      <c r="K114" s="42" t="str">
        <f>IF($B114="","",SUMPRODUCT(COUNTIFS(pbp_PlayType,EM_Type,pbp_Batter,$B114)*EM_1B))</f>
        <v/>
      </c>
      <c r="L114" s="42" t="str">
        <f>IF($B114="","",SUMPRODUCT(COUNTIFS(pbp_PlayType,EM_Type,pbp_Batter,$B114)*EM_BB))</f>
        <v/>
      </c>
      <c r="M114" s="42" t="str">
        <f>IF($B114="","",SUMPRODUCT(COUNTIFS(pbp_PlayType,EM_Type,pbp_Batter,$B114)*EM_HBP))</f>
        <v/>
      </c>
      <c r="N114" s="42" t="str">
        <f>IF($B114="","",COUNTIFS(pbp_PlayType,"?*",pbp_Desc,"*struck out*",pbp_Batter,$B114))</f>
        <v/>
      </c>
      <c r="O114" s="42" t="str">
        <f>IF($B114="","",SUMPRODUCT(COUNTIFS(pbp_PlayType,EM_Type,pbp_Batter,$B114)*EM_SF))</f>
        <v/>
      </c>
      <c r="P114" s="42" t="str">
        <f>IF($B114="","",SUMIFS(pbp_Runs,pbp_Batter,$B114))</f>
        <v/>
      </c>
      <c r="Q114" s="58" t="str">
        <f t="shared" si="8"/>
        <v/>
      </c>
      <c r="R114" s="58" t="str">
        <f t="shared" si="9"/>
        <v/>
      </c>
      <c r="S114" s="58" t="str">
        <f t="shared" si="10"/>
        <v/>
      </c>
      <c r="T114" s="58" t="str">
        <f t="shared" si="11"/>
        <v/>
      </c>
      <c r="U114" s="58" t="str">
        <f t="shared" si="12"/>
        <v/>
      </c>
      <c r="V114" s="59" t="str">
        <f t="shared" si="13"/>
        <v/>
      </c>
      <c r="W114" s="59" t="str">
        <f t="shared" si="14"/>
        <v/>
      </c>
      <c r="X114" s="60" t="str">
        <f>IF($B114="","",IF((E114)=0,"",(SUMIFS(pbp_Pitches,pbp_Batter,$B114,pbp_PlayType,"?*"))/(E114)))</f>
        <v/>
      </c>
      <c r="Y114" s="42" t="str">
        <f t="shared" si="15"/>
        <v/>
      </c>
      <c r="Z114" s="58" t="str">
        <f>IF($B114="","",IF((SUMPRODUCT(COUNTIFS(pbp_PlayType,EM_Type,pbp_Batter,$B114,pbp_On2B,"?*")*EM_AB)+SUMPRODUCT(COUNTIFS(pbp_PlayType,EM_Type,pbp_Batter,$B114,pbp_On2B,"",pbp_On3B,"?*")*EM_AB))=0,"",(SUMPRODUCT(COUNTIFS(pbp_PlayType,EM_Type,pbp_Batter,$B114,pbp_On2B,"?*")*EM_H)+SUMPRODUCT(COUNTIFS(pbp_PlayType,EM_Type,pbp_Batter,$B114,pbp_On2B,"",pbp_On3B,"?*")*EM_H))/(SUMPRODUCT(COUNTIFS(pbp_PlayType,EM_Type,pbp_Batter,$B114,pbp_On2B,"?*")*EM_AB)+SUMPRODUCT(COUNTIFS(pbp_PlayType,EM_Type,pbp_Batter,$B114,pbp_On2B,"",pbp_On3B,"?*")*EM_AB))))</f>
        <v/>
      </c>
      <c r="AA114" s="62" t="str">
        <f>IF($B114="","",IF(OR(E114&lt;MinPA,T114=""),"",COUNTIFS($E$6:$E$255,"&gt;="&amp;MinPA,$T$6:$T$255,"&gt;"&amp;T114)+COUNTIFS($E$5:E113,"&gt;="&amp;MinPA,$T$5:T113,T114)+1))</f>
        <v/>
      </c>
    </row>
    <row r="115" spans="2:27" x14ac:dyDescent="0.2">
      <c r="B115" s="44" t="str">
        <f t="array" ref="B115">IFERROR(INDEX(pbp_Batter,MATCH(0,COUNTIF($B$5:B114,pbp_Batter)+(pbp_Batter=""),0)),"")</f>
        <v/>
      </c>
      <c r="C115" s="61" t="str">
        <f>IF($B115="","",IFERROR(INDEX(pbp_BatTeam,MATCH($B115,pbp_Batter,0)),""))</f>
        <v/>
      </c>
      <c r="D115" s="61" t="str">
        <f>IF($B115="","",IFERROR(INDEX(pbp_BatHand,MATCH($B115,pbp_Batter,0)),""))</f>
        <v/>
      </c>
      <c r="E115" s="42" t="str">
        <f>IF($B115="","",SUMPRODUCT(COUNTIFS(pbp_PlayType,EM_Type,pbp_Batter,$B115)*EM_PA))</f>
        <v/>
      </c>
      <c r="F115" s="42" t="str">
        <f>IF($B115="","",SUMPRODUCT(COUNTIFS(pbp_PlayType,EM_Type,pbp_Batter,$B115)*EM_AB))</f>
        <v/>
      </c>
      <c r="G115" s="42" t="str">
        <f>IF($B115="","",SUMPRODUCT(COUNTIFS(pbp_PlayType,EM_Type,pbp_Batter,$B115)*EM_H))</f>
        <v/>
      </c>
      <c r="H115" s="42" t="str">
        <f>IF($B115="","",SUMPRODUCT(COUNTIFS(pbp_PlayType,EM_Type,pbp_Batter,$B115)*EM_2B))</f>
        <v/>
      </c>
      <c r="I115" s="42" t="str">
        <f>IF($B115="","",SUMPRODUCT(COUNTIFS(pbp_PlayType,EM_Type,pbp_Batter,$B115)*EM_3B))</f>
        <v/>
      </c>
      <c r="J115" s="42" t="str">
        <f>IF($B115="","",SUMPRODUCT(COUNTIFS(pbp_PlayType,EM_Type,pbp_Batter,$B115)*EM_HR))</f>
        <v/>
      </c>
      <c r="K115" s="42" t="str">
        <f>IF($B115="","",SUMPRODUCT(COUNTIFS(pbp_PlayType,EM_Type,pbp_Batter,$B115)*EM_1B))</f>
        <v/>
      </c>
      <c r="L115" s="42" t="str">
        <f>IF($B115="","",SUMPRODUCT(COUNTIFS(pbp_PlayType,EM_Type,pbp_Batter,$B115)*EM_BB))</f>
        <v/>
      </c>
      <c r="M115" s="42" t="str">
        <f>IF($B115="","",SUMPRODUCT(COUNTIFS(pbp_PlayType,EM_Type,pbp_Batter,$B115)*EM_HBP))</f>
        <v/>
      </c>
      <c r="N115" s="42" t="str">
        <f>IF($B115="","",COUNTIFS(pbp_PlayType,"?*",pbp_Desc,"*struck out*",pbp_Batter,$B115))</f>
        <v/>
      </c>
      <c r="O115" s="42" t="str">
        <f>IF($B115="","",SUMPRODUCT(COUNTIFS(pbp_PlayType,EM_Type,pbp_Batter,$B115)*EM_SF))</f>
        <v/>
      </c>
      <c r="P115" s="42" t="str">
        <f>IF($B115="","",SUMIFS(pbp_Runs,pbp_Batter,$B115))</f>
        <v/>
      </c>
      <c r="Q115" s="58" t="str">
        <f t="shared" si="8"/>
        <v/>
      </c>
      <c r="R115" s="58" t="str">
        <f t="shared" si="9"/>
        <v/>
      </c>
      <c r="S115" s="58" t="str">
        <f t="shared" si="10"/>
        <v/>
      </c>
      <c r="T115" s="58" t="str">
        <f t="shared" si="11"/>
        <v/>
      </c>
      <c r="U115" s="58" t="str">
        <f t="shared" si="12"/>
        <v/>
      </c>
      <c r="V115" s="59" t="str">
        <f t="shared" si="13"/>
        <v/>
      </c>
      <c r="W115" s="59" t="str">
        <f t="shared" si="14"/>
        <v/>
      </c>
      <c r="X115" s="60" t="str">
        <f>IF($B115="","",IF((E115)=0,"",(SUMIFS(pbp_Pitches,pbp_Batter,$B115,pbp_PlayType,"?*"))/(E115)))</f>
        <v/>
      </c>
      <c r="Y115" s="42" t="str">
        <f t="shared" si="15"/>
        <v/>
      </c>
      <c r="Z115" s="58" t="str">
        <f>IF($B115="","",IF((SUMPRODUCT(COUNTIFS(pbp_PlayType,EM_Type,pbp_Batter,$B115,pbp_On2B,"?*")*EM_AB)+SUMPRODUCT(COUNTIFS(pbp_PlayType,EM_Type,pbp_Batter,$B115,pbp_On2B,"",pbp_On3B,"?*")*EM_AB))=0,"",(SUMPRODUCT(COUNTIFS(pbp_PlayType,EM_Type,pbp_Batter,$B115,pbp_On2B,"?*")*EM_H)+SUMPRODUCT(COUNTIFS(pbp_PlayType,EM_Type,pbp_Batter,$B115,pbp_On2B,"",pbp_On3B,"?*")*EM_H))/(SUMPRODUCT(COUNTIFS(pbp_PlayType,EM_Type,pbp_Batter,$B115,pbp_On2B,"?*")*EM_AB)+SUMPRODUCT(COUNTIFS(pbp_PlayType,EM_Type,pbp_Batter,$B115,pbp_On2B,"",pbp_On3B,"?*")*EM_AB))))</f>
        <v/>
      </c>
      <c r="AA115" s="62" t="str">
        <f>IF($B115="","",IF(OR(E115&lt;MinPA,T115=""),"",COUNTIFS($E$6:$E$255,"&gt;="&amp;MinPA,$T$6:$T$255,"&gt;"&amp;T115)+COUNTIFS($E$5:E114,"&gt;="&amp;MinPA,$T$5:T114,T115)+1))</f>
        <v/>
      </c>
    </row>
    <row r="116" spans="2:27" x14ac:dyDescent="0.2">
      <c r="B116" s="44" t="str">
        <f t="array" ref="B116">IFERROR(INDEX(pbp_Batter,MATCH(0,COUNTIF($B$5:B115,pbp_Batter)+(pbp_Batter=""),0)),"")</f>
        <v/>
      </c>
      <c r="C116" s="61" t="str">
        <f>IF($B116="","",IFERROR(INDEX(pbp_BatTeam,MATCH($B116,pbp_Batter,0)),""))</f>
        <v/>
      </c>
      <c r="D116" s="61" t="str">
        <f>IF($B116="","",IFERROR(INDEX(pbp_BatHand,MATCH($B116,pbp_Batter,0)),""))</f>
        <v/>
      </c>
      <c r="E116" s="42" t="str">
        <f>IF($B116="","",SUMPRODUCT(COUNTIFS(pbp_PlayType,EM_Type,pbp_Batter,$B116)*EM_PA))</f>
        <v/>
      </c>
      <c r="F116" s="42" t="str">
        <f>IF($B116="","",SUMPRODUCT(COUNTIFS(pbp_PlayType,EM_Type,pbp_Batter,$B116)*EM_AB))</f>
        <v/>
      </c>
      <c r="G116" s="42" t="str">
        <f>IF($B116="","",SUMPRODUCT(COUNTIFS(pbp_PlayType,EM_Type,pbp_Batter,$B116)*EM_H))</f>
        <v/>
      </c>
      <c r="H116" s="42" t="str">
        <f>IF($B116="","",SUMPRODUCT(COUNTIFS(pbp_PlayType,EM_Type,pbp_Batter,$B116)*EM_2B))</f>
        <v/>
      </c>
      <c r="I116" s="42" t="str">
        <f>IF($B116="","",SUMPRODUCT(COUNTIFS(pbp_PlayType,EM_Type,pbp_Batter,$B116)*EM_3B))</f>
        <v/>
      </c>
      <c r="J116" s="42" t="str">
        <f>IF($B116="","",SUMPRODUCT(COUNTIFS(pbp_PlayType,EM_Type,pbp_Batter,$B116)*EM_HR))</f>
        <v/>
      </c>
      <c r="K116" s="42" t="str">
        <f>IF($B116="","",SUMPRODUCT(COUNTIFS(pbp_PlayType,EM_Type,pbp_Batter,$B116)*EM_1B))</f>
        <v/>
      </c>
      <c r="L116" s="42" t="str">
        <f>IF($B116="","",SUMPRODUCT(COUNTIFS(pbp_PlayType,EM_Type,pbp_Batter,$B116)*EM_BB))</f>
        <v/>
      </c>
      <c r="M116" s="42" t="str">
        <f>IF($B116="","",SUMPRODUCT(COUNTIFS(pbp_PlayType,EM_Type,pbp_Batter,$B116)*EM_HBP))</f>
        <v/>
      </c>
      <c r="N116" s="42" t="str">
        <f>IF($B116="","",COUNTIFS(pbp_PlayType,"?*",pbp_Desc,"*struck out*",pbp_Batter,$B116))</f>
        <v/>
      </c>
      <c r="O116" s="42" t="str">
        <f>IF($B116="","",SUMPRODUCT(COUNTIFS(pbp_PlayType,EM_Type,pbp_Batter,$B116)*EM_SF))</f>
        <v/>
      </c>
      <c r="P116" s="42" t="str">
        <f>IF($B116="","",SUMIFS(pbp_Runs,pbp_Batter,$B116))</f>
        <v/>
      </c>
      <c r="Q116" s="58" t="str">
        <f t="shared" si="8"/>
        <v/>
      </c>
      <c r="R116" s="58" t="str">
        <f t="shared" si="9"/>
        <v/>
      </c>
      <c r="S116" s="58" t="str">
        <f t="shared" si="10"/>
        <v/>
      </c>
      <c r="T116" s="58" t="str">
        <f t="shared" si="11"/>
        <v/>
      </c>
      <c r="U116" s="58" t="str">
        <f t="shared" si="12"/>
        <v/>
      </c>
      <c r="V116" s="59" t="str">
        <f t="shared" si="13"/>
        <v/>
      </c>
      <c r="W116" s="59" t="str">
        <f t="shared" si="14"/>
        <v/>
      </c>
      <c r="X116" s="60" t="str">
        <f>IF($B116="","",IF((E116)=0,"",(SUMIFS(pbp_Pitches,pbp_Batter,$B116,pbp_PlayType,"?*"))/(E116)))</f>
        <v/>
      </c>
      <c r="Y116" s="42" t="str">
        <f t="shared" si="15"/>
        <v/>
      </c>
      <c r="Z116" s="58" t="str">
        <f>IF($B116="","",IF((SUMPRODUCT(COUNTIFS(pbp_PlayType,EM_Type,pbp_Batter,$B116,pbp_On2B,"?*")*EM_AB)+SUMPRODUCT(COUNTIFS(pbp_PlayType,EM_Type,pbp_Batter,$B116,pbp_On2B,"",pbp_On3B,"?*")*EM_AB))=0,"",(SUMPRODUCT(COUNTIFS(pbp_PlayType,EM_Type,pbp_Batter,$B116,pbp_On2B,"?*")*EM_H)+SUMPRODUCT(COUNTIFS(pbp_PlayType,EM_Type,pbp_Batter,$B116,pbp_On2B,"",pbp_On3B,"?*")*EM_H))/(SUMPRODUCT(COUNTIFS(pbp_PlayType,EM_Type,pbp_Batter,$B116,pbp_On2B,"?*")*EM_AB)+SUMPRODUCT(COUNTIFS(pbp_PlayType,EM_Type,pbp_Batter,$B116,pbp_On2B,"",pbp_On3B,"?*")*EM_AB))))</f>
        <v/>
      </c>
      <c r="AA116" s="62" t="str">
        <f>IF($B116="","",IF(OR(E116&lt;MinPA,T116=""),"",COUNTIFS($E$6:$E$255,"&gt;="&amp;MinPA,$T$6:$T$255,"&gt;"&amp;T116)+COUNTIFS($E$5:E115,"&gt;="&amp;MinPA,$T$5:T115,T116)+1))</f>
        <v/>
      </c>
    </row>
    <row r="117" spans="2:27" x14ac:dyDescent="0.2">
      <c r="B117" s="44" t="str">
        <f t="array" ref="B117">IFERROR(INDEX(pbp_Batter,MATCH(0,COUNTIF($B$5:B116,pbp_Batter)+(pbp_Batter=""),0)),"")</f>
        <v/>
      </c>
      <c r="C117" s="61" t="str">
        <f>IF($B117="","",IFERROR(INDEX(pbp_BatTeam,MATCH($B117,pbp_Batter,0)),""))</f>
        <v/>
      </c>
      <c r="D117" s="61" t="str">
        <f>IF($B117="","",IFERROR(INDEX(pbp_BatHand,MATCH($B117,pbp_Batter,0)),""))</f>
        <v/>
      </c>
      <c r="E117" s="42" t="str">
        <f>IF($B117="","",SUMPRODUCT(COUNTIFS(pbp_PlayType,EM_Type,pbp_Batter,$B117)*EM_PA))</f>
        <v/>
      </c>
      <c r="F117" s="42" t="str">
        <f>IF($B117="","",SUMPRODUCT(COUNTIFS(pbp_PlayType,EM_Type,pbp_Batter,$B117)*EM_AB))</f>
        <v/>
      </c>
      <c r="G117" s="42" t="str">
        <f>IF($B117="","",SUMPRODUCT(COUNTIFS(pbp_PlayType,EM_Type,pbp_Batter,$B117)*EM_H))</f>
        <v/>
      </c>
      <c r="H117" s="42" t="str">
        <f>IF($B117="","",SUMPRODUCT(COUNTIFS(pbp_PlayType,EM_Type,pbp_Batter,$B117)*EM_2B))</f>
        <v/>
      </c>
      <c r="I117" s="42" t="str">
        <f>IF($B117="","",SUMPRODUCT(COUNTIFS(pbp_PlayType,EM_Type,pbp_Batter,$B117)*EM_3B))</f>
        <v/>
      </c>
      <c r="J117" s="42" t="str">
        <f>IF($B117="","",SUMPRODUCT(COUNTIFS(pbp_PlayType,EM_Type,pbp_Batter,$B117)*EM_HR))</f>
        <v/>
      </c>
      <c r="K117" s="42" t="str">
        <f>IF($B117="","",SUMPRODUCT(COUNTIFS(pbp_PlayType,EM_Type,pbp_Batter,$B117)*EM_1B))</f>
        <v/>
      </c>
      <c r="L117" s="42" t="str">
        <f>IF($B117="","",SUMPRODUCT(COUNTIFS(pbp_PlayType,EM_Type,pbp_Batter,$B117)*EM_BB))</f>
        <v/>
      </c>
      <c r="M117" s="42" t="str">
        <f>IF($B117="","",SUMPRODUCT(COUNTIFS(pbp_PlayType,EM_Type,pbp_Batter,$B117)*EM_HBP))</f>
        <v/>
      </c>
      <c r="N117" s="42" t="str">
        <f>IF($B117="","",COUNTIFS(pbp_PlayType,"?*",pbp_Desc,"*struck out*",pbp_Batter,$B117))</f>
        <v/>
      </c>
      <c r="O117" s="42" t="str">
        <f>IF($B117="","",SUMPRODUCT(COUNTIFS(pbp_PlayType,EM_Type,pbp_Batter,$B117)*EM_SF))</f>
        <v/>
      </c>
      <c r="P117" s="42" t="str">
        <f>IF($B117="","",SUMIFS(pbp_Runs,pbp_Batter,$B117))</f>
        <v/>
      </c>
      <c r="Q117" s="58" t="str">
        <f t="shared" si="8"/>
        <v/>
      </c>
      <c r="R117" s="58" t="str">
        <f t="shared" si="9"/>
        <v/>
      </c>
      <c r="S117" s="58" t="str">
        <f t="shared" si="10"/>
        <v/>
      </c>
      <c r="T117" s="58" t="str">
        <f t="shared" si="11"/>
        <v/>
      </c>
      <c r="U117" s="58" t="str">
        <f t="shared" si="12"/>
        <v/>
      </c>
      <c r="V117" s="59" t="str">
        <f t="shared" si="13"/>
        <v/>
      </c>
      <c r="W117" s="59" t="str">
        <f t="shared" si="14"/>
        <v/>
      </c>
      <c r="X117" s="60" t="str">
        <f>IF($B117="","",IF((E117)=0,"",(SUMIFS(pbp_Pitches,pbp_Batter,$B117,pbp_PlayType,"?*"))/(E117)))</f>
        <v/>
      </c>
      <c r="Y117" s="42" t="str">
        <f t="shared" si="15"/>
        <v/>
      </c>
      <c r="Z117" s="58" t="str">
        <f>IF($B117="","",IF((SUMPRODUCT(COUNTIFS(pbp_PlayType,EM_Type,pbp_Batter,$B117,pbp_On2B,"?*")*EM_AB)+SUMPRODUCT(COUNTIFS(pbp_PlayType,EM_Type,pbp_Batter,$B117,pbp_On2B,"",pbp_On3B,"?*")*EM_AB))=0,"",(SUMPRODUCT(COUNTIFS(pbp_PlayType,EM_Type,pbp_Batter,$B117,pbp_On2B,"?*")*EM_H)+SUMPRODUCT(COUNTIFS(pbp_PlayType,EM_Type,pbp_Batter,$B117,pbp_On2B,"",pbp_On3B,"?*")*EM_H))/(SUMPRODUCT(COUNTIFS(pbp_PlayType,EM_Type,pbp_Batter,$B117,pbp_On2B,"?*")*EM_AB)+SUMPRODUCT(COUNTIFS(pbp_PlayType,EM_Type,pbp_Batter,$B117,pbp_On2B,"",pbp_On3B,"?*")*EM_AB))))</f>
        <v/>
      </c>
      <c r="AA117" s="62" t="str">
        <f>IF($B117="","",IF(OR(E117&lt;MinPA,T117=""),"",COUNTIFS($E$6:$E$255,"&gt;="&amp;MinPA,$T$6:$T$255,"&gt;"&amp;T117)+COUNTIFS($E$5:E116,"&gt;="&amp;MinPA,$T$5:T116,T117)+1))</f>
        <v/>
      </c>
    </row>
    <row r="118" spans="2:27" x14ac:dyDescent="0.2">
      <c r="B118" s="44" t="str">
        <f t="array" ref="B118">IFERROR(INDEX(pbp_Batter,MATCH(0,COUNTIF($B$5:B117,pbp_Batter)+(pbp_Batter=""),0)),"")</f>
        <v/>
      </c>
      <c r="C118" s="61" t="str">
        <f>IF($B118="","",IFERROR(INDEX(pbp_BatTeam,MATCH($B118,pbp_Batter,0)),""))</f>
        <v/>
      </c>
      <c r="D118" s="61" t="str">
        <f>IF($B118="","",IFERROR(INDEX(pbp_BatHand,MATCH($B118,pbp_Batter,0)),""))</f>
        <v/>
      </c>
      <c r="E118" s="42" t="str">
        <f>IF($B118="","",SUMPRODUCT(COUNTIFS(pbp_PlayType,EM_Type,pbp_Batter,$B118)*EM_PA))</f>
        <v/>
      </c>
      <c r="F118" s="42" t="str">
        <f>IF($B118="","",SUMPRODUCT(COUNTIFS(pbp_PlayType,EM_Type,pbp_Batter,$B118)*EM_AB))</f>
        <v/>
      </c>
      <c r="G118" s="42" t="str">
        <f>IF($B118="","",SUMPRODUCT(COUNTIFS(pbp_PlayType,EM_Type,pbp_Batter,$B118)*EM_H))</f>
        <v/>
      </c>
      <c r="H118" s="42" t="str">
        <f>IF($B118="","",SUMPRODUCT(COUNTIFS(pbp_PlayType,EM_Type,pbp_Batter,$B118)*EM_2B))</f>
        <v/>
      </c>
      <c r="I118" s="42" t="str">
        <f>IF($B118="","",SUMPRODUCT(COUNTIFS(pbp_PlayType,EM_Type,pbp_Batter,$B118)*EM_3B))</f>
        <v/>
      </c>
      <c r="J118" s="42" t="str">
        <f>IF($B118="","",SUMPRODUCT(COUNTIFS(pbp_PlayType,EM_Type,pbp_Batter,$B118)*EM_HR))</f>
        <v/>
      </c>
      <c r="K118" s="42" t="str">
        <f>IF($B118="","",SUMPRODUCT(COUNTIFS(pbp_PlayType,EM_Type,pbp_Batter,$B118)*EM_1B))</f>
        <v/>
      </c>
      <c r="L118" s="42" t="str">
        <f>IF($B118="","",SUMPRODUCT(COUNTIFS(pbp_PlayType,EM_Type,pbp_Batter,$B118)*EM_BB))</f>
        <v/>
      </c>
      <c r="M118" s="42" t="str">
        <f>IF($B118="","",SUMPRODUCT(COUNTIFS(pbp_PlayType,EM_Type,pbp_Batter,$B118)*EM_HBP))</f>
        <v/>
      </c>
      <c r="N118" s="42" t="str">
        <f>IF($B118="","",COUNTIFS(pbp_PlayType,"?*",pbp_Desc,"*struck out*",pbp_Batter,$B118))</f>
        <v/>
      </c>
      <c r="O118" s="42" t="str">
        <f>IF($B118="","",SUMPRODUCT(COUNTIFS(pbp_PlayType,EM_Type,pbp_Batter,$B118)*EM_SF))</f>
        <v/>
      </c>
      <c r="P118" s="42" t="str">
        <f>IF($B118="","",SUMIFS(pbp_Runs,pbp_Batter,$B118))</f>
        <v/>
      </c>
      <c r="Q118" s="58" t="str">
        <f t="shared" si="8"/>
        <v/>
      </c>
      <c r="R118" s="58" t="str">
        <f t="shared" si="9"/>
        <v/>
      </c>
      <c r="S118" s="58" t="str">
        <f t="shared" si="10"/>
        <v/>
      </c>
      <c r="T118" s="58" t="str">
        <f t="shared" si="11"/>
        <v/>
      </c>
      <c r="U118" s="58" t="str">
        <f t="shared" si="12"/>
        <v/>
      </c>
      <c r="V118" s="59" t="str">
        <f t="shared" si="13"/>
        <v/>
      </c>
      <c r="W118" s="59" t="str">
        <f t="shared" si="14"/>
        <v/>
      </c>
      <c r="X118" s="60" t="str">
        <f>IF($B118="","",IF((E118)=0,"",(SUMIFS(pbp_Pitches,pbp_Batter,$B118,pbp_PlayType,"?*"))/(E118)))</f>
        <v/>
      </c>
      <c r="Y118" s="42" t="str">
        <f t="shared" si="15"/>
        <v/>
      </c>
      <c r="Z118" s="58" t="str">
        <f>IF($B118="","",IF((SUMPRODUCT(COUNTIFS(pbp_PlayType,EM_Type,pbp_Batter,$B118,pbp_On2B,"?*")*EM_AB)+SUMPRODUCT(COUNTIFS(pbp_PlayType,EM_Type,pbp_Batter,$B118,pbp_On2B,"",pbp_On3B,"?*")*EM_AB))=0,"",(SUMPRODUCT(COUNTIFS(pbp_PlayType,EM_Type,pbp_Batter,$B118,pbp_On2B,"?*")*EM_H)+SUMPRODUCT(COUNTIFS(pbp_PlayType,EM_Type,pbp_Batter,$B118,pbp_On2B,"",pbp_On3B,"?*")*EM_H))/(SUMPRODUCT(COUNTIFS(pbp_PlayType,EM_Type,pbp_Batter,$B118,pbp_On2B,"?*")*EM_AB)+SUMPRODUCT(COUNTIFS(pbp_PlayType,EM_Type,pbp_Batter,$B118,pbp_On2B,"",pbp_On3B,"?*")*EM_AB))))</f>
        <v/>
      </c>
      <c r="AA118" s="62" t="str">
        <f>IF($B118="","",IF(OR(E118&lt;MinPA,T118=""),"",COUNTIFS($E$6:$E$255,"&gt;="&amp;MinPA,$T$6:$T$255,"&gt;"&amp;T118)+COUNTIFS($E$5:E117,"&gt;="&amp;MinPA,$T$5:T117,T118)+1))</f>
        <v/>
      </c>
    </row>
    <row r="119" spans="2:27" x14ac:dyDescent="0.2">
      <c r="B119" s="44" t="str">
        <f t="array" ref="B119">IFERROR(INDEX(pbp_Batter,MATCH(0,COUNTIF($B$5:B118,pbp_Batter)+(pbp_Batter=""),0)),"")</f>
        <v/>
      </c>
      <c r="C119" s="61" t="str">
        <f>IF($B119="","",IFERROR(INDEX(pbp_BatTeam,MATCH($B119,pbp_Batter,0)),""))</f>
        <v/>
      </c>
      <c r="D119" s="61" t="str">
        <f>IF($B119="","",IFERROR(INDEX(pbp_BatHand,MATCH($B119,pbp_Batter,0)),""))</f>
        <v/>
      </c>
      <c r="E119" s="42" t="str">
        <f>IF($B119="","",SUMPRODUCT(COUNTIFS(pbp_PlayType,EM_Type,pbp_Batter,$B119)*EM_PA))</f>
        <v/>
      </c>
      <c r="F119" s="42" t="str">
        <f>IF($B119="","",SUMPRODUCT(COUNTIFS(pbp_PlayType,EM_Type,pbp_Batter,$B119)*EM_AB))</f>
        <v/>
      </c>
      <c r="G119" s="42" t="str">
        <f>IF($B119="","",SUMPRODUCT(COUNTIFS(pbp_PlayType,EM_Type,pbp_Batter,$B119)*EM_H))</f>
        <v/>
      </c>
      <c r="H119" s="42" t="str">
        <f>IF($B119="","",SUMPRODUCT(COUNTIFS(pbp_PlayType,EM_Type,pbp_Batter,$B119)*EM_2B))</f>
        <v/>
      </c>
      <c r="I119" s="42" t="str">
        <f>IF($B119="","",SUMPRODUCT(COUNTIFS(pbp_PlayType,EM_Type,pbp_Batter,$B119)*EM_3B))</f>
        <v/>
      </c>
      <c r="J119" s="42" t="str">
        <f>IF($B119="","",SUMPRODUCT(COUNTIFS(pbp_PlayType,EM_Type,pbp_Batter,$B119)*EM_HR))</f>
        <v/>
      </c>
      <c r="K119" s="42" t="str">
        <f>IF($B119="","",SUMPRODUCT(COUNTIFS(pbp_PlayType,EM_Type,pbp_Batter,$B119)*EM_1B))</f>
        <v/>
      </c>
      <c r="L119" s="42" t="str">
        <f>IF($B119="","",SUMPRODUCT(COUNTIFS(pbp_PlayType,EM_Type,pbp_Batter,$B119)*EM_BB))</f>
        <v/>
      </c>
      <c r="M119" s="42" t="str">
        <f>IF($B119="","",SUMPRODUCT(COUNTIFS(pbp_PlayType,EM_Type,pbp_Batter,$B119)*EM_HBP))</f>
        <v/>
      </c>
      <c r="N119" s="42" t="str">
        <f>IF($B119="","",COUNTIFS(pbp_PlayType,"?*",pbp_Desc,"*struck out*",pbp_Batter,$B119))</f>
        <v/>
      </c>
      <c r="O119" s="42" t="str">
        <f>IF($B119="","",SUMPRODUCT(COUNTIFS(pbp_PlayType,EM_Type,pbp_Batter,$B119)*EM_SF))</f>
        <v/>
      </c>
      <c r="P119" s="42" t="str">
        <f>IF($B119="","",SUMIFS(pbp_Runs,pbp_Batter,$B119))</f>
        <v/>
      </c>
      <c r="Q119" s="58" t="str">
        <f t="shared" si="8"/>
        <v/>
      </c>
      <c r="R119" s="58" t="str">
        <f t="shared" si="9"/>
        <v/>
      </c>
      <c r="S119" s="58" t="str">
        <f t="shared" si="10"/>
        <v/>
      </c>
      <c r="T119" s="58" t="str">
        <f t="shared" si="11"/>
        <v/>
      </c>
      <c r="U119" s="58" t="str">
        <f t="shared" si="12"/>
        <v/>
      </c>
      <c r="V119" s="59" t="str">
        <f t="shared" si="13"/>
        <v/>
      </c>
      <c r="W119" s="59" t="str">
        <f t="shared" si="14"/>
        <v/>
      </c>
      <c r="X119" s="60" t="str">
        <f>IF($B119="","",IF((E119)=0,"",(SUMIFS(pbp_Pitches,pbp_Batter,$B119,pbp_PlayType,"?*"))/(E119)))</f>
        <v/>
      </c>
      <c r="Y119" s="42" t="str">
        <f t="shared" si="15"/>
        <v/>
      </c>
      <c r="Z119" s="58" t="str">
        <f>IF($B119="","",IF((SUMPRODUCT(COUNTIFS(pbp_PlayType,EM_Type,pbp_Batter,$B119,pbp_On2B,"?*")*EM_AB)+SUMPRODUCT(COUNTIFS(pbp_PlayType,EM_Type,pbp_Batter,$B119,pbp_On2B,"",pbp_On3B,"?*")*EM_AB))=0,"",(SUMPRODUCT(COUNTIFS(pbp_PlayType,EM_Type,pbp_Batter,$B119,pbp_On2B,"?*")*EM_H)+SUMPRODUCT(COUNTIFS(pbp_PlayType,EM_Type,pbp_Batter,$B119,pbp_On2B,"",pbp_On3B,"?*")*EM_H))/(SUMPRODUCT(COUNTIFS(pbp_PlayType,EM_Type,pbp_Batter,$B119,pbp_On2B,"?*")*EM_AB)+SUMPRODUCT(COUNTIFS(pbp_PlayType,EM_Type,pbp_Batter,$B119,pbp_On2B,"",pbp_On3B,"?*")*EM_AB))))</f>
        <v/>
      </c>
      <c r="AA119" s="62" t="str">
        <f>IF($B119="","",IF(OR(E119&lt;MinPA,T119=""),"",COUNTIFS($E$6:$E$255,"&gt;="&amp;MinPA,$T$6:$T$255,"&gt;"&amp;T119)+COUNTIFS($E$5:E118,"&gt;="&amp;MinPA,$T$5:T118,T119)+1))</f>
        <v/>
      </c>
    </row>
    <row r="120" spans="2:27" x14ac:dyDescent="0.2">
      <c r="B120" s="44" t="str">
        <f t="array" ref="B120">IFERROR(INDEX(pbp_Batter,MATCH(0,COUNTIF($B$5:B119,pbp_Batter)+(pbp_Batter=""),0)),"")</f>
        <v/>
      </c>
      <c r="C120" s="61" t="str">
        <f>IF($B120="","",IFERROR(INDEX(pbp_BatTeam,MATCH($B120,pbp_Batter,0)),""))</f>
        <v/>
      </c>
      <c r="D120" s="61" t="str">
        <f>IF($B120="","",IFERROR(INDEX(pbp_BatHand,MATCH($B120,pbp_Batter,0)),""))</f>
        <v/>
      </c>
      <c r="E120" s="42" t="str">
        <f>IF($B120="","",SUMPRODUCT(COUNTIFS(pbp_PlayType,EM_Type,pbp_Batter,$B120)*EM_PA))</f>
        <v/>
      </c>
      <c r="F120" s="42" t="str">
        <f>IF($B120="","",SUMPRODUCT(COUNTIFS(pbp_PlayType,EM_Type,pbp_Batter,$B120)*EM_AB))</f>
        <v/>
      </c>
      <c r="G120" s="42" t="str">
        <f>IF($B120="","",SUMPRODUCT(COUNTIFS(pbp_PlayType,EM_Type,pbp_Batter,$B120)*EM_H))</f>
        <v/>
      </c>
      <c r="H120" s="42" t="str">
        <f>IF($B120="","",SUMPRODUCT(COUNTIFS(pbp_PlayType,EM_Type,pbp_Batter,$B120)*EM_2B))</f>
        <v/>
      </c>
      <c r="I120" s="42" t="str">
        <f>IF($B120="","",SUMPRODUCT(COUNTIFS(pbp_PlayType,EM_Type,pbp_Batter,$B120)*EM_3B))</f>
        <v/>
      </c>
      <c r="J120" s="42" t="str">
        <f>IF($B120="","",SUMPRODUCT(COUNTIFS(pbp_PlayType,EM_Type,pbp_Batter,$B120)*EM_HR))</f>
        <v/>
      </c>
      <c r="K120" s="42" t="str">
        <f>IF($B120="","",SUMPRODUCT(COUNTIFS(pbp_PlayType,EM_Type,pbp_Batter,$B120)*EM_1B))</f>
        <v/>
      </c>
      <c r="L120" s="42" t="str">
        <f>IF($B120="","",SUMPRODUCT(COUNTIFS(pbp_PlayType,EM_Type,pbp_Batter,$B120)*EM_BB))</f>
        <v/>
      </c>
      <c r="M120" s="42" t="str">
        <f>IF($B120="","",SUMPRODUCT(COUNTIFS(pbp_PlayType,EM_Type,pbp_Batter,$B120)*EM_HBP))</f>
        <v/>
      </c>
      <c r="N120" s="42" t="str">
        <f>IF($B120="","",COUNTIFS(pbp_PlayType,"?*",pbp_Desc,"*struck out*",pbp_Batter,$B120))</f>
        <v/>
      </c>
      <c r="O120" s="42" t="str">
        <f>IF($B120="","",SUMPRODUCT(COUNTIFS(pbp_PlayType,EM_Type,pbp_Batter,$B120)*EM_SF))</f>
        <v/>
      </c>
      <c r="P120" s="42" t="str">
        <f>IF($B120="","",SUMIFS(pbp_Runs,pbp_Batter,$B120))</f>
        <v/>
      </c>
      <c r="Q120" s="58" t="str">
        <f t="shared" si="8"/>
        <v/>
      </c>
      <c r="R120" s="58" t="str">
        <f t="shared" si="9"/>
        <v/>
      </c>
      <c r="S120" s="58" t="str">
        <f t="shared" si="10"/>
        <v/>
      </c>
      <c r="T120" s="58" t="str">
        <f t="shared" si="11"/>
        <v/>
      </c>
      <c r="U120" s="58" t="str">
        <f t="shared" si="12"/>
        <v/>
      </c>
      <c r="V120" s="59" t="str">
        <f t="shared" si="13"/>
        <v/>
      </c>
      <c r="W120" s="59" t="str">
        <f t="shared" si="14"/>
        <v/>
      </c>
      <c r="X120" s="60" t="str">
        <f>IF($B120="","",IF((E120)=0,"",(SUMIFS(pbp_Pitches,pbp_Batter,$B120,pbp_PlayType,"?*"))/(E120)))</f>
        <v/>
      </c>
      <c r="Y120" s="42" t="str">
        <f t="shared" si="15"/>
        <v/>
      </c>
      <c r="Z120" s="58" t="str">
        <f>IF($B120="","",IF((SUMPRODUCT(COUNTIFS(pbp_PlayType,EM_Type,pbp_Batter,$B120,pbp_On2B,"?*")*EM_AB)+SUMPRODUCT(COUNTIFS(pbp_PlayType,EM_Type,pbp_Batter,$B120,pbp_On2B,"",pbp_On3B,"?*")*EM_AB))=0,"",(SUMPRODUCT(COUNTIFS(pbp_PlayType,EM_Type,pbp_Batter,$B120,pbp_On2B,"?*")*EM_H)+SUMPRODUCT(COUNTIFS(pbp_PlayType,EM_Type,pbp_Batter,$B120,pbp_On2B,"",pbp_On3B,"?*")*EM_H))/(SUMPRODUCT(COUNTIFS(pbp_PlayType,EM_Type,pbp_Batter,$B120,pbp_On2B,"?*")*EM_AB)+SUMPRODUCT(COUNTIFS(pbp_PlayType,EM_Type,pbp_Batter,$B120,pbp_On2B,"",pbp_On3B,"?*")*EM_AB))))</f>
        <v/>
      </c>
      <c r="AA120" s="62" t="str">
        <f>IF($B120="","",IF(OR(E120&lt;MinPA,T120=""),"",COUNTIFS($E$6:$E$255,"&gt;="&amp;MinPA,$T$6:$T$255,"&gt;"&amp;T120)+COUNTIFS($E$5:E119,"&gt;="&amp;MinPA,$T$5:T119,T120)+1))</f>
        <v/>
      </c>
    </row>
    <row r="121" spans="2:27" x14ac:dyDescent="0.2">
      <c r="B121" s="44" t="str">
        <f t="array" ref="B121">IFERROR(INDEX(pbp_Batter,MATCH(0,COUNTIF($B$5:B120,pbp_Batter)+(pbp_Batter=""),0)),"")</f>
        <v/>
      </c>
      <c r="C121" s="61" t="str">
        <f>IF($B121="","",IFERROR(INDEX(pbp_BatTeam,MATCH($B121,pbp_Batter,0)),""))</f>
        <v/>
      </c>
      <c r="D121" s="61" t="str">
        <f>IF($B121="","",IFERROR(INDEX(pbp_BatHand,MATCH($B121,pbp_Batter,0)),""))</f>
        <v/>
      </c>
      <c r="E121" s="42" t="str">
        <f>IF($B121="","",SUMPRODUCT(COUNTIFS(pbp_PlayType,EM_Type,pbp_Batter,$B121)*EM_PA))</f>
        <v/>
      </c>
      <c r="F121" s="42" t="str">
        <f>IF($B121="","",SUMPRODUCT(COUNTIFS(pbp_PlayType,EM_Type,pbp_Batter,$B121)*EM_AB))</f>
        <v/>
      </c>
      <c r="G121" s="42" t="str">
        <f>IF($B121="","",SUMPRODUCT(COUNTIFS(pbp_PlayType,EM_Type,pbp_Batter,$B121)*EM_H))</f>
        <v/>
      </c>
      <c r="H121" s="42" t="str">
        <f>IF($B121="","",SUMPRODUCT(COUNTIFS(pbp_PlayType,EM_Type,pbp_Batter,$B121)*EM_2B))</f>
        <v/>
      </c>
      <c r="I121" s="42" t="str">
        <f>IF($B121="","",SUMPRODUCT(COUNTIFS(pbp_PlayType,EM_Type,pbp_Batter,$B121)*EM_3B))</f>
        <v/>
      </c>
      <c r="J121" s="42" t="str">
        <f>IF($B121="","",SUMPRODUCT(COUNTIFS(pbp_PlayType,EM_Type,pbp_Batter,$B121)*EM_HR))</f>
        <v/>
      </c>
      <c r="K121" s="42" t="str">
        <f>IF($B121="","",SUMPRODUCT(COUNTIFS(pbp_PlayType,EM_Type,pbp_Batter,$B121)*EM_1B))</f>
        <v/>
      </c>
      <c r="L121" s="42" t="str">
        <f>IF($B121="","",SUMPRODUCT(COUNTIFS(pbp_PlayType,EM_Type,pbp_Batter,$B121)*EM_BB))</f>
        <v/>
      </c>
      <c r="M121" s="42" t="str">
        <f>IF($B121="","",SUMPRODUCT(COUNTIFS(pbp_PlayType,EM_Type,pbp_Batter,$B121)*EM_HBP))</f>
        <v/>
      </c>
      <c r="N121" s="42" t="str">
        <f>IF($B121="","",COUNTIFS(pbp_PlayType,"?*",pbp_Desc,"*struck out*",pbp_Batter,$B121))</f>
        <v/>
      </c>
      <c r="O121" s="42" t="str">
        <f>IF($B121="","",SUMPRODUCT(COUNTIFS(pbp_PlayType,EM_Type,pbp_Batter,$B121)*EM_SF))</f>
        <v/>
      </c>
      <c r="P121" s="42" t="str">
        <f>IF($B121="","",SUMIFS(pbp_Runs,pbp_Batter,$B121))</f>
        <v/>
      </c>
      <c r="Q121" s="58" t="str">
        <f t="shared" si="8"/>
        <v/>
      </c>
      <c r="R121" s="58" t="str">
        <f t="shared" si="9"/>
        <v/>
      </c>
      <c r="S121" s="58" t="str">
        <f t="shared" si="10"/>
        <v/>
      </c>
      <c r="T121" s="58" t="str">
        <f t="shared" si="11"/>
        <v/>
      </c>
      <c r="U121" s="58" t="str">
        <f t="shared" si="12"/>
        <v/>
      </c>
      <c r="V121" s="59" t="str">
        <f t="shared" si="13"/>
        <v/>
      </c>
      <c r="W121" s="59" t="str">
        <f t="shared" si="14"/>
        <v/>
      </c>
      <c r="X121" s="60" t="str">
        <f>IF($B121="","",IF((E121)=0,"",(SUMIFS(pbp_Pitches,pbp_Batter,$B121,pbp_PlayType,"?*"))/(E121)))</f>
        <v/>
      </c>
      <c r="Y121" s="42" t="str">
        <f t="shared" si="15"/>
        <v/>
      </c>
      <c r="Z121" s="58" t="str">
        <f>IF($B121="","",IF((SUMPRODUCT(COUNTIFS(pbp_PlayType,EM_Type,pbp_Batter,$B121,pbp_On2B,"?*")*EM_AB)+SUMPRODUCT(COUNTIFS(pbp_PlayType,EM_Type,pbp_Batter,$B121,pbp_On2B,"",pbp_On3B,"?*")*EM_AB))=0,"",(SUMPRODUCT(COUNTIFS(pbp_PlayType,EM_Type,pbp_Batter,$B121,pbp_On2B,"?*")*EM_H)+SUMPRODUCT(COUNTIFS(pbp_PlayType,EM_Type,pbp_Batter,$B121,pbp_On2B,"",pbp_On3B,"?*")*EM_H))/(SUMPRODUCT(COUNTIFS(pbp_PlayType,EM_Type,pbp_Batter,$B121,pbp_On2B,"?*")*EM_AB)+SUMPRODUCT(COUNTIFS(pbp_PlayType,EM_Type,pbp_Batter,$B121,pbp_On2B,"",pbp_On3B,"?*")*EM_AB))))</f>
        <v/>
      </c>
      <c r="AA121" s="62" t="str">
        <f>IF($B121="","",IF(OR(E121&lt;MinPA,T121=""),"",COUNTIFS($E$6:$E$255,"&gt;="&amp;MinPA,$T$6:$T$255,"&gt;"&amp;T121)+COUNTIFS($E$5:E120,"&gt;="&amp;MinPA,$T$5:T120,T121)+1))</f>
        <v/>
      </c>
    </row>
    <row r="122" spans="2:27" x14ac:dyDescent="0.2">
      <c r="B122" s="44" t="str">
        <f t="array" ref="B122">IFERROR(INDEX(pbp_Batter,MATCH(0,COUNTIF($B$5:B121,pbp_Batter)+(pbp_Batter=""),0)),"")</f>
        <v/>
      </c>
      <c r="C122" s="61" t="str">
        <f>IF($B122="","",IFERROR(INDEX(pbp_BatTeam,MATCH($B122,pbp_Batter,0)),""))</f>
        <v/>
      </c>
      <c r="D122" s="61" t="str">
        <f>IF($B122="","",IFERROR(INDEX(pbp_BatHand,MATCH($B122,pbp_Batter,0)),""))</f>
        <v/>
      </c>
      <c r="E122" s="42" t="str">
        <f>IF($B122="","",SUMPRODUCT(COUNTIFS(pbp_PlayType,EM_Type,pbp_Batter,$B122)*EM_PA))</f>
        <v/>
      </c>
      <c r="F122" s="42" t="str">
        <f>IF($B122="","",SUMPRODUCT(COUNTIFS(pbp_PlayType,EM_Type,pbp_Batter,$B122)*EM_AB))</f>
        <v/>
      </c>
      <c r="G122" s="42" t="str">
        <f>IF($B122="","",SUMPRODUCT(COUNTIFS(pbp_PlayType,EM_Type,pbp_Batter,$B122)*EM_H))</f>
        <v/>
      </c>
      <c r="H122" s="42" t="str">
        <f>IF($B122="","",SUMPRODUCT(COUNTIFS(pbp_PlayType,EM_Type,pbp_Batter,$B122)*EM_2B))</f>
        <v/>
      </c>
      <c r="I122" s="42" t="str">
        <f>IF($B122="","",SUMPRODUCT(COUNTIFS(pbp_PlayType,EM_Type,pbp_Batter,$B122)*EM_3B))</f>
        <v/>
      </c>
      <c r="J122" s="42" t="str">
        <f>IF($B122="","",SUMPRODUCT(COUNTIFS(pbp_PlayType,EM_Type,pbp_Batter,$B122)*EM_HR))</f>
        <v/>
      </c>
      <c r="K122" s="42" t="str">
        <f>IF($B122="","",SUMPRODUCT(COUNTIFS(pbp_PlayType,EM_Type,pbp_Batter,$B122)*EM_1B))</f>
        <v/>
      </c>
      <c r="L122" s="42" t="str">
        <f>IF($B122="","",SUMPRODUCT(COUNTIFS(pbp_PlayType,EM_Type,pbp_Batter,$B122)*EM_BB))</f>
        <v/>
      </c>
      <c r="M122" s="42" t="str">
        <f>IF($B122="","",SUMPRODUCT(COUNTIFS(pbp_PlayType,EM_Type,pbp_Batter,$B122)*EM_HBP))</f>
        <v/>
      </c>
      <c r="N122" s="42" t="str">
        <f>IF($B122="","",COUNTIFS(pbp_PlayType,"?*",pbp_Desc,"*struck out*",pbp_Batter,$B122))</f>
        <v/>
      </c>
      <c r="O122" s="42" t="str">
        <f>IF($B122="","",SUMPRODUCT(COUNTIFS(pbp_PlayType,EM_Type,pbp_Batter,$B122)*EM_SF))</f>
        <v/>
      </c>
      <c r="P122" s="42" t="str">
        <f>IF($B122="","",SUMIFS(pbp_Runs,pbp_Batter,$B122))</f>
        <v/>
      </c>
      <c r="Q122" s="58" t="str">
        <f t="shared" si="8"/>
        <v/>
      </c>
      <c r="R122" s="58" t="str">
        <f t="shared" si="9"/>
        <v/>
      </c>
      <c r="S122" s="58" t="str">
        <f t="shared" si="10"/>
        <v/>
      </c>
      <c r="T122" s="58" t="str">
        <f t="shared" si="11"/>
        <v/>
      </c>
      <c r="U122" s="58" t="str">
        <f t="shared" si="12"/>
        <v/>
      </c>
      <c r="V122" s="59" t="str">
        <f t="shared" si="13"/>
        <v/>
      </c>
      <c r="W122" s="59" t="str">
        <f t="shared" si="14"/>
        <v/>
      </c>
      <c r="X122" s="60" t="str">
        <f>IF($B122="","",IF((E122)=0,"",(SUMIFS(pbp_Pitches,pbp_Batter,$B122,pbp_PlayType,"?*"))/(E122)))</f>
        <v/>
      </c>
      <c r="Y122" s="42" t="str">
        <f t="shared" si="15"/>
        <v/>
      </c>
      <c r="Z122" s="58" t="str">
        <f>IF($B122="","",IF((SUMPRODUCT(COUNTIFS(pbp_PlayType,EM_Type,pbp_Batter,$B122,pbp_On2B,"?*")*EM_AB)+SUMPRODUCT(COUNTIFS(pbp_PlayType,EM_Type,pbp_Batter,$B122,pbp_On2B,"",pbp_On3B,"?*")*EM_AB))=0,"",(SUMPRODUCT(COUNTIFS(pbp_PlayType,EM_Type,pbp_Batter,$B122,pbp_On2B,"?*")*EM_H)+SUMPRODUCT(COUNTIFS(pbp_PlayType,EM_Type,pbp_Batter,$B122,pbp_On2B,"",pbp_On3B,"?*")*EM_H))/(SUMPRODUCT(COUNTIFS(pbp_PlayType,EM_Type,pbp_Batter,$B122,pbp_On2B,"?*")*EM_AB)+SUMPRODUCT(COUNTIFS(pbp_PlayType,EM_Type,pbp_Batter,$B122,pbp_On2B,"",pbp_On3B,"?*")*EM_AB))))</f>
        <v/>
      </c>
      <c r="AA122" s="62" t="str">
        <f>IF($B122="","",IF(OR(E122&lt;MinPA,T122=""),"",COUNTIFS($E$6:$E$255,"&gt;="&amp;MinPA,$T$6:$T$255,"&gt;"&amp;T122)+COUNTIFS($E$5:E121,"&gt;="&amp;MinPA,$T$5:T121,T122)+1))</f>
        <v/>
      </c>
    </row>
    <row r="123" spans="2:27" x14ac:dyDescent="0.2">
      <c r="B123" s="44" t="str">
        <f t="array" ref="B123">IFERROR(INDEX(pbp_Batter,MATCH(0,COUNTIF($B$5:B122,pbp_Batter)+(pbp_Batter=""),0)),"")</f>
        <v/>
      </c>
      <c r="C123" s="61" t="str">
        <f>IF($B123="","",IFERROR(INDEX(pbp_BatTeam,MATCH($B123,pbp_Batter,0)),""))</f>
        <v/>
      </c>
      <c r="D123" s="61" t="str">
        <f>IF($B123="","",IFERROR(INDEX(pbp_BatHand,MATCH($B123,pbp_Batter,0)),""))</f>
        <v/>
      </c>
      <c r="E123" s="42" t="str">
        <f>IF($B123="","",SUMPRODUCT(COUNTIFS(pbp_PlayType,EM_Type,pbp_Batter,$B123)*EM_PA))</f>
        <v/>
      </c>
      <c r="F123" s="42" t="str">
        <f>IF($B123="","",SUMPRODUCT(COUNTIFS(pbp_PlayType,EM_Type,pbp_Batter,$B123)*EM_AB))</f>
        <v/>
      </c>
      <c r="G123" s="42" t="str">
        <f>IF($B123="","",SUMPRODUCT(COUNTIFS(pbp_PlayType,EM_Type,pbp_Batter,$B123)*EM_H))</f>
        <v/>
      </c>
      <c r="H123" s="42" t="str">
        <f>IF($B123="","",SUMPRODUCT(COUNTIFS(pbp_PlayType,EM_Type,pbp_Batter,$B123)*EM_2B))</f>
        <v/>
      </c>
      <c r="I123" s="42" t="str">
        <f>IF($B123="","",SUMPRODUCT(COUNTIFS(pbp_PlayType,EM_Type,pbp_Batter,$B123)*EM_3B))</f>
        <v/>
      </c>
      <c r="J123" s="42" t="str">
        <f>IF($B123="","",SUMPRODUCT(COUNTIFS(pbp_PlayType,EM_Type,pbp_Batter,$B123)*EM_HR))</f>
        <v/>
      </c>
      <c r="K123" s="42" t="str">
        <f>IF($B123="","",SUMPRODUCT(COUNTIFS(pbp_PlayType,EM_Type,pbp_Batter,$B123)*EM_1B))</f>
        <v/>
      </c>
      <c r="L123" s="42" t="str">
        <f>IF($B123="","",SUMPRODUCT(COUNTIFS(pbp_PlayType,EM_Type,pbp_Batter,$B123)*EM_BB))</f>
        <v/>
      </c>
      <c r="M123" s="42" t="str">
        <f>IF($B123="","",SUMPRODUCT(COUNTIFS(pbp_PlayType,EM_Type,pbp_Batter,$B123)*EM_HBP))</f>
        <v/>
      </c>
      <c r="N123" s="42" t="str">
        <f>IF($B123="","",COUNTIFS(pbp_PlayType,"?*",pbp_Desc,"*struck out*",pbp_Batter,$B123))</f>
        <v/>
      </c>
      <c r="O123" s="42" t="str">
        <f>IF($B123="","",SUMPRODUCT(COUNTIFS(pbp_PlayType,EM_Type,pbp_Batter,$B123)*EM_SF))</f>
        <v/>
      </c>
      <c r="P123" s="42" t="str">
        <f>IF($B123="","",SUMIFS(pbp_Runs,pbp_Batter,$B123))</f>
        <v/>
      </c>
      <c r="Q123" s="58" t="str">
        <f t="shared" si="8"/>
        <v/>
      </c>
      <c r="R123" s="58" t="str">
        <f t="shared" si="9"/>
        <v/>
      </c>
      <c r="S123" s="58" t="str">
        <f t="shared" si="10"/>
        <v/>
      </c>
      <c r="T123" s="58" t="str">
        <f t="shared" si="11"/>
        <v/>
      </c>
      <c r="U123" s="58" t="str">
        <f t="shared" si="12"/>
        <v/>
      </c>
      <c r="V123" s="59" t="str">
        <f t="shared" si="13"/>
        <v/>
      </c>
      <c r="W123" s="59" t="str">
        <f t="shared" si="14"/>
        <v/>
      </c>
      <c r="X123" s="60" t="str">
        <f>IF($B123="","",IF((E123)=0,"",(SUMIFS(pbp_Pitches,pbp_Batter,$B123,pbp_PlayType,"?*"))/(E123)))</f>
        <v/>
      </c>
      <c r="Y123" s="42" t="str">
        <f t="shared" si="15"/>
        <v/>
      </c>
      <c r="Z123" s="58" t="str">
        <f>IF($B123="","",IF((SUMPRODUCT(COUNTIFS(pbp_PlayType,EM_Type,pbp_Batter,$B123,pbp_On2B,"?*")*EM_AB)+SUMPRODUCT(COUNTIFS(pbp_PlayType,EM_Type,pbp_Batter,$B123,pbp_On2B,"",pbp_On3B,"?*")*EM_AB))=0,"",(SUMPRODUCT(COUNTIFS(pbp_PlayType,EM_Type,pbp_Batter,$B123,pbp_On2B,"?*")*EM_H)+SUMPRODUCT(COUNTIFS(pbp_PlayType,EM_Type,pbp_Batter,$B123,pbp_On2B,"",pbp_On3B,"?*")*EM_H))/(SUMPRODUCT(COUNTIFS(pbp_PlayType,EM_Type,pbp_Batter,$B123,pbp_On2B,"?*")*EM_AB)+SUMPRODUCT(COUNTIFS(pbp_PlayType,EM_Type,pbp_Batter,$B123,pbp_On2B,"",pbp_On3B,"?*")*EM_AB))))</f>
        <v/>
      </c>
      <c r="AA123" s="62" t="str">
        <f>IF($B123="","",IF(OR(E123&lt;MinPA,T123=""),"",COUNTIFS($E$6:$E$255,"&gt;="&amp;MinPA,$T$6:$T$255,"&gt;"&amp;T123)+COUNTIFS($E$5:E122,"&gt;="&amp;MinPA,$T$5:T122,T123)+1))</f>
        <v/>
      </c>
    </row>
    <row r="124" spans="2:27" x14ac:dyDescent="0.2">
      <c r="B124" s="44" t="str">
        <f t="array" ref="B124">IFERROR(INDEX(pbp_Batter,MATCH(0,COUNTIF($B$5:B123,pbp_Batter)+(pbp_Batter=""),0)),"")</f>
        <v/>
      </c>
      <c r="C124" s="61" t="str">
        <f>IF($B124="","",IFERROR(INDEX(pbp_BatTeam,MATCH($B124,pbp_Batter,0)),""))</f>
        <v/>
      </c>
      <c r="D124" s="61" t="str">
        <f>IF($B124="","",IFERROR(INDEX(pbp_BatHand,MATCH($B124,pbp_Batter,0)),""))</f>
        <v/>
      </c>
      <c r="E124" s="42" t="str">
        <f>IF($B124="","",SUMPRODUCT(COUNTIFS(pbp_PlayType,EM_Type,pbp_Batter,$B124)*EM_PA))</f>
        <v/>
      </c>
      <c r="F124" s="42" t="str">
        <f>IF($B124="","",SUMPRODUCT(COUNTIFS(pbp_PlayType,EM_Type,pbp_Batter,$B124)*EM_AB))</f>
        <v/>
      </c>
      <c r="G124" s="42" t="str">
        <f>IF($B124="","",SUMPRODUCT(COUNTIFS(pbp_PlayType,EM_Type,pbp_Batter,$B124)*EM_H))</f>
        <v/>
      </c>
      <c r="H124" s="42" t="str">
        <f>IF($B124="","",SUMPRODUCT(COUNTIFS(pbp_PlayType,EM_Type,pbp_Batter,$B124)*EM_2B))</f>
        <v/>
      </c>
      <c r="I124" s="42" t="str">
        <f>IF($B124="","",SUMPRODUCT(COUNTIFS(pbp_PlayType,EM_Type,pbp_Batter,$B124)*EM_3B))</f>
        <v/>
      </c>
      <c r="J124" s="42" t="str">
        <f>IF($B124="","",SUMPRODUCT(COUNTIFS(pbp_PlayType,EM_Type,pbp_Batter,$B124)*EM_HR))</f>
        <v/>
      </c>
      <c r="K124" s="42" t="str">
        <f>IF($B124="","",SUMPRODUCT(COUNTIFS(pbp_PlayType,EM_Type,pbp_Batter,$B124)*EM_1B))</f>
        <v/>
      </c>
      <c r="L124" s="42" t="str">
        <f>IF($B124="","",SUMPRODUCT(COUNTIFS(pbp_PlayType,EM_Type,pbp_Batter,$B124)*EM_BB))</f>
        <v/>
      </c>
      <c r="M124" s="42" t="str">
        <f>IF($B124="","",SUMPRODUCT(COUNTIFS(pbp_PlayType,EM_Type,pbp_Batter,$B124)*EM_HBP))</f>
        <v/>
      </c>
      <c r="N124" s="42" t="str">
        <f>IF($B124="","",COUNTIFS(pbp_PlayType,"?*",pbp_Desc,"*struck out*",pbp_Batter,$B124))</f>
        <v/>
      </c>
      <c r="O124" s="42" t="str">
        <f>IF($B124="","",SUMPRODUCT(COUNTIFS(pbp_PlayType,EM_Type,pbp_Batter,$B124)*EM_SF))</f>
        <v/>
      </c>
      <c r="P124" s="42" t="str">
        <f>IF($B124="","",SUMIFS(pbp_Runs,pbp_Batter,$B124))</f>
        <v/>
      </c>
      <c r="Q124" s="58" t="str">
        <f t="shared" si="8"/>
        <v/>
      </c>
      <c r="R124" s="58" t="str">
        <f t="shared" si="9"/>
        <v/>
      </c>
      <c r="S124" s="58" t="str">
        <f t="shared" si="10"/>
        <v/>
      </c>
      <c r="T124" s="58" t="str">
        <f t="shared" si="11"/>
        <v/>
      </c>
      <c r="U124" s="58" t="str">
        <f t="shared" si="12"/>
        <v/>
      </c>
      <c r="V124" s="59" t="str">
        <f t="shared" si="13"/>
        <v/>
      </c>
      <c r="W124" s="59" t="str">
        <f t="shared" si="14"/>
        <v/>
      </c>
      <c r="X124" s="60" t="str">
        <f>IF($B124="","",IF((E124)=0,"",(SUMIFS(pbp_Pitches,pbp_Batter,$B124,pbp_PlayType,"?*"))/(E124)))</f>
        <v/>
      </c>
      <c r="Y124" s="42" t="str">
        <f t="shared" si="15"/>
        <v/>
      </c>
      <c r="Z124" s="58" t="str">
        <f>IF($B124="","",IF((SUMPRODUCT(COUNTIFS(pbp_PlayType,EM_Type,pbp_Batter,$B124,pbp_On2B,"?*")*EM_AB)+SUMPRODUCT(COUNTIFS(pbp_PlayType,EM_Type,pbp_Batter,$B124,pbp_On2B,"",pbp_On3B,"?*")*EM_AB))=0,"",(SUMPRODUCT(COUNTIFS(pbp_PlayType,EM_Type,pbp_Batter,$B124,pbp_On2B,"?*")*EM_H)+SUMPRODUCT(COUNTIFS(pbp_PlayType,EM_Type,pbp_Batter,$B124,pbp_On2B,"",pbp_On3B,"?*")*EM_H))/(SUMPRODUCT(COUNTIFS(pbp_PlayType,EM_Type,pbp_Batter,$B124,pbp_On2B,"?*")*EM_AB)+SUMPRODUCT(COUNTIFS(pbp_PlayType,EM_Type,pbp_Batter,$B124,pbp_On2B,"",pbp_On3B,"?*")*EM_AB))))</f>
        <v/>
      </c>
      <c r="AA124" s="62" t="str">
        <f>IF($B124="","",IF(OR(E124&lt;MinPA,T124=""),"",COUNTIFS($E$6:$E$255,"&gt;="&amp;MinPA,$T$6:$T$255,"&gt;"&amp;T124)+COUNTIFS($E$5:E123,"&gt;="&amp;MinPA,$T$5:T123,T124)+1))</f>
        <v/>
      </c>
    </row>
    <row r="125" spans="2:27" x14ac:dyDescent="0.2">
      <c r="B125" s="44" t="str">
        <f t="array" ref="B125">IFERROR(INDEX(pbp_Batter,MATCH(0,COUNTIF($B$5:B124,pbp_Batter)+(pbp_Batter=""),0)),"")</f>
        <v/>
      </c>
      <c r="C125" s="61" t="str">
        <f>IF($B125="","",IFERROR(INDEX(pbp_BatTeam,MATCH($B125,pbp_Batter,0)),""))</f>
        <v/>
      </c>
      <c r="D125" s="61" t="str">
        <f>IF($B125="","",IFERROR(INDEX(pbp_BatHand,MATCH($B125,pbp_Batter,0)),""))</f>
        <v/>
      </c>
      <c r="E125" s="42" t="str">
        <f>IF($B125="","",SUMPRODUCT(COUNTIFS(pbp_PlayType,EM_Type,pbp_Batter,$B125)*EM_PA))</f>
        <v/>
      </c>
      <c r="F125" s="42" t="str">
        <f>IF($B125="","",SUMPRODUCT(COUNTIFS(pbp_PlayType,EM_Type,pbp_Batter,$B125)*EM_AB))</f>
        <v/>
      </c>
      <c r="G125" s="42" t="str">
        <f>IF($B125="","",SUMPRODUCT(COUNTIFS(pbp_PlayType,EM_Type,pbp_Batter,$B125)*EM_H))</f>
        <v/>
      </c>
      <c r="H125" s="42" t="str">
        <f>IF($B125="","",SUMPRODUCT(COUNTIFS(pbp_PlayType,EM_Type,pbp_Batter,$B125)*EM_2B))</f>
        <v/>
      </c>
      <c r="I125" s="42" t="str">
        <f>IF($B125="","",SUMPRODUCT(COUNTIFS(pbp_PlayType,EM_Type,pbp_Batter,$B125)*EM_3B))</f>
        <v/>
      </c>
      <c r="J125" s="42" t="str">
        <f>IF($B125="","",SUMPRODUCT(COUNTIFS(pbp_PlayType,EM_Type,pbp_Batter,$B125)*EM_HR))</f>
        <v/>
      </c>
      <c r="K125" s="42" t="str">
        <f>IF($B125="","",SUMPRODUCT(COUNTIFS(pbp_PlayType,EM_Type,pbp_Batter,$B125)*EM_1B))</f>
        <v/>
      </c>
      <c r="L125" s="42" t="str">
        <f>IF($B125="","",SUMPRODUCT(COUNTIFS(pbp_PlayType,EM_Type,pbp_Batter,$B125)*EM_BB))</f>
        <v/>
      </c>
      <c r="M125" s="42" t="str">
        <f>IF($B125="","",SUMPRODUCT(COUNTIFS(pbp_PlayType,EM_Type,pbp_Batter,$B125)*EM_HBP))</f>
        <v/>
      </c>
      <c r="N125" s="42" t="str">
        <f>IF($B125="","",COUNTIFS(pbp_PlayType,"?*",pbp_Desc,"*struck out*",pbp_Batter,$B125))</f>
        <v/>
      </c>
      <c r="O125" s="42" t="str">
        <f>IF($B125="","",SUMPRODUCT(COUNTIFS(pbp_PlayType,EM_Type,pbp_Batter,$B125)*EM_SF))</f>
        <v/>
      </c>
      <c r="P125" s="42" t="str">
        <f>IF($B125="","",SUMIFS(pbp_Runs,pbp_Batter,$B125))</f>
        <v/>
      </c>
      <c r="Q125" s="58" t="str">
        <f t="shared" si="8"/>
        <v/>
      </c>
      <c r="R125" s="58" t="str">
        <f t="shared" si="9"/>
        <v/>
      </c>
      <c r="S125" s="58" t="str">
        <f t="shared" si="10"/>
        <v/>
      </c>
      <c r="T125" s="58" t="str">
        <f t="shared" si="11"/>
        <v/>
      </c>
      <c r="U125" s="58" t="str">
        <f t="shared" si="12"/>
        <v/>
      </c>
      <c r="V125" s="59" t="str">
        <f t="shared" si="13"/>
        <v/>
      </c>
      <c r="W125" s="59" t="str">
        <f t="shared" si="14"/>
        <v/>
      </c>
      <c r="X125" s="60" t="str">
        <f>IF($B125="","",IF((E125)=0,"",(SUMIFS(pbp_Pitches,pbp_Batter,$B125,pbp_PlayType,"?*"))/(E125)))</f>
        <v/>
      </c>
      <c r="Y125" s="42" t="str">
        <f t="shared" si="15"/>
        <v/>
      </c>
      <c r="Z125" s="58" t="str">
        <f>IF($B125="","",IF((SUMPRODUCT(COUNTIFS(pbp_PlayType,EM_Type,pbp_Batter,$B125,pbp_On2B,"?*")*EM_AB)+SUMPRODUCT(COUNTIFS(pbp_PlayType,EM_Type,pbp_Batter,$B125,pbp_On2B,"",pbp_On3B,"?*")*EM_AB))=0,"",(SUMPRODUCT(COUNTIFS(pbp_PlayType,EM_Type,pbp_Batter,$B125,pbp_On2B,"?*")*EM_H)+SUMPRODUCT(COUNTIFS(pbp_PlayType,EM_Type,pbp_Batter,$B125,pbp_On2B,"",pbp_On3B,"?*")*EM_H))/(SUMPRODUCT(COUNTIFS(pbp_PlayType,EM_Type,pbp_Batter,$B125,pbp_On2B,"?*")*EM_AB)+SUMPRODUCT(COUNTIFS(pbp_PlayType,EM_Type,pbp_Batter,$B125,pbp_On2B,"",pbp_On3B,"?*")*EM_AB))))</f>
        <v/>
      </c>
      <c r="AA125" s="62" t="str">
        <f>IF($B125="","",IF(OR(E125&lt;MinPA,T125=""),"",COUNTIFS($E$6:$E$255,"&gt;="&amp;MinPA,$T$6:$T$255,"&gt;"&amp;T125)+COUNTIFS($E$5:E124,"&gt;="&amp;MinPA,$T$5:T124,T125)+1))</f>
        <v/>
      </c>
    </row>
    <row r="126" spans="2:27" x14ac:dyDescent="0.2">
      <c r="B126" s="44" t="str">
        <f t="array" ref="B126">IFERROR(INDEX(pbp_Batter,MATCH(0,COUNTIF($B$5:B125,pbp_Batter)+(pbp_Batter=""),0)),"")</f>
        <v/>
      </c>
      <c r="C126" s="61" t="str">
        <f>IF($B126="","",IFERROR(INDEX(pbp_BatTeam,MATCH($B126,pbp_Batter,0)),""))</f>
        <v/>
      </c>
      <c r="D126" s="61" t="str">
        <f>IF($B126="","",IFERROR(INDEX(pbp_BatHand,MATCH($B126,pbp_Batter,0)),""))</f>
        <v/>
      </c>
      <c r="E126" s="42" t="str">
        <f>IF($B126="","",SUMPRODUCT(COUNTIFS(pbp_PlayType,EM_Type,pbp_Batter,$B126)*EM_PA))</f>
        <v/>
      </c>
      <c r="F126" s="42" t="str">
        <f>IF($B126="","",SUMPRODUCT(COUNTIFS(pbp_PlayType,EM_Type,pbp_Batter,$B126)*EM_AB))</f>
        <v/>
      </c>
      <c r="G126" s="42" t="str">
        <f>IF($B126="","",SUMPRODUCT(COUNTIFS(pbp_PlayType,EM_Type,pbp_Batter,$B126)*EM_H))</f>
        <v/>
      </c>
      <c r="H126" s="42" t="str">
        <f>IF($B126="","",SUMPRODUCT(COUNTIFS(pbp_PlayType,EM_Type,pbp_Batter,$B126)*EM_2B))</f>
        <v/>
      </c>
      <c r="I126" s="42" t="str">
        <f>IF($B126="","",SUMPRODUCT(COUNTIFS(pbp_PlayType,EM_Type,pbp_Batter,$B126)*EM_3B))</f>
        <v/>
      </c>
      <c r="J126" s="42" t="str">
        <f>IF($B126="","",SUMPRODUCT(COUNTIFS(pbp_PlayType,EM_Type,pbp_Batter,$B126)*EM_HR))</f>
        <v/>
      </c>
      <c r="K126" s="42" t="str">
        <f>IF($B126="","",SUMPRODUCT(COUNTIFS(pbp_PlayType,EM_Type,pbp_Batter,$B126)*EM_1B))</f>
        <v/>
      </c>
      <c r="L126" s="42" t="str">
        <f>IF($B126="","",SUMPRODUCT(COUNTIFS(pbp_PlayType,EM_Type,pbp_Batter,$B126)*EM_BB))</f>
        <v/>
      </c>
      <c r="M126" s="42" t="str">
        <f>IF($B126="","",SUMPRODUCT(COUNTIFS(pbp_PlayType,EM_Type,pbp_Batter,$B126)*EM_HBP))</f>
        <v/>
      </c>
      <c r="N126" s="42" t="str">
        <f>IF($B126="","",COUNTIFS(pbp_PlayType,"?*",pbp_Desc,"*struck out*",pbp_Batter,$B126))</f>
        <v/>
      </c>
      <c r="O126" s="42" t="str">
        <f>IF($B126="","",SUMPRODUCT(COUNTIFS(pbp_PlayType,EM_Type,pbp_Batter,$B126)*EM_SF))</f>
        <v/>
      </c>
      <c r="P126" s="42" t="str">
        <f>IF($B126="","",SUMIFS(pbp_Runs,pbp_Batter,$B126))</f>
        <v/>
      </c>
      <c r="Q126" s="58" t="str">
        <f t="shared" si="8"/>
        <v/>
      </c>
      <c r="R126" s="58" t="str">
        <f t="shared" si="9"/>
        <v/>
      </c>
      <c r="S126" s="58" t="str">
        <f t="shared" si="10"/>
        <v/>
      </c>
      <c r="T126" s="58" t="str">
        <f t="shared" si="11"/>
        <v/>
      </c>
      <c r="U126" s="58" t="str">
        <f t="shared" si="12"/>
        <v/>
      </c>
      <c r="V126" s="59" t="str">
        <f t="shared" si="13"/>
        <v/>
      </c>
      <c r="W126" s="59" t="str">
        <f t="shared" si="14"/>
        <v/>
      </c>
      <c r="X126" s="60" t="str">
        <f>IF($B126="","",IF((E126)=0,"",(SUMIFS(pbp_Pitches,pbp_Batter,$B126,pbp_PlayType,"?*"))/(E126)))</f>
        <v/>
      </c>
      <c r="Y126" s="42" t="str">
        <f t="shared" si="15"/>
        <v/>
      </c>
      <c r="Z126" s="58" t="str">
        <f>IF($B126="","",IF((SUMPRODUCT(COUNTIFS(pbp_PlayType,EM_Type,pbp_Batter,$B126,pbp_On2B,"?*")*EM_AB)+SUMPRODUCT(COUNTIFS(pbp_PlayType,EM_Type,pbp_Batter,$B126,pbp_On2B,"",pbp_On3B,"?*")*EM_AB))=0,"",(SUMPRODUCT(COUNTIFS(pbp_PlayType,EM_Type,pbp_Batter,$B126,pbp_On2B,"?*")*EM_H)+SUMPRODUCT(COUNTIFS(pbp_PlayType,EM_Type,pbp_Batter,$B126,pbp_On2B,"",pbp_On3B,"?*")*EM_H))/(SUMPRODUCT(COUNTIFS(pbp_PlayType,EM_Type,pbp_Batter,$B126,pbp_On2B,"?*")*EM_AB)+SUMPRODUCT(COUNTIFS(pbp_PlayType,EM_Type,pbp_Batter,$B126,pbp_On2B,"",pbp_On3B,"?*")*EM_AB))))</f>
        <v/>
      </c>
      <c r="AA126" s="62" t="str">
        <f>IF($B126="","",IF(OR(E126&lt;MinPA,T126=""),"",COUNTIFS($E$6:$E$255,"&gt;="&amp;MinPA,$T$6:$T$255,"&gt;"&amp;T126)+COUNTIFS($E$5:E125,"&gt;="&amp;MinPA,$T$5:T125,T126)+1))</f>
        <v/>
      </c>
    </row>
    <row r="127" spans="2:27" x14ac:dyDescent="0.2">
      <c r="B127" s="44" t="str">
        <f t="array" ref="B127">IFERROR(INDEX(pbp_Batter,MATCH(0,COUNTIF($B$5:B126,pbp_Batter)+(pbp_Batter=""),0)),"")</f>
        <v/>
      </c>
      <c r="C127" s="61" t="str">
        <f>IF($B127="","",IFERROR(INDEX(pbp_BatTeam,MATCH($B127,pbp_Batter,0)),""))</f>
        <v/>
      </c>
      <c r="D127" s="61" t="str">
        <f>IF($B127="","",IFERROR(INDEX(pbp_BatHand,MATCH($B127,pbp_Batter,0)),""))</f>
        <v/>
      </c>
      <c r="E127" s="42" t="str">
        <f>IF($B127="","",SUMPRODUCT(COUNTIFS(pbp_PlayType,EM_Type,pbp_Batter,$B127)*EM_PA))</f>
        <v/>
      </c>
      <c r="F127" s="42" t="str">
        <f>IF($B127="","",SUMPRODUCT(COUNTIFS(pbp_PlayType,EM_Type,pbp_Batter,$B127)*EM_AB))</f>
        <v/>
      </c>
      <c r="G127" s="42" t="str">
        <f>IF($B127="","",SUMPRODUCT(COUNTIFS(pbp_PlayType,EM_Type,pbp_Batter,$B127)*EM_H))</f>
        <v/>
      </c>
      <c r="H127" s="42" t="str">
        <f>IF($B127="","",SUMPRODUCT(COUNTIFS(pbp_PlayType,EM_Type,pbp_Batter,$B127)*EM_2B))</f>
        <v/>
      </c>
      <c r="I127" s="42" t="str">
        <f>IF($B127="","",SUMPRODUCT(COUNTIFS(pbp_PlayType,EM_Type,pbp_Batter,$B127)*EM_3B))</f>
        <v/>
      </c>
      <c r="J127" s="42" t="str">
        <f>IF($B127="","",SUMPRODUCT(COUNTIFS(pbp_PlayType,EM_Type,pbp_Batter,$B127)*EM_HR))</f>
        <v/>
      </c>
      <c r="K127" s="42" t="str">
        <f>IF($B127="","",SUMPRODUCT(COUNTIFS(pbp_PlayType,EM_Type,pbp_Batter,$B127)*EM_1B))</f>
        <v/>
      </c>
      <c r="L127" s="42" t="str">
        <f>IF($B127="","",SUMPRODUCT(COUNTIFS(pbp_PlayType,EM_Type,pbp_Batter,$B127)*EM_BB))</f>
        <v/>
      </c>
      <c r="M127" s="42" t="str">
        <f>IF($B127="","",SUMPRODUCT(COUNTIFS(pbp_PlayType,EM_Type,pbp_Batter,$B127)*EM_HBP))</f>
        <v/>
      </c>
      <c r="N127" s="42" t="str">
        <f>IF($B127="","",COUNTIFS(pbp_PlayType,"?*",pbp_Desc,"*struck out*",pbp_Batter,$B127))</f>
        <v/>
      </c>
      <c r="O127" s="42" t="str">
        <f>IF($B127="","",SUMPRODUCT(COUNTIFS(pbp_PlayType,EM_Type,pbp_Batter,$B127)*EM_SF))</f>
        <v/>
      </c>
      <c r="P127" s="42" t="str">
        <f>IF($B127="","",SUMIFS(pbp_Runs,pbp_Batter,$B127))</f>
        <v/>
      </c>
      <c r="Q127" s="58" t="str">
        <f t="shared" si="8"/>
        <v/>
      </c>
      <c r="R127" s="58" t="str">
        <f t="shared" si="9"/>
        <v/>
      </c>
      <c r="S127" s="58" t="str">
        <f t="shared" si="10"/>
        <v/>
      </c>
      <c r="T127" s="58" t="str">
        <f t="shared" si="11"/>
        <v/>
      </c>
      <c r="U127" s="58" t="str">
        <f t="shared" si="12"/>
        <v/>
      </c>
      <c r="V127" s="59" t="str">
        <f t="shared" si="13"/>
        <v/>
      </c>
      <c r="W127" s="59" t="str">
        <f t="shared" si="14"/>
        <v/>
      </c>
      <c r="X127" s="60" t="str">
        <f>IF($B127="","",IF((E127)=0,"",(SUMIFS(pbp_Pitches,pbp_Batter,$B127,pbp_PlayType,"?*"))/(E127)))</f>
        <v/>
      </c>
      <c r="Y127" s="42" t="str">
        <f t="shared" si="15"/>
        <v/>
      </c>
      <c r="Z127" s="58" t="str">
        <f>IF($B127="","",IF((SUMPRODUCT(COUNTIFS(pbp_PlayType,EM_Type,pbp_Batter,$B127,pbp_On2B,"?*")*EM_AB)+SUMPRODUCT(COUNTIFS(pbp_PlayType,EM_Type,pbp_Batter,$B127,pbp_On2B,"",pbp_On3B,"?*")*EM_AB))=0,"",(SUMPRODUCT(COUNTIFS(pbp_PlayType,EM_Type,pbp_Batter,$B127,pbp_On2B,"?*")*EM_H)+SUMPRODUCT(COUNTIFS(pbp_PlayType,EM_Type,pbp_Batter,$B127,pbp_On2B,"",pbp_On3B,"?*")*EM_H))/(SUMPRODUCT(COUNTIFS(pbp_PlayType,EM_Type,pbp_Batter,$B127,pbp_On2B,"?*")*EM_AB)+SUMPRODUCT(COUNTIFS(pbp_PlayType,EM_Type,pbp_Batter,$B127,pbp_On2B,"",pbp_On3B,"?*")*EM_AB))))</f>
        <v/>
      </c>
      <c r="AA127" s="62" t="str">
        <f>IF($B127="","",IF(OR(E127&lt;MinPA,T127=""),"",COUNTIFS($E$6:$E$255,"&gt;="&amp;MinPA,$T$6:$T$255,"&gt;"&amp;T127)+COUNTIFS($E$5:E126,"&gt;="&amp;MinPA,$T$5:T126,T127)+1))</f>
        <v/>
      </c>
    </row>
    <row r="128" spans="2:27" x14ac:dyDescent="0.2">
      <c r="B128" s="44" t="str">
        <f t="array" ref="B128">IFERROR(INDEX(pbp_Batter,MATCH(0,COUNTIF($B$5:B127,pbp_Batter)+(pbp_Batter=""),0)),"")</f>
        <v/>
      </c>
      <c r="C128" s="61" t="str">
        <f>IF($B128="","",IFERROR(INDEX(pbp_BatTeam,MATCH($B128,pbp_Batter,0)),""))</f>
        <v/>
      </c>
      <c r="D128" s="61" t="str">
        <f>IF($B128="","",IFERROR(INDEX(pbp_BatHand,MATCH($B128,pbp_Batter,0)),""))</f>
        <v/>
      </c>
      <c r="E128" s="42" t="str">
        <f>IF($B128="","",SUMPRODUCT(COUNTIFS(pbp_PlayType,EM_Type,pbp_Batter,$B128)*EM_PA))</f>
        <v/>
      </c>
      <c r="F128" s="42" t="str">
        <f>IF($B128="","",SUMPRODUCT(COUNTIFS(pbp_PlayType,EM_Type,pbp_Batter,$B128)*EM_AB))</f>
        <v/>
      </c>
      <c r="G128" s="42" t="str">
        <f>IF($B128="","",SUMPRODUCT(COUNTIFS(pbp_PlayType,EM_Type,pbp_Batter,$B128)*EM_H))</f>
        <v/>
      </c>
      <c r="H128" s="42" t="str">
        <f>IF($B128="","",SUMPRODUCT(COUNTIFS(pbp_PlayType,EM_Type,pbp_Batter,$B128)*EM_2B))</f>
        <v/>
      </c>
      <c r="I128" s="42" t="str">
        <f>IF($B128="","",SUMPRODUCT(COUNTIFS(pbp_PlayType,EM_Type,pbp_Batter,$B128)*EM_3B))</f>
        <v/>
      </c>
      <c r="J128" s="42" t="str">
        <f>IF($B128="","",SUMPRODUCT(COUNTIFS(pbp_PlayType,EM_Type,pbp_Batter,$B128)*EM_HR))</f>
        <v/>
      </c>
      <c r="K128" s="42" t="str">
        <f>IF($B128="","",SUMPRODUCT(COUNTIFS(pbp_PlayType,EM_Type,pbp_Batter,$B128)*EM_1B))</f>
        <v/>
      </c>
      <c r="L128" s="42" t="str">
        <f>IF($B128="","",SUMPRODUCT(COUNTIFS(pbp_PlayType,EM_Type,pbp_Batter,$B128)*EM_BB))</f>
        <v/>
      </c>
      <c r="M128" s="42" t="str">
        <f>IF($B128="","",SUMPRODUCT(COUNTIFS(pbp_PlayType,EM_Type,pbp_Batter,$B128)*EM_HBP))</f>
        <v/>
      </c>
      <c r="N128" s="42" t="str">
        <f>IF($B128="","",COUNTIFS(pbp_PlayType,"?*",pbp_Desc,"*struck out*",pbp_Batter,$B128))</f>
        <v/>
      </c>
      <c r="O128" s="42" t="str">
        <f>IF($B128="","",SUMPRODUCT(COUNTIFS(pbp_PlayType,EM_Type,pbp_Batter,$B128)*EM_SF))</f>
        <v/>
      </c>
      <c r="P128" s="42" t="str">
        <f>IF($B128="","",SUMIFS(pbp_Runs,pbp_Batter,$B128))</f>
        <v/>
      </c>
      <c r="Q128" s="58" t="str">
        <f t="shared" si="8"/>
        <v/>
      </c>
      <c r="R128" s="58" t="str">
        <f t="shared" si="9"/>
        <v/>
      </c>
      <c r="S128" s="58" t="str">
        <f t="shared" si="10"/>
        <v/>
      </c>
      <c r="T128" s="58" t="str">
        <f t="shared" si="11"/>
        <v/>
      </c>
      <c r="U128" s="58" t="str">
        <f t="shared" si="12"/>
        <v/>
      </c>
      <c r="V128" s="59" t="str">
        <f t="shared" si="13"/>
        <v/>
      </c>
      <c r="W128" s="59" t="str">
        <f t="shared" si="14"/>
        <v/>
      </c>
      <c r="X128" s="60" t="str">
        <f>IF($B128="","",IF((E128)=0,"",(SUMIFS(pbp_Pitches,pbp_Batter,$B128,pbp_PlayType,"?*"))/(E128)))</f>
        <v/>
      </c>
      <c r="Y128" s="42" t="str">
        <f t="shared" si="15"/>
        <v/>
      </c>
      <c r="Z128" s="58" t="str">
        <f>IF($B128="","",IF((SUMPRODUCT(COUNTIFS(pbp_PlayType,EM_Type,pbp_Batter,$B128,pbp_On2B,"?*")*EM_AB)+SUMPRODUCT(COUNTIFS(pbp_PlayType,EM_Type,pbp_Batter,$B128,pbp_On2B,"",pbp_On3B,"?*")*EM_AB))=0,"",(SUMPRODUCT(COUNTIFS(pbp_PlayType,EM_Type,pbp_Batter,$B128,pbp_On2B,"?*")*EM_H)+SUMPRODUCT(COUNTIFS(pbp_PlayType,EM_Type,pbp_Batter,$B128,pbp_On2B,"",pbp_On3B,"?*")*EM_H))/(SUMPRODUCT(COUNTIFS(pbp_PlayType,EM_Type,pbp_Batter,$B128,pbp_On2B,"?*")*EM_AB)+SUMPRODUCT(COUNTIFS(pbp_PlayType,EM_Type,pbp_Batter,$B128,pbp_On2B,"",pbp_On3B,"?*")*EM_AB))))</f>
        <v/>
      </c>
      <c r="AA128" s="62" t="str">
        <f>IF($B128="","",IF(OR(E128&lt;MinPA,T128=""),"",COUNTIFS($E$6:$E$255,"&gt;="&amp;MinPA,$T$6:$T$255,"&gt;"&amp;T128)+COUNTIFS($E$5:E127,"&gt;="&amp;MinPA,$T$5:T127,T128)+1))</f>
        <v/>
      </c>
    </row>
    <row r="129" spans="2:27" x14ac:dyDescent="0.2">
      <c r="B129" s="44" t="str">
        <f t="array" ref="B129">IFERROR(INDEX(pbp_Batter,MATCH(0,COUNTIF($B$5:B128,pbp_Batter)+(pbp_Batter=""),0)),"")</f>
        <v/>
      </c>
      <c r="C129" s="61" t="str">
        <f>IF($B129="","",IFERROR(INDEX(pbp_BatTeam,MATCH($B129,pbp_Batter,0)),""))</f>
        <v/>
      </c>
      <c r="D129" s="61" t="str">
        <f>IF($B129="","",IFERROR(INDEX(pbp_BatHand,MATCH($B129,pbp_Batter,0)),""))</f>
        <v/>
      </c>
      <c r="E129" s="42" t="str">
        <f>IF($B129="","",SUMPRODUCT(COUNTIFS(pbp_PlayType,EM_Type,pbp_Batter,$B129)*EM_PA))</f>
        <v/>
      </c>
      <c r="F129" s="42" t="str">
        <f>IF($B129="","",SUMPRODUCT(COUNTIFS(pbp_PlayType,EM_Type,pbp_Batter,$B129)*EM_AB))</f>
        <v/>
      </c>
      <c r="G129" s="42" t="str">
        <f>IF($B129="","",SUMPRODUCT(COUNTIFS(pbp_PlayType,EM_Type,pbp_Batter,$B129)*EM_H))</f>
        <v/>
      </c>
      <c r="H129" s="42" t="str">
        <f>IF($B129="","",SUMPRODUCT(COUNTIFS(pbp_PlayType,EM_Type,pbp_Batter,$B129)*EM_2B))</f>
        <v/>
      </c>
      <c r="I129" s="42" t="str">
        <f>IF($B129="","",SUMPRODUCT(COUNTIFS(pbp_PlayType,EM_Type,pbp_Batter,$B129)*EM_3B))</f>
        <v/>
      </c>
      <c r="J129" s="42" t="str">
        <f>IF($B129="","",SUMPRODUCT(COUNTIFS(pbp_PlayType,EM_Type,pbp_Batter,$B129)*EM_HR))</f>
        <v/>
      </c>
      <c r="K129" s="42" t="str">
        <f>IF($B129="","",SUMPRODUCT(COUNTIFS(pbp_PlayType,EM_Type,pbp_Batter,$B129)*EM_1B))</f>
        <v/>
      </c>
      <c r="L129" s="42" t="str">
        <f>IF($B129="","",SUMPRODUCT(COUNTIFS(pbp_PlayType,EM_Type,pbp_Batter,$B129)*EM_BB))</f>
        <v/>
      </c>
      <c r="M129" s="42" t="str">
        <f>IF($B129="","",SUMPRODUCT(COUNTIFS(pbp_PlayType,EM_Type,pbp_Batter,$B129)*EM_HBP))</f>
        <v/>
      </c>
      <c r="N129" s="42" t="str">
        <f>IF($B129="","",COUNTIFS(pbp_PlayType,"?*",pbp_Desc,"*struck out*",pbp_Batter,$B129))</f>
        <v/>
      </c>
      <c r="O129" s="42" t="str">
        <f>IF($B129="","",SUMPRODUCT(COUNTIFS(pbp_PlayType,EM_Type,pbp_Batter,$B129)*EM_SF))</f>
        <v/>
      </c>
      <c r="P129" s="42" t="str">
        <f>IF($B129="","",SUMIFS(pbp_Runs,pbp_Batter,$B129))</f>
        <v/>
      </c>
      <c r="Q129" s="58" t="str">
        <f t="shared" si="8"/>
        <v/>
      </c>
      <c r="R129" s="58" t="str">
        <f t="shared" si="9"/>
        <v/>
      </c>
      <c r="S129" s="58" t="str">
        <f t="shared" si="10"/>
        <v/>
      </c>
      <c r="T129" s="58" t="str">
        <f t="shared" si="11"/>
        <v/>
      </c>
      <c r="U129" s="58" t="str">
        <f t="shared" si="12"/>
        <v/>
      </c>
      <c r="V129" s="59" t="str">
        <f t="shared" si="13"/>
        <v/>
      </c>
      <c r="W129" s="59" t="str">
        <f t="shared" si="14"/>
        <v/>
      </c>
      <c r="X129" s="60" t="str">
        <f>IF($B129="","",IF((E129)=0,"",(SUMIFS(pbp_Pitches,pbp_Batter,$B129,pbp_PlayType,"?*"))/(E129)))</f>
        <v/>
      </c>
      <c r="Y129" s="42" t="str">
        <f t="shared" si="15"/>
        <v/>
      </c>
      <c r="Z129" s="58" t="str">
        <f>IF($B129="","",IF((SUMPRODUCT(COUNTIFS(pbp_PlayType,EM_Type,pbp_Batter,$B129,pbp_On2B,"?*")*EM_AB)+SUMPRODUCT(COUNTIFS(pbp_PlayType,EM_Type,pbp_Batter,$B129,pbp_On2B,"",pbp_On3B,"?*")*EM_AB))=0,"",(SUMPRODUCT(COUNTIFS(pbp_PlayType,EM_Type,pbp_Batter,$B129,pbp_On2B,"?*")*EM_H)+SUMPRODUCT(COUNTIFS(pbp_PlayType,EM_Type,pbp_Batter,$B129,pbp_On2B,"",pbp_On3B,"?*")*EM_H))/(SUMPRODUCT(COUNTIFS(pbp_PlayType,EM_Type,pbp_Batter,$B129,pbp_On2B,"?*")*EM_AB)+SUMPRODUCT(COUNTIFS(pbp_PlayType,EM_Type,pbp_Batter,$B129,pbp_On2B,"",pbp_On3B,"?*")*EM_AB))))</f>
        <v/>
      </c>
      <c r="AA129" s="62" t="str">
        <f>IF($B129="","",IF(OR(E129&lt;MinPA,T129=""),"",COUNTIFS($E$6:$E$255,"&gt;="&amp;MinPA,$T$6:$T$255,"&gt;"&amp;T129)+COUNTIFS($E$5:E128,"&gt;="&amp;MinPA,$T$5:T128,T129)+1))</f>
        <v/>
      </c>
    </row>
    <row r="130" spans="2:27" x14ac:dyDescent="0.2">
      <c r="B130" s="44" t="str">
        <f t="array" ref="B130">IFERROR(INDEX(pbp_Batter,MATCH(0,COUNTIF($B$5:B129,pbp_Batter)+(pbp_Batter=""),0)),"")</f>
        <v/>
      </c>
      <c r="C130" s="61" t="str">
        <f>IF($B130="","",IFERROR(INDEX(pbp_BatTeam,MATCH($B130,pbp_Batter,0)),""))</f>
        <v/>
      </c>
      <c r="D130" s="61" t="str">
        <f>IF($B130="","",IFERROR(INDEX(pbp_BatHand,MATCH($B130,pbp_Batter,0)),""))</f>
        <v/>
      </c>
      <c r="E130" s="42" t="str">
        <f>IF($B130="","",SUMPRODUCT(COUNTIFS(pbp_PlayType,EM_Type,pbp_Batter,$B130)*EM_PA))</f>
        <v/>
      </c>
      <c r="F130" s="42" t="str">
        <f>IF($B130="","",SUMPRODUCT(COUNTIFS(pbp_PlayType,EM_Type,pbp_Batter,$B130)*EM_AB))</f>
        <v/>
      </c>
      <c r="G130" s="42" t="str">
        <f>IF($B130="","",SUMPRODUCT(COUNTIFS(pbp_PlayType,EM_Type,pbp_Batter,$B130)*EM_H))</f>
        <v/>
      </c>
      <c r="H130" s="42" t="str">
        <f>IF($B130="","",SUMPRODUCT(COUNTIFS(pbp_PlayType,EM_Type,pbp_Batter,$B130)*EM_2B))</f>
        <v/>
      </c>
      <c r="I130" s="42" t="str">
        <f>IF($B130="","",SUMPRODUCT(COUNTIFS(pbp_PlayType,EM_Type,pbp_Batter,$B130)*EM_3B))</f>
        <v/>
      </c>
      <c r="J130" s="42" t="str">
        <f>IF($B130="","",SUMPRODUCT(COUNTIFS(pbp_PlayType,EM_Type,pbp_Batter,$B130)*EM_HR))</f>
        <v/>
      </c>
      <c r="K130" s="42" t="str">
        <f>IF($B130="","",SUMPRODUCT(COUNTIFS(pbp_PlayType,EM_Type,pbp_Batter,$B130)*EM_1B))</f>
        <v/>
      </c>
      <c r="L130" s="42" t="str">
        <f>IF($B130="","",SUMPRODUCT(COUNTIFS(pbp_PlayType,EM_Type,pbp_Batter,$B130)*EM_BB))</f>
        <v/>
      </c>
      <c r="M130" s="42" t="str">
        <f>IF($B130="","",SUMPRODUCT(COUNTIFS(pbp_PlayType,EM_Type,pbp_Batter,$B130)*EM_HBP))</f>
        <v/>
      </c>
      <c r="N130" s="42" t="str">
        <f>IF($B130="","",COUNTIFS(pbp_PlayType,"?*",pbp_Desc,"*struck out*",pbp_Batter,$B130))</f>
        <v/>
      </c>
      <c r="O130" s="42" t="str">
        <f>IF($B130="","",SUMPRODUCT(COUNTIFS(pbp_PlayType,EM_Type,pbp_Batter,$B130)*EM_SF))</f>
        <v/>
      </c>
      <c r="P130" s="42" t="str">
        <f>IF($B130="","",SUMIFS(pbp_Runs,pbp_Batter,$B130))</f>
        <v/>
      </c>
      <c r="Q130" s="58" t="str">
        <f t="shared" si="8"/>
        <v/>
      </c>
      <c r="R130" s="58" t="str">
        <f t="shared" si="9"/>
        <v/>
      </c>
      <c r="S130" s="58" t="str">
        <f t="shared" si="10"/>
        <v/>
      </c>
      <c r="T130" s="58" t="str">
        <f t="shared" si="11"/>
        <v/>
      </c>
      <c r="U130" s="58" t="str">
        <f t="shared" si="12"/>
        <v/>
      </c>
      <c r="V130" s="59" t="str">
        <f t="shared" si="13"/>
        <v/>
      </c>
      <c r="W130" s="59" t="str">
        <f t="shared" si="14"/>
        <v/>
      </c>
      <c r="X130" s="60" t="str">
        <f>IF($B130="","",IF((E130)=0,"",(SUMIFS(pbp_Pitches,pbp_Batter,$B130,pbp_PlayType,"?*"))/(E130)))</f>
        <v/>
      </c>
      <c r="Y130" s="42" t="str">
        <f t="shared" si="15"/>
        <v/>
      </c>
      <c r="Z130" s="58" t="str">
        <f>IF($B130="","",IF((SUMPRODUCT(COUNTIFS(pbp_PlayType,EM_Type,pbp_Batter,$B130,pbp_On2B,"?*")*EM_AB)+SUMPRODUCT(COUNTIFS(pbp_PlayType,EM_Type,pbp_Batter,$B130,pbp_On2B,"",pbp_On3B,"?*")*EM_AB))=0,"",(SUMPRODUCT(COUNTIFS(pbp_PlayType,EM_Type,pbp_Batter,$B130,pbp_On2B,"?*")*EM_H)+SUMPRODUCT(COUNTIFS(pbp_PlayType,EM_Type,pbp_Batter,$B130,pbp_On2B,"",pbp_On3B,"?*")*EM_H))/(SUMPRODUCT(COUNTIFS(pbp_PlayType,EM_Type,pbp_Batter,$B130,pbp_On2B,"?*")*EM_AB)+SUMPRODUCT(COUNTIFS(pbp_PlayType,EM_Type,pbp_Batter,$B130,pbp_On2B,"",pbp_On3B,"?*")*EM_AB))))</f>
        <v/>
      </c>
      <c r="AA130" s="62" t="str">
        <f>IF($B130="","",IF(OR(E130&lt;MinPA,T130=""),"",COUNTIFS($E$6:$E$255,"&gt;="&amp;MinPA,$T$6:$T$255,"&gt;"&amp;T130)+COUNTIFS($E$5:E129,"&gt;="&amp;MinPA,$T$5:T129,T130)+1))</f>
        <v/>
      </c>
    </row>
    <row r="131" spans="2:27" x14ac:dyDescent="0.2">
      <c r="B131" s="44" t="str">
        <f t="array" ref="B131">IFERROR(INDEX(pbp_Batter,MATCH(0,COUNTIF($B$5:B130,pbp_Batter)+(pbp_Batter=""),0)),"")</f>
        <v/>
      </c>
      <c r="C131" s="61" t="str">
        <f>IF($B131="","",IFERROR(INDEX(pbp_BatTeam,MATCH($B131,pbp_Batter,0)),""))</f>
        <v/>
      </c>
      <c r="D131" s="61" t="str">
        <f>IF($B131="","",IFERROR(INDEX(pbp_BatHand,MATCH($B131,pbp_Batter,0)),""))</f>
        <v/>
      </c>
      <c r="E131" s="42" t="str">
        <f>IF($B131="","",SUMPRODUCT(COUNTIFS(pbp_PlayType,EM_Type,pbp_Batter,$B131)*EM_PA))</f>
        <v/>
      </c>
      <c r="F131" s="42" t="str">
        <f>IF($B131="","",SUMPRODUCT(COUNTIFS(pbp_PlayType,EM_Type,pbp_Batter,$B131)*EM_AB))</f>
        <v/>
      </c>
      <c r="G131" s="42" t="str">
        <f>IF($B131="","",SUMPRODUCT(COUNTIFS(pbp_PlayType,EM_Type,pbp_Batter,$B131)*EM_H))</f>
        <v/>
      </c>
      <c r="H131" s="42" t="str">
        <f>IF($B131="","",SUMPRODUCT(COUNTIFS(pbp_PlayType,EM_Type,pbp_Batter,$B131)*EM_2B))</f>
        <v/>
      </c>
      <c r="I131" s="42" t="str">
        <f>IF($B131="","",SUMPRODUCT(COUNTIFS(pbp_PlayType,EM_Type,pbp_Batter,$B131)*EM_3B))</f>
        <v/>
      </c>
      <c r="J131" s="42" t="str">
        <f>IF($B131="","",SUMPRODUCT(COUNTIFS(pbp_PlayType,EM_Type,pbp_Batter,$B131)*EM_HR))</f>
        <v/>
      </c>
      <c r="K131" s="42" t="str">
        <f>IF($B131="","",SUMPRODUCT(COUNTIFS(pbp_PlayType,EM_Type,pbp_Batter,$B131)*EM_1B))</f>
        <v/>
      </c>
      <c r="L131" s="42" t="str">
        <f>IF($B131="","",SUMPRODUCT(COUNTIFS(pbp_PlayType,EM_Type,pbp_Batter,$B131)*EM_BB))</f>
        <v/>
      </c>
      <c r="M131" s="42" t="str">
        <f>IF($B131="","",SUMPRODUCT(COUNTIFS(pbp_PlayType,EM_Type,pbp_Batter,$B131)*EM_HBP))</f>
        <v/>
      </c>
      <c r="N131" s="42" t="str">
        <f>IF($B131="","",COUNTIFS(pbp_PlayType,"?*",pbp_Desc,"*struck out*",pbp_Batter,$B131))</f>
        <v/>
      </c>
      <c r="O131" s="42" t="str">
        <f>IF($B131="","",SUMPRODUCT(COUNTIFS(pbp_PlayType,EM_Type,pbp_Batter,$B131)*EM_SF))</f>
        <v/>
      </c>
      <c r="P131" s="42" t="str">
        <f>IF($B131="","",SUMIFS(pbp_Runs,pbp_Batter,$B131))</f>
        <v/>
      </c>
      <c r="Q131" s="58" t="str">
        <f t="shared" si="8"/>
        <v/>
      </c>
      <c r="R131" s="58" t="str">
        <f t="shared" si="9"/>
        <v/>
      </c>
      <c r="S131" s="58" t="str">
        <f t="shared" si="10"/>
        <v/>
      </c>
      <c r="T131" s="58" t="str">
        <f t="shared" si="11"/>
        <v/>
      </c>
      <c r="U131" s="58" t="str">
        <f t="shared" si="12"/>
        <v/>
      </c>
      <c r="V131" s="59" t="str">
        <f t="shared" si="13"/>
        <v/>
      </c>
      <c r="W131" s="59" t="str">
        <f t="shared" si="14"/>
        <v/>
      </c>
      <c r="X131" s="60" t="str">
        <f>IF($B131="","",IF((E131)=0,"",(SUMIFS(pbp_Pitches,pbp_Batter,$B131,pbp_PlayType,"?*"))/(E131)))</f>
        <v/>
      </c>
      <c r="Y131" s="42" t="str">
        <f t="shared" si="15"/>
        <v/>
      </c>
      <c r="Z131" s="58" t="str">
        <f>IF($B131="","",IF((SUMPRODUCT(COUNTIFS(pbp_PlayType,EM_Type,pbp_Batter,$B131,pbp_On2B,"?*")*EM_AB)+SUMPRODUCT(COUNTIFS(pbp_PlayType,EM_Type,pbp_Batter,$B131,pbp_On2B,"",pbp_On3B,"?*")*EM_AB))=0,"",(SUMPRODUCT(COUNTIFS(pbp_PlayType,EM_Type,pbp_Batter,$B131,pbp_On2B,"?*")*EM_H)+SUMPRODUCT(COUNTIFS(pbp_PlayType,EM_Type,pbp_Batter,$B131,pbp_On2B,"",pbp_On3B,"?*")*EM_H))/(SUMPRODUCT(COUNTIFS(pbp_PlayType,EM_Type,pbp_Batter,$B131,pbp_On2B,"?*")*EM_AB)+SUMPRODUCT(COUNTIFS(pbp_PlayType,EM_Type,pbp_Batter,$B131,pbp_On2B,"",pbp_On3B,"?*")*EM_AB))))</f>
        <v/>
      </c>
      <c r="AA131" s="62" t="str">
        <f>IF($B131="","",IF(OR(E131&lt;MinPA,T131=""),"",COUNTIFS($E$6:$E$255,"&gt;="&amp;MinPA,$T$6:$T$255,"&gt;"&amp;T131)+COUNTIFS($E$5:E130,"&gt;="&amp;MinPA,$T$5:T130,T131)+1))</f>
        <v/>
      </c>
    </row>
    <row r="132" spans="2:27" x14ac:dyDescent="0.2">
      <c r="B132" s="44" t="str">
        <f t="array" ref="B132">IFERROR(INDEX(pbp_Batter,MATCH(0,COUNTIF($B$5:B131,pbp_Batter)+(pbp_Batter=""),0)),"")</f>
        <v/>
      </c>
      <c r="C132" s="61" t="str">
        <f>IF($B132="","",IFERROR(INDEX(pbp_BatTeam,MATCH($B132,pbp_Batter,0)),""))</f>
        <v/>
      </c>
      <c r="D132" s="61" t="str">
        <f>IF($B132="","",IFERROR(INDEX(pbp_BatHand,MATCH($B132,pbp_Batter,0)),""))</f>
        <v/>
      </c>
      <c r="E132" s="42" t="str">
        <f>IF($B132="","",SUMPRODUCT(COUNTIFS(pbp_PlayType,EM_Type,pbp_Batter,$B132)*EM_PA))</f>
        <v/>
      </c>
      <c r="F132" s="42" t="str">
        <f>IF($B132="","",SUMPRODUCT(COUNTIFS(pbp_PlayType,EM_Type,pbp_Batter,$B132)*EM_AB))</f>
        <v/>
      </c>
      <c r="G132" s="42" t="str">
        <f>IF($B132="","",SUMPRODUCT(COUNTIFS(pbp_PlayType,EM_Type,pbp_Batter,$B132)*EM_H))</f>
        <v/>
      </c>
      <c r="H132" s="42" t="str">
        <f>IF($B132="","",SUMPRODUCT(COUNTIFS(pbp_PlayType,EM_Type,pbp_Batter,$B132)*EM_2B))</f>
        <v/>
      </c>
      <c r="I132" s="42" t="str">
        <f>IF($B132="","",SUMPRODUCT(COUNTIFS(pbp_PlayType,EM_Type,pbp_Batter,$B132)*EM_3B))</f>
        <v/>
      </c>
      <c r="J132" s="42" t="str">
        <f>IF($B132="","",SUMPRODUCT(COUNTIFS(pbp_PlayType,EM_Type,pbp_Batter,$B132)*EM_HR))</f>
        <v/>
      </c>
      <c r="K132" s="42" t="str">
        <f>IF($B132="","",SUMPRODUCT(COUNTIFS(pbp_PlayType,EM_Type,pbp_Batter,$B132)*EM_1B))</f>
        <v/>
      </c>
      <c r="L132" s="42" t="str">
        <f>IF($B132="","",SUMPRODUCT(COUNTIFS(pbp_PlayType,EM_Type,pbp_Batter,$B132)*EM_BB))</f>
        <v/>
      </c>
      <c r="M132" s="42" t="str">
        <f>IF($B132="","",SUMPRODUCT(COUNTIFS(pbp_PlayType,EM_Type,pbp_Batter,$B132)*EM_HBP))</f>
        <v/>
      </c>
      <c r="N132" s="42" t="str">
        <f>IF($B132="","",COUNTIFS(pbp_PlayType,"?*",pbp_Desc,"*struck out*",pbp_Batter,$B132))</f>
        <v/>
      </c>
      <c r="O132" s="42" t="str">
        <f>IF($B132="","",SUMPRODUCT(COUNTIFS(pbp_PlayType,EM_Type,pbp_Batter,$B132)*EM_SF))</f>
        <v/>
      </c>
      <c r="P132" s="42" t="str">
        <f>IF($B132="","",SUMIFS(pbp_Runs,pbp_Batter,$B132))</f>
        <v/>
      </c>
      <c r="Q132" s="58" t="str">
        <f t="shared" si="8"/>
        <v/>
      </c>
      <c r="R132" s="58" t="str">
        <f t="shared" si="9"/>
        <v/>
      </c>
      <c r="S132" s="58" t="str">
        <f t="shared" si="10"/>
        <v/>
      </c>
      <c r="T132" s="58" t="str">
        <f t="shared" si="11"/>
        <v/>
      </c>
      <c r="U132" s="58" t="str">
        <f t="shared" si="12"/>
        <v/>
      </c>
      <c r="V132" s="59" t="str">
        <f t="shared" si="13"/>
        <v/>
      </c>
      <c r="W132" s="59" t="str">
        <f t="shared" si="14"/>
        <v/>
      </c>
      <c r="X132" s="60" t="str">
        <f>IF($B132="","",IF((E132)=0,"",(SUMIFS(pbp_Pitches,pbp_Batter,$B132,pbp_PlayType,"?*"))/(E132)))</f>
        <v/>
      </c>
      <c r="Y132" s="42" t="str">
        <f t="shared" si="15"/>
        <v/>
      </c>
      <c r="Z132" s="58" t="str">
        <f>IF($B132="","",IF((SUMPRODUCT(COUNTIFS(pbp_PlayType,EM_Type,pbp_Batter,$B132,pbp_On2B,"?*")*EM_AB)+SUMPRODUCT(COUNTIFS(pbp_PlayType,EM_Type,pbp_Batter,$B132,pbp_On2B,"",pbp_On3B,"?*")*EM_AB))=0,"",(SUMPRODUCT(COUNTIFS(pbp_PlayType,EM_Type,pbp_Batter,$B132,pbp_On2B,"?*")*EM_H)+SUMPRODUCT(COUNTIFS(pbp_PlayType,EM_Type,pbp_Batter,$B132,pbp_On2B,"",pbp_On3B,"?*")*EM_H))/(SUMPRODUCT(COUNTIFS(pbp_PlayType,EM_Type,pbp_Batter,$B132,pbp_On2B,"?*")*EM_AB)+SUMPRODUCT(COUNTIFS(pbp_PlayType,EM_Type,pbp_Batter,$B132,pbp_On2B,"",pbp_On3B,"?*")*EM_AB))))</f>
        <v/>
      </c>
      <c r="AA132" s="62" t="str">
        <f>IF($B132="","",IF(OR(E132&lt;MinPA,T132=""),"",COUNTIFS($E$6:$E$255,"&gt;="&amp;MinPA,$T$6:$T$255,"&gt;"&amp;T132)+COUNTIFS($E$5:E131,"&gt;="&amp;MinPA,$T$5:T131,T132)+1))</f>
        <v/>
      </c>
    </row>
    <row r="133" spans="2:27" x14ac:dyDescent="0.2">
      <c r="B133" s="44" t="str">
        <f t="array" ref="B133">IFERROR(INDEX(pbp_Batter,MATCH(0,COUNTIF($B$5:B132,pbp_Batter)+(pbp_Batter=""),0)),"")</f>
        <v/>
      </c>
      <c r="C133" s="61" t="str">
        <f>IF($B133="","",IFERROR(INDEX(pbp_BatTeam,MATCH($B133,pbp_Batter,0)),""))</f>
        <v/>
      </c>
      <c r="D133" s="61" t="str">
        <f>IF($B133="","",IFERROR(INDEX(pbp_BatHand,MATCH($B133,pbp_Batter,0)),""))</f>
        <v/>
      </c>
      <c r="E133" s="42" t="str">
        <f>IF($B133="","",SUMPRODUCT(COUNTIFS(pbp_PlayType,EM_Type,pbp_Batter,$B133)*EM_PA))</f>
        <v/>
      </c>
      <c r="F133" s="42" t="str">
        <f>IF($B133="","",SUMPRODUCT(COUNTIFS(pbp_PlayType,EM_Type,pbp_Batter,$B133)*EM_AB))</f>
        <v/>
      </c>
      <c r="G133" s="42" t="str">
        <f>IF($B133="","",SUMPRODUCT(COUNTIFS(pbp_PlayType,EM_Type,pbp_Batter,$B133)*EM_H))</f>
        <v/>
      </c>
      <c r="H133" s="42" t="str">
        <f>IF($B133="","",SUMPRODUCT(COUNTIFS(pbp_PlayType,EM_Type,pbp_Batter,$B133)*EM_2B))</f>
        <v/>
      </c>
      <c r="I133" s="42" t="str">
        <f>IF($B133="","",SUMPRODUCT(COUNTIFS(pbp_PlayType,EM_Type,pbp_Batter,$B133)*EM_3B))</f>
        <v/>
      </c>
      <c r="J133" s="42" t="str">
        <f>IF($B133="","",SUMPRODUCT(COUNTIFS(pbp_PlayType,EM_Type,pbp_Batter,$B133)*EM_HR))</f>
        <v/>
      </c>
      <c r="K133" s="42" t="str">
        <f>IF($B133="","",SUMPRODUCT(COUNTIFS(pbp_PlayType,EM_Type,pbp_Batter,$B133)*EM_1B))</f>
        <v/>
      </c>
      <c r="L133" s="42" t="str">
        <f>IF($B133="","",SUMPRODUCT(COUNTIFS(pbp_PlayType,EM_Type,pbp_Batter,$B133)*EM_BB))</f>
        <v/>
      </c>
      <c r="M133" s="42" t="str">
        <f>IF($B133="","",SUMPRODUCT(COUNTIFS(pbp_PlayType,EM_Type,pbp_Batter,$B133)*EM_HBP))</f>
        <v/>
      </c>
      <c r="N133" s="42" t="str">
        <f>IF($B133="","",COUNTIFS(pbp_PlayType,"?*",pbp_Desc,"*struck out*",pbp_Batter,$B133))</f>
        <v/>
      </c>
      <c r="O133" s="42" t="str">
        <f>IF($B133="","",SUMPRODUCT(COUNTIFS(pbp_PlayType,EM_Type,pbp_Batter,$B133)*EM_SF))</f>
        <v/>
      </c>
      <c r="P133" s="42" t="str">
        <f>IF($B133="","",SUMIFS(pbp_Runs,pbp_Batter,$B133))</f>
        <v/>
      </c>
      <c r="Q133" s="58" t="str">
        <f t="shared" si="8"/>
        <v/>
      </c>
      <c r="R133" s="58" t="str">
        <f t="shared" si="9"/>
        <v/>
      </c>
      <c r="S133" s="58" t="str">
        <f t="shared" si="10"/>
        <v/>
      </c>
      <c r="T133" s="58" t="str">
        <f t="shared" si="11"/>
        <v/>
      </c>
      <c r="U133" s="58" t="str">
        <f t="shared" si="12"/>
        <v/>
      </c>
      <c r="V133" s="59" t="str">
        <f t="shared" si="13"/>
        <v/>
      </c>
      <c r="W133" s="59" t="str">
        <f t="shared" si="14"/>
        <v/>
      </c>
      <c r="X133" s="60" t="str">
        <f>IF($B133="","",IF((E133)=0,"",(SUMIFS(pbp_Pitches,pbp_Batter,$B133,pbp_PlayType,"?*"))/(E133)))</f>
        <v/>
      </c>
      <c r="Y133" s="42" t="str">
        <f t="shared" si="15"/>
        <v/>
      </c>
      <c r="Z133" s="58" t="str">
        <f>IF($B133="","",IF((SUMPRODUCT(COUNTIFS(pbp_PlayType,EM_Type,pbp_Batter,$B133,pbp_On2B,"?*")*EM_AB)+SUMPRODUCT(COUNTIFS(pbp_PlayType,EM_Type,pbp_Batter,$B133,pbp_On2B,"",pbp_On3B,"?*")*EM_AB))=0,"",(SUMPRODUCT(COUNTIFS(pbp_PlayType,EM_Type,pbp_Batter,$B133,pbp_On2B,"?*")*EM_H)+SUMPRODUCT(COUNTIFS(pbp_PlayType,EM_Type,pbp_Batter,$B133,pbp_On2B,"",pbp_On3B,"?*")*EM_H))/(SUMPRODUCT(COUNTIFS(pbp_PlayType,EM_Type,pbp_Batter,$B133,pbp_On2B,"?*")*EM_AB)+SUMPRODUCT(COUNTIFS(pbp_PlayType,EM_Type,pbp_Batter,$B133,pbp_On2B,"",pbp_On3B,"?*")*EM_AB))))</f>
        <v/>
      </c>
      <c r="AA133" s="62" t="str">
        <f>IF($B133="","",IF(OR(E133&lt;MinPA,T133=""),"",COUNTIFS($E$6:$E$255,"&gt;="&amp;MinPA,$T$6:$T$255,"&gt;"&amp;T133)+COUNTIFS($E$5:E132,"&gt;="&amp;MinPA,$T$5:T132,T133)+1))</f>
        <v/>
      </c>
    </row>
    <row r="134" spans="2:27" x14ac:dyDescent="0.2">
      <c r="B134" s="44" t="str">
        <f t="array" ref="B134">IFERROR(INDEX(pbp_Batter,MATCH(0,COUNTIF($B$5:B133,pbp_Batter)+(pbp_Batter=""),0)),"")</f>
        <v/>
      </c>
      <c r="C134" s="61" t="str">
        <f>IF($B134="","",IFERROR(INDEX(pbp_BatTeam,MATCH($B134,pbp_Batter,0)),""))</f>
        <v/>
      </c>
      <c r="D134" s="61" t="str">
        <f>IF($B134="","",IFERROR(INDEX(pbp_BatHand,MATCH($B134,pbp_Batter,0)),""))</f>
        <v/>
      </c>
      <c r="E134" s="42" t="str">
        <f>IF($B134="","",SUMPRODUCT(COUNTIFS(pbp_PlayType,EM_Type,pbp_Batter,$B134)*EM_PA))</f>
        <v/>
      </c>
      <c r="F134" s="42" t="str">
        <f>IF($B134="","",SUMPRODUCT(COUNTIFS(pbp_PlayType,EM_Type,pbp_Batter,$B134)*EM_AB))</f>
        <v/>
      </c>
      <c r="G134" s="42" t="str">
        <f>IF($B134="","",SUMPRODUCT(COUNTIFS(pbp_PlayType,EM_Type,pbp_Batter,$B134)*EM_H))</f>
        <v/>
      </c>
      <c r="H134" s="42" t="str">
        <f>IF($B134="","",SUMPRODUCT(COUNTIFS(pbp_PlayType,EM_Type,pbp_Batter,$B134)*EM_2B))</f>
        <v/>
      </c>
      <c r="I134" s="42" t="str">
        <f>IF($B134="","",SUMPRODUCT(COUNTIFS(pbp_PlayType,EM_Type,pbp_Batter,$B134)*EM_3B))</f>
        <v/>
      </c>
      <c r="J134" s="42" t="str">
        <f>IF($B134="","",SUMPRODUCT(COUNTIFS(pbp_PlayType,EM_Type,pbp_Batter,$B134)*EM_HR))</f>
        <v/>
      </c>
      <c r="K134" s="42" t="str">
        <f>IF($B134="","",SUMPRODUCT(COUNTIFS(pbp_PlayType,EM_Type,pbp_Batter,$B134)*EM_1B))</f>
        <v/>
      </c>
      <c r="L134" s="42" t="str">
        <f>IF($B134="","",SUMPRODUCT(COUNTIFS(pbp_PlayType,EM_Type,pbp_Batter,$B134)*EM_BB))</f>
        <v/>
      </c>
      <c r="M134" s="42" t="str">
        <f>IF($B134="","",SUMPRODUCT(COUNTIFS(pbp_PlayType,EM_Type,pbp_Batter,$B134)*EM_HBP))</f>
        <v/>
      </c>
      <c r="N134" s="42" t="str">
        <f>IF($B134="","",COUNTIFS(pbp_PlayType,"?*",pbp_Desc,"*struck out*",pbp_Batter,$B134))</f>
        <v/>
      </c>
      <c r="O134" s="42" t="str">
        <f>IF($B134="","",SUMPRODUCT(COUNTIFS(pbp_PlayType,EM_Type,pbp_Batter,$B134)*EM_SF))</f>
        <v/>
      </c>
      <c r="P134" s="42" t="str">
        <f>IF($B134="","",SUMIFS(pbp_Runs,pbp_Batter,$B134))</f>
        <v/>
      </c>
      <c r="Q134" s="58" t="str">
        <f t="shared" ref="Q134:Q197" si="16">IF($B134="","",IF((F134)=0,"",(G134)/(F134)))</f>
        <v/>
      </c>
      <c r="R134" s="58" t="str">
        <f t="shared" ref="R134:R197" si="17">IF($B134="","",IF(((F134+L134+M134+O134))=0,"",((G134+L134+M134))/((F134+L134+M134+O134))))</f>
        <v/>
      </c>
      <c r="S134" s="58" t="str">
        <f t="shared" ref="S134:S197" si="18">IF($B134="","",IF((F134)=0,"",((K134+2*H134+3*I134+4*J134))/(F134)))</f>
        <v/>
      </c>
      <c r="T134" s="58" t="str">
        <f t="shared" ref="T134:T197" si="19">IF($B134="","",IF(F134=0,"",R134+S134))</f>
        <v/>
      </c>
      <c r="U134" s="58" t="str">
        <f t="shared" ref="U134:U197" si="20">IF($B134="","",IF(F134=0,"",S134-Q134))</f>
        <v/>
      </c>
      <c r="V134" s="59" t="str">
        <f t="shared" ref="V134:V197" si="21">IF($B134="","",IF((E134)=0,"",(N134)/(E134)))</f>
        <v/>
      </c>
      <c r="W134" s="59" t="str">
        <f t="shared" ref="W134:W197" si="22">IF($B134="","",IF((E134)=0,"",(L134)/(E134)))</f>
        <v/>
      </c>
      <c r="X134" s="60" t="str">
        <f>IF($B134="","",IF((E134)=0,"",(SUMIFS(pbp_Pitches,pbp_Batter,$B134,pbp_PlayType,"?*"))/(E134)))</f>
        <v/>
      </c>
      <c r="Y134" s="42" t="str">
        <f t="shared" ref="Y134:Y197" si="23">IF($B134="","",H134+I134+J134)</f>
        <v/>
      </c>
      <c r="Z134" s="58" t="str">
        <f>IF($B134="","",IF((SUMPRODUCT(COUNTIFS(pbp_PlayType,EM_Type,pbp_Batter,$B134,pbp_On2B,"?*")*EM_AB)+SUMPRODUCT(COUNTIFS(pbp_PlayType,EM_Type,pbp_Batter,$B134,pbp_On2B,"",pbp_On3B,"?*")*EM_AB))=0,"",(SUMPRODUCT(COUNTIFS(pbp_PlayType,EM_Type,pbp_Batter,$B134,pbp_On2B,"?*")*EM_H)+SUMPRODUCT(COUNTIFS(pbp_PlayType,EM_Type,pbp_Batter,$B134,pbp_On2B,"",pbp_On3B,"?*")*EM_H))/(SUMPRODUCT(COUNTIFS(pbp_PlayType,EM_Type,pbp_Batter,$B134,pbp_On2B,"?*")*EM_AB)+SUMPRODUCT(COUNTIFS(pbp_PlayType,EM_Type,pbp_Batter,$B134,pbp_On2B,"",pbp_On3B,"?*")*EM_AB))))</f>
        <v/>
      </c>
      <c r="AA134" s="62" t="str">
        <f>IF($B134="","",IF(OR(E134&lt;MinPA,T134=""),"",COUNTIFS($E$6:$E$255,"&gt;="&amp;MinPA,$T$6:$T$255,"&gt;"&amp;T134)+COUNTIFS($E$5:E133,"&gt;="&amp;MinPA,$T$5:T133,T134)+1))</f>
        <v/>
      </c>
    </row>
    <row r="135" spans="2:27" x14ac:dyDescent="0.2">
      <c r="B135" s="44" t="str">
        <f t="array" ref="B135">IFERROR(INDEX(pbp_Batter,MATCH(0,COUNTIF($B$5:B134,pbp_Batter)+(pbp_Batter=""),0)),"")</f>
        <v/>
      </c>
      <c r="C135" s="61" t="str">
        <f>IF($B135="","",IFERROR(INDEX(pbp_BatTeam,MATCH($B135,pbp_Batter,0)),""))</f>
        <v/>
      </c>
      <c r="D135" s="61" t="str">
        <f>IF($B135="","",IFERROR(INDEX(pbp_BatHand,MATCH($B135,pbp_Batter,0)),""))</f>
        <v/>
      </c>
      <c r="E135" s="42" t="str">
        <f>IF($B135="","",SUMPRODUCT(COUNTIFS(pbp_PlayType,EM_Type,pbp_Batter,$B135)*EM_PA))</f>
        <v/>
      </c>
      <c r="F135" s="42" t="str">
        <f>IF($B135="","",SUMPRODUCT(COUNTIFS(pbp_PlayType,EM_Type,pbp_Batter,$B135)*EM_AB))</f>
        <v/>
      </c>
      <c r="G135" s="42" t="str">
        <f>IF($B135="","",SUMPRODUCT(COUNTIFS(pbp_PlayType,EM_Type,pbp_Batter,$B135)*EM_H))</f>
        <v/>
      </c>
      <c r="H135" s="42" t="str">
        <f>IF($B135="","",SUMPRODUCT(COUNTIFS(pbp_PlayType,EM_Type,pbp_Batter,$B135)*EM_2B))</f>
        <v/>
      </c>
      <c r="I135" s="42" t="str">
        <f>IF($B135="","",SUMPRODUCT(COUNTIFS(pbp_PlayType,EM_Type,pbp_Batter,$B135)*EM_3B))</f>
        <v/>
      </c>
      <c r="J135" s="42" t="str">
        <f>IF($B135="","",SUMPRODUCT(COUNTIFS(pbp_PlayType,EM_Type,pbp_Batter,$B135)*EM_HR))</f>
        <v/>
      </c>
      <c r="K135" s="42" t="str">
        <f>IF($B135="","",SUMPRODUCT(COUNTIFS(pbp_PlayType,EM_Type,pbp_Batter,$B135)*EM_1B))</f>
        <v/>
      </c>
      <c r="L135" s="42" t="str">
        <f>IF($B135="","",SUMPRODUCT(COUNTIFS(pbp_PlayType,EM_Type,pbp_Batter,$B135)*EM_BB))</f>
        <v/>
      </c>
      <c r="M135" s="42" t="str">
        <f>IF($B135="","",SUMPRODUCT(COUNTIFS(pbp_PlayType,EM_Type,pbp_Batter,$B135)*EM_HBP))</f>
        <v/>
      </c>
      <c r="N135" s="42" t="str">
        <f>IF($B135="","",COUNTIFS(pbp_PlayType,"?*",pbp_Desc,"*struck out*",pbp_Batter,$B135))</f>
        <v/>
      </c>
      <c r="O135" s="42" t="str">
        <f>IF($B135="","",SUMPRODUCT(COUNTIFS(pbp_PlayType,EM_Type,pbp_Batter,$B135)*EM_SF))</f>
        <v/>
      </c>
      <c r="P135" s="42" t="str">
        <f>IF($B135="","",SUMIFS(pbp_Runs,pbp_Batter,$B135))</f>
        <v/>
      </c>
      <c r="Q135" s="58" t="str">
        <f t="shared" si="16"/>
        <v/>
      </c>
      <c r="R135" s="58" t="str">
        <f t="shared" si="17"/>
        <v/>
      </c>
      <c r="S135" s="58" t="str">
        <f t="shared" si="18"/>
        <v/>
      </c>
      <c r="T135" s="58" t="str">
        <f t="shared" si="19"/>
        <v/>
      </c>
      <c r="U135" s="58" t="str">
        <f t="shared" si="20"/>
        <v/>
      </c>
      <c r="V135" s="59" t="str">
        <f t="shared" si="21"/>
        <v/>
      </c>
      <c r="W135" s="59" t="str">
        <f t="shared" si="22"/>
        <v/>
      </c>
      <c r="X135" s="60" t="str">
        <f>IF($B135="","",IF((E135)=0,"",(SUMIFS(pbp_Pitches,pbp_Batter,$B135,pbp_PlayType,"?*"))/(E135)))</f>
        <v/>
      </c>
      <c r="Y135" s="42" t="str">
        <f t="shared" si="23"/>
        <v/>
      </c>
      <c r="Z135" s="58" t="str">
        <f>IF($B135="","",IF((SUMPRODUCT(COUNTIFS(pbp_PlayType,EM_Type,pbp_Batter,$B135,pbp_On2B,"?*")*EM_AB)+SUMPRODUCT(COUNTIFS(pbp_PlayType,EM_Type,pbp_Batter,$B135,pbp_On2B,"",pbp_On3B,"?*")*EM_AB))=0,"",(SUMPRODUCT(COUNTIFS(pbp_PlayType,EM_Type,pbp_Batter,$B135,pbp_On2B,"?*")*EM_H)+SUMPRODUCT(COUNTIFS(pbp_PlayType,EM_Type,pbp_Batter,$B135,pbp_On2B,"",pbp_On3B,"?*")*EM_H))/(SUMPRODUCT(COUNTIFS(pbp_PlayType,EM_Type,pbp_Batter,$B135,pbp_On2B,"?*")*EM_AB)+SUMPRODUCT(COUNTIFS(pbp_PlayType,EM_Type,pbp_Batter,$B135,pbp_On2B,"",pbp_On3B,"?*")*EM_AB))))</f>
        <v/>
      </c>
      <c r="AA135" s="62" t="str">
        <f>IF($B135="","",IF(OR(E135&lt;MinPA,T135=""),"",COUNTIFS($E$6:$E$255,"&gt;="&amp;MinPA,$T$6:$T$255,"&gt;"&amp;T135)+COUNTIFS($E$5:E134,"&gt;="&amp;MinPA,$T$5:T134,T135)+1))</f>
        <v/>
      </c>
    </row>
    <row r="136" spans="2:27" x14ac:dyDescent="0.2">
      <c r="B136" s="44" t="str">
        <f t="array" ref="B136">IFERROR(INDEX(pbp_Batter,MATCH(0,COUNTIF($B$5:B135,pbp_Batter)+(pbp_Batter=""),0)),"")</f>
        <v/>
      </c>
      <c r="C136" s="61" t="str">
        <f>IF($B136="","",IFERROR(INDEX(pbp_BatTeam,MATCH($B136,pbp_Batter,0)),""))</f>
        <v/>
      </c>
      <c r="D136" s="61" t="str">
        <f>IF($B136="","",IFERROR(INDEX(pbp_BatHand,MATCH($B136,pbp_Batter,0)),""))</f>
        <v/>
      </c>
      <c r="E136" s="42" t="str">
        <f>IF($B136="","",SUMPRODUCT(COUNTIFS(pbp_PlayType,EM_Type,pbp_Batter,$B136)*EM_PA))</f>
        <v/>
      </c>
      <c r="F136" s="42" t="str">
        <f>IF($B136="","",SUMPRODUCT(COUNTIFS(pbp_PlayType,EM_Type,pbp_Batter,$B136)*EM_AB))</f>
        <v/>
      </c>
      <c r="G136" s="42" t="str">
        <f>IF($B136="","",SUMPRODUCT(COUNTIFS(pbp_PlayType,EM_Type,pbp_Batter,$B136)*EM_H))</f>
        <v/>
      </c>
      <c r="H136" s="42" t="str">
        <f>IF($B136="","",SUMPRODUCT(COUNTIFS(pbp_PlayType,EM_Type,pbp_Batter,$B136)*EM_2B))</f>
        <v/>
      </c>
      <c r="I136" s="42" t="str">
        <f>IF($B136="","",SUMPRODUCT(COUNTIFS(pbp_PlayType,EM_Type,pbp_Batter,$B136)*EM_3B))</f>
        <v/>
      </c>
      <c r="J136" s="42" t="str">
        <f>IF($B136="","",SUMPRODUCT(COUNTIFS(pbp_PlayType,EM_Type,pbp_Batter,$B136)*EM_HR))</f>
        <v/>
      </c>
      <c r="K136" s="42" t="str">
        <f>IF($B136="","",SUMPRODUCT(COUNTIFS(pbp_PlayType,EM_Type,pbp_Batter,$B136)*EM_1B))</f>
        <v/>
      </c>
      <c r="L136" s="42" t="str">
        <f>IF($B136="","",SUMPRODUCT(COUNTIFS(pbp_PlayType,EM_Type,pbp_Batter,$B136)*EM_BB))</f>
        <v/>
      </c>
      <c r="M136" s="42" t="str">
        <f>IF($B136="","",SUMPRODUCT(COUNTIFS(pbp_PlayType,EM_Type,pbp_Batter,$B136)*EM_HBP))</f>
        <v/>
      </c>
      <c r="N136" s="42" t="str">
        <f>IF($B136="","",COUNTIFS(pbp_PlayType,"?*",pbp_Desc,"*struck out*",pbp_Batter,$B136))</f>
        <v/>
      </c>
      <c r="O136" s="42" t="str">
        <f>IF($B136="","",SUMPRODUCT(COUNTIFS(pbp_PlayType,EM_Type,pbp_Batter,$B136)*EM_SF))</f>
        <v/>
      </c>
      <c r="P136" s="42" t="str">
        <f>IF($B136="","",SUMIFS(pbp_Runs,pbp_Batter,$B136))</f>
        <v/>
      </c>
      <c r="Q136" s="58" t="str">
        <f t="shared" si="16"/>
        <v/>
      </c>
      <c r="R136" s="58" t="str">
        <f t="shared" si="17"/>
        <v/>
      </c>
      <c r="S136" s="58" t="str">
        <f t="shared" si="18"/>
        <v/>
      </c>
      <c r="T136" s="58" t="str">
        <f t="shared" si="19"/>
        <v/>
      </c>
      <c r="U136" s="58" t="str">
        <f t="shared" si="20"/>
        <v/>
      </c>
      <c r="V136" s="59" t="str">
        <f t="shared" si="21"/>
        <v/>
      </c>
      <c r="W136" s="59" t="str">
        <f t="shared" si="22"/>
        <v/>
      </c>
      <c r="X136" s="60" t="str">
        <f>IF($B136="","",IF((E136)=0,"",(SUMIFS(pbp_Pitches,pbp_Batter,$B136,pbp_PlayType,"?*"))/(E136)))</f>
        <v/>
      </c>
      <c r="Y136" s="42" t="str">
        <f t="shared" si="23"/>
        <v/>
      </c>
      <c r="Z136" s="58" t="str">
        <f>IF($B136="","",IF((SUMPRODUCT(COUNTIFS(pbp_PlayType,EM_Type,pbp_Batter,$B136,pbp_On2B,"?*")*EM_AB)+SUMPRODUCT(COUNTIFS(pbp_PlayType,EM_Type,pbp_Batter,$B136,pbp_On2B,"",pbp_On3B,"?*")*EM_AB))=0,"",(SUMPRODUCT(COUNTIFS(pbp_PlayType,EM_Type,pbp_Batter,$B136,pbp_On2B,"?*")*EM_H)+SUMPRODUCT(COUNTIFS(pbp_PlayType,EM_Type,pbp_Batter,$B136,pbp_On2B,"",pbp_On3B,"?*")*EM_H))/(SUMPRODUCT(COUNTIFS(pbp_PlayType,EM_Type,pbp_Batter,$B136,pbp_On2B,"?*")*EM_AB)+SUMPRODUCT(COUNTIFS(pbp_PlayType,EM_Type,pbp_Batter,$B136,pbp_On2B,"",pbp_On3B,"?*")*EM_AB))))</f>
        <v/>
      </c>
      <c r="AA136" s="62" t="str">
        <f>IF($B136="","",IF(OR(E136&lt;MinPA,T136=""),"",COUNTIFS($E$6:$E$255,"&gt;="&amp;MinPA,$T$6:$T$255,"&gt;"&amp;T136)+COUNTIFS($E$5:E135,"&gt;="&amp;MinPA,$T$5:T135,T136)+1))</f>
        <v/>
      </c>
    </row>
    <row r="137" spans="2:27" x14ac:dyDescent="0.2">
      <c r="B137" s="44" t="str">
        <f t="array" ref="B137">IFERROR(INDEX(pbp_Batter,MATCH(0,COUNTIF($B$5:B136,pbp_Batter)+(pbp_Batter=""),0)),"")</f>
        <v/>
      </c>
      <c r="C137" s="61" t="str">
        <f>IF($B137="","",IFERROR(INDEX(pbp_BatTeam,MATCH($B137,pbp_Batter,0)),""))</f>
        <v/>
      </c>
      <c r="D137" s="61" t="str">
        <f>IF($B137="","",IFERROR(INDEX(pbp_BatHand,MATCH($B137,pbp_Batter,0)),""))</f>
        <v/>
      </c>
      <c r="E137" s="42" t="str">
        <f>IF($B137="","",SUMPRODUCT(COUNTIFS(pbp_PlayType,EM_Type,pbp_Batter,$B137)*EM_PA))</f>
        <v/>
      </c>
      <c r="F137" s="42" t="str">
        <f>IF($B137="","",SUMPRODUCT(COUNTIFS(pbp_PlayType,EM_Type,pbp_Batter,$B137)*EM_AB))</f>
        <v/>
      </c>
      <c r="G137" s="42" t="str">
        <f>IF($B137="","",SUMPRODUCT(COUNTIFS(pbp_PlayType,EM_Type,pbp_Batter,$B137)*EM_H))</f>
        <v/>
      </c>
      <c r="H137" s="42" t="str">
        <f>IF($B137="","",SUMPRODUCT(COUNTIFS(pbp_PlayType,EM_Type,pbp_Batter,$B137)*EM_2B))</f>
        <v/>
      </c>
      <c r="I137" s="42" t="str">
        <f>IF($B137="","",SUMPRODUCT(COUNTIFS(pbp_PlayType,EM_Type,pbp_Batter,$B137)*EM_3B))</f>
        <v/>
      </c>
      <c r="J137" s="42" t="str">
        <f>IF($B137="","",SUMPRODUCT(COUNTIFS(pbp_PlayType,EM_Type,pbp_Batter,$B137)*EM_HR))</f>
        <v/>
      </c>
      <c r="K137" s="42" t="str">
        <f>IF($B137="","",SUMPRODUCT(COUNTIFS(pbp_PlayType,EM_Type,pbp_Batter,$B137)*EM_1B))</f>
        <v/>
      </c>
      <c r="L137" s="42" t="str">
        <f>IF($B137="","",SUMPRODUCT(COUNTIFS(pbp_PlayType,EM_Type,pbp_Batter,$B137)*EM_BB))</f>
        <v/>
      </c>
      <c r="M137" s="42" t="str">
        <f>IF($B137="","",SUMPRODUCT(COUNTIFS(pbp_PlayType,EM_Type,pbp_Batter,$B137)*EM_HBP))</f>
        <v/>
      </c>
      <c r="N137" s="42" t="str">
        <f>IF($B137="","",COUNTIFS(pbp_PlayType,"?*",pbp_Desc,"*struck out*",pbp_Batter,$B137))</f>
        <v/>
      </c>
      <c r="O137" s="42" t="str">
        <f>IF($B137="","",SUMPRODUCT(COUNTIFS(pbp_PlayType,EM_Type,pbp_Batter,$B137)*EM_SF))</f>
        <v/>
      </c>
      <c r="P137" s="42" t="str">
        <f>IF($B137="","",SUMIFS(pbp_Runs,pbp_Batter,$B137))</f>
        <v/>
      </c>
      <c r="Q137" s="58" t="str">
        <f t="shared" si="16"/>
        <v/>
      </c>
      <c r="R137" s="58" t="str">
        <f t="shared" si="17"/>
        <v/>
      </c>
      <c r="S137" s="58" t="str">
        <f t="shared" si="18"/>
        <v/>
      </c>
      <c r="T137" s="58" t="str">
        <f t="shared" si="19"/>
        <v/>
      </c>
      <c r="U137" s="58" t="str">
        <f t="shared" si="20"/>
        <v/>
      </c>
      <c r="V137" s="59" t="str">
        <f t="shared" si="21"/>
        <v/>
      </c>
      <c r="W137" s="59" t="str">
        <f t="shared" si="22"/>
        <v/>
      </c>
      <c r="X137" s="60" t="str">
        <f>IF($B137="","",IF((E137)=0,"",(SUMIFS(pbp_Pitches,pbp_Batter,$B137,pbp_PlayType,"?*"))/(E137)))</f>
        <v/>
      </c>
      <c r="Y137" s="42" t="str">
        <f t="shared" si="23"/>
        <v/>
      </c>
      <c r="Z137" s="58" t="str">
        <f>IF($B137="","",IF((SUMPRODUCT(COUNTIFS(pbp_PlayType,EM_Type,pbp_Batter,$B137,pbp_On2B,"?*")*EM_AB)+SUMPRODUCT(COUNTIFS(pbp_PlayType,EM_Type,pbp_Batter,$B137,pbp_On2B,"",pbp_On3B,"?*")*EM_AB))=0,"",(SUMPRODUCT(COUNTIFS(pbp_PlayType,EM_Type,pbp_Batter,$B137,pbp_On2B,"?*")*EM_H)+SUMPRODUCT(COUNTIFS(pbp_PlayType,EM_Type,pbp_Batter,$B137,pbp_On2B,"",pbp_On3B,"?*")*EM_H))/(SUMPRODUCT(COUNTIFS(pbp_PlayType,EM_Type,pbp_Batter,$B137,pbp_On2B,"?*")*EM_AB)+SUMPRODUCT(COUNTIFS(pbp_PlayType,EM_Type,pbp_Batter,$B137,pbp_On2B,"",pbp_On3B,"?*")*EM_AB))))</f>
        <v/>
      </c>
      <c r="AA137" s="62" t="str">
        <f>IF($B137="","",IF(OR(E137&lt;MinPA,T137=""),"",COUNTIFS($E$6:$E$255,"&gt;="&amp;MinPA,$T$6:$T$255,"&gt;"&amp;T137)+COUNTIFS($E$5:E136,"&gt;="&amp;MinPA,$T$5:T136,T137)+1))</f>
        <v/>
      </c>
    </row>
    <row r="138" spans="2:27" x14ac:dyDescent="0.2">
      <c r="B138" s="44" t="str">
        <f t="array" ref="B138">IFERROR(INDEX(pbp_Batter,MATCH(0,COUNTIF($B$5:B137,pbp_Batter)+(pbp_Batter=""),0)),"")</f>
        <v/>
      </c>
      <c r="C138" s="61" t="str">
        <f>IF($B138="","",IFERROR(INDEX(pbp_BatTeam,MATCH($B138,pbp_Batter,0)),""))</f>
        <v/>
      </c>
      <c r="D138" s="61" t="str">
        <f>IF($B138="","",IFERROR(INDEX(pbp_BatHand,MATCH($B138,pbp_Batter,0)),""))</f>
        <v/>
      </c>
      <c r="E138" s="42" t="str">
        <f>IF($B138="","",SUMPRODUCT(COUNTIFS(pbp_PlayType,EM_Type,pbp_Batter,$B138)*EM_PA))</f>
        <v/>
      </c>
      <c r="F138" s="42" t="str">
        <f>IF($B138="","",SUMPRODUCT(COUNTIFS(pbp_PlayType,EM_Type,pbp_Batter,$B138)*EM_AB))</f>
        <v/>
      </c>
      <c r="G138" s="42" t="str">
        <f>IF($B138="","",SUMPRODUCT(COUNTIFS(pbp_PlayType,EM_Type,pbp_Batter,$B138)*EM_H))</f>
        <v/>
      </c>
      <c r="H138" s="42" t="str">
        <f>IF($B138="","",SUMPRODUCT(COUNTIFS(pbp_PlayType,EM_Type,pbp_Batter,$B138)*EM_2B))</f>
        <v/>
      </c>
      <c r="I138" s="42" t="str">
        <f>IF($B138="","",SUMPRODUCT(COUNTIFS(pbp_PlayType,EM_Type,pbp_Batter,$B138)*EM_3B))</f>
        <v/>
      </c>
      <c r="J138" s="42" t="str">
        <f>IF($B138="","",SUMPRODUCT(COUNTIFS(pbp_PlayType,EM_Type,pbp_Batter,$B138)*EM_HR))</f>
        <v/>
      </c>
      <c r="K138" s="42" t="str">
        <f>IF($B138="","",SUMPRODUCT(COUNTIFS(pbp_PlayType,EM_Type,pbp_Batter,$B138)*EM_1B))</f>
        <v/>
      </c>
      <c r="L138" s="42" t="str">
        <f>IF($B138="","",SUMPRODUCT(COUNTIFS(pbp_PlayType,EM_Type,pbp_Batter,$B138)*EM_BB))</f>
        <v/>
      </c>
      <c r="M138" s="42" t="str">
        <f>IF($B138="","",SUMPRODUCT(COUNTIFS(pbp_PlayType,EM_Type,pbp_Batter,$B138)*EM_HBP))</f>
        <v/>
      </c>
      <c r="N138" s="42" t="str">
        <f>IF($B138="","",COUNTIFS(pbp_PlayType,"?*",pbp_Desc,"*struck out*",pbp_Batter,$B138))</f>
        <v/>
      </c>
      <c r="O138" s="42" t="str">
        <f>IF($B138="","",SUMPRODUCT(COUNTIFS(pbp_PlayType,EM_Type,pbp_Batter,$B138)*EM_SF))</f>
        <v/>
      </c>
      <c r="P138" s="42" t="str">
        <f>IF($B138="","",SUMIFS(pbp_Runs,pbp_Batter,$B138))</f>
        <v/>
      </c>
      <c r="Q138" s="58" t="str">
        <f t="shared" si="16"/>
        <v/>
      </c>
      <c r="R138" s="58" t="str">
        <f t="shared" si="17"/>
        <v/>
      </c>
      <c r="S138" s="58" t="str">
        <f t="shared" si="18"/>
        <v/>
      </c>
      <c r="T138" s="58" t="str">
        <f t="shared" si="19"/>
        <v/>
      </c>
      <c r="U138" s="58" t="str">
        <f t="shared" si="20"/>
        <v/>
      </c>
      <c r="V138" s="59" t="str">
        <f t="shared" si="21"/>
        <v/>
      </c>
      <c r="W138" s="59" t="str">
        <f t="shared" si="22"/>
        <v/>
      </c>
      <c r="X138" s="60" t="str">
        <f>IF($B138="","",IF((E138)=0,"",(SUMIFS(pbp_Pitches,pbp_Batter,$B138,pbp_PlayType,"?*"))/(E138)))</f>
        <v/>
      </c>
      <c r="Y138" s="42" t="str">
        <f t="shared" si="23"/>
        <v/>
      </c>
      <c r="Z138" s="58" t="str">
        <f>IF($B138="","",IF((SUMPRODUCT(COUNTIFS(pbp_PlayType,EM_Type,pbp_Batter,$B138,pbp_On2B,"?*")*EM_AB)+SUMPRODUCT(COUNTIFS(pbp_PlayType,EM_Type,pbp_Batter,$B138,pbp_On2B,"",pbp_On3B,"?*")*EM_AB))=0,"",(SUMPRODUCT(COUNTIFS(pbp_PlayType,EM_Type,pbp_Batter,$B138,pbp_On2B,"?*")*EM_H)+SUMPRODUCT(COUNTIFS(pbp_PlayType,EM_Type,pbp_Batter,$B138,pbp_On2B,"",pbp_On3B,"?*")*EM_H))/(SUMPRODUCT(COUNTIFS(pbp_PlayType,EM_Type,pbp_Batter,$B138,pbp_On2B,"?*")*EM_AB)+SUMPRODUCT(COUNTIFS(pbp_PlayType,EM_Type,pbp_Batter,$B138,pbp_On2B,"",pbp_On3B,"?*")*EM_AB))))</f>
        <v/>
      </c>
      <c r="AA138" s="62" t="str">
        <f>IF($B138="","",IF(OR(E138&lt;MinPA,T138=""),"",COUNTIFS($E$6:$E$255,"&gt;="&amp;MinPA,$T$6:$T$255,"&gt;"&amp;T138)+COUNTIFS($E$5:E137,"&gt;="&amp;MinPA,$T$5:T137,T138)+1))</f>
        <v/>
      </c>
    </row>
    <row r="139" spans="2:27" x14ac:dyDescent="0.2">
      <c r="B139" s="44" t="str">
        <f t="array" ref="B139">IFERROR(INDEX(pbp_Batter,MATCH(0,COUNTIF($B$5:B138,pbp_Batter)+(pbp_Batter=""),0)),"")</f>
        <v/>
      </c>
      <c r="C139" s="61" t="str">
        <f>IF($B139="","",IFERROR(INDEX(pbp_BatTeam,MATCH($B139,pbp_Batter,0)),""))</f>
        <v/>
      </c>
      <c r="D139" s="61" t="str">
        <f>IF($B139="","",IFERROR(INDEX(pbp_BatHand,MATCH($B139,pbp_Batter,0)),""))</f>
        <v/>
      </c>
      <c r="E139" s="42" t="str">
        <f>IF($B139="","",SUMPRODUCT(COUNTIFS(pbp_PlayType,EM_Type,pbp_Batter,$B139)*EM_PA))</f>
        <v/>
      </c>
      <c r="F139" s="42" t="str">
        <f>IF($B139="","",SUMPRODUCT(COUNTIFS(pbp_PlayType,EM_Type,pbp_Batter,$B139)*EM_AB))</f>
        <v/>
      </c>
      <c r="G139" s="42" t="str">
        <f>IF($B139="","",SUMPRODUCT(COUNTIFS(pbp_PlayType,EM_Type,pbp_Batter,$B139)*EM_H))</f>
        <v/>
      </c>
      <c r="H139" s="42" t="str">
        <f>IF($B139="","",SUMPRODUCT(COUNTIFS(pbp_PlayType,EM_Type,pbp_Batter,$B139)*EM_2B))</f>
        <v/>
      </c>
      <c r="I139" s="42" t="str">
        <f>IF($B139="","",SUMPRODUCT(COUNTIFS(pbp_PlayType,EM_Type,pbp_Batter,$B139)*EM_3B))</f>
        <v/>
      </c>
      <c r="J139" s="42" t="str">
        <f>IF($B139="","",SUMPRODUCT(COUNTIFS(pbp_PlayType,EM_Type,pbp_Batter,$B139)*EM_HR))</f>
        <v/>
      </c>
      <c r="K139" s="42" t="str">
        <f>IF($B139="","",SUMPRODUCT(COUNTIFS(pbp_PlayType,EM_Type,pbp_Batter,$B139)*EM_1B))</f>
        <v/>
      </c>
      <c r="L139" s="42" t="str">
        <f>IF($B139="","",SUMPRODUCT(COUNTIFS(pbp_PlayType,EM_Type,pbp_Batter,$B139)*EM_BB))</f>
        <v/>
      </c>
      <c r="M139" s="42" t="str">
        <f>IF($B139="","",SUMPRODUCT(COUNTIFS(pbp_PlayType,EM_Type,pbp_Batter,$B139)*EM_HBP))</f>
        <v/>
      </c>
      <c r="N139" s="42" t="str">
        <f>IF($B139="","",COUNTIFS(pbp_PlayType,"?*",pbp_Desc,"*struck out*",pbp_Batter,$B139))</f>
        <v/>
      </c>
      <c r="O139" s="42" t="str">
        <f>IF($B139="","",SUMPRODUCT(COUNTIFS(pbp_PlayType,EM_Type,pbp_Batter,$B139)*EM_SF))</f>
        <v/>
      </c>
      <c r="P139" s="42" t="str">
        <f>IF($B139="","",SUMIFS(pbp_Runs,pbp_Batter,$B139))</f>
        <v/>
      </c>
      <c r="Q139" s="58" t="str">
        <f t="shared" si="16"/>
        <v/>
      </c>
      <c r="R139" s="58" t="str">
        <f t="shared" si="17"/>
        <v/>
      </c>
      <c r="S139" s="58" t="str">
        <f t="shared" si="18"/>
        <v/>
      </c>
      <c r="T139" s="58" t="str">
        <f t="shared" si="19"/>
        <v/>
      </c>
      <c r="U139" s="58" t="str">
        <f t="shared" si="20"/>
        <v/>
      </c>
      <c r="V139" s="59" t="str">
        <f t="shared" si="21"/>
        <v/>
      </c>
      <c r="W139" s="59" t="str">
        <f t="shared" si="22"/>
        <v/>
      </c>
      <c r="X139" s="60" t="str">
        <f>IF($B139="","",IF((E139)=0,"",(SUMIFS(pbp_Pitches,pbp_Batter,$B139,pbp_PlayType,"?*"))/(E139)))</f>
        <v/>
      </c>
      <c r="Y139" s="42" t="str">
        <f t="shared" si="23"/>
        <v/>
      </c>
      <c r="Z139" s="58" t="str">
        <f>IF($B139="","",IF((SUMPRODUCT(COUNTIFS(pbp_PlayType,EM_Type,pbp_Batter,$B139,pbp_On2B,"?*")*EM_AB)+SUMPRODUCT(COUNTIFS(pbp_PlayType,EM_Type,pbp_Batter,$B139,pbp_On2B,"",pbp_On3B,"?*")*EM_AB))=0,"",(SUMPRODUCT(COUNTIFS(pbp_PlayType,EM_Type,pbp_Batter,$B139,pbp_On2B,"?*")*EM_H)+SUMPRODUCT(COUNTIFS(pbp_PlayType,EM_Type,pbp_Batter,$B139,pbp_On2B,"",pbp_On3B,"?*")*EM_H))/(SUMPRODUCT(COUNTIFS(pbp_PlayType,EM_Type,pbp_Batter,$B139,pbp_On2B,"?*")*EM_AB)+SUMPRODUCT(COUNTIFS(pbp_PlayType,EM_Type,pbp_Batter,$B139,pbp_On2B,"",pbp_On3B,"?*")*EM_AB))))</f>
        <v/>
      </c>
      <c r="AA139" s="62" t="str">
        <f>IF($B139="","",IF(OR(E139&lt;MinPA,T139=""),"",COUNTIFS($E$6:$E$255,"&gt;="&amp;MinPA,$T$6:$T$255,"&gt;"&amp;T139)+COUNTIFS($E$5:E138,"&gt;="&amp;MinPA,$T$5:T138,T139)+1))</f>
        <v/>
      </c>
    </row>
    <row r="140" spans="2:27" x14ac:dyDescent="0.2">
      <c r="B140" s="44" t="str">
        <f t="array" ref="B140">IFERROR(INDEX(pbp_Batter,MATCH(0,COUNTIF($B$5:B139,pbp_Batter)+(pbp_Batter=""),0)),"")</f>
        <v/>
      </c>
      <c r="C140" s="61" t="str">
        <f>IF($B140="","",IFERROR(INDEX(pbp_BatTeam,MATCH($B140,pbp_Batter,0)),""))</f>
        <v/>
      </c>
      <c r="D140" s="61" t="str">
        <f>IF($B140="","",IFERROR(INDEX(pbp_BatHand,MATCH($B140,pbp_Batter,0)),""))</f>
        <v/>
      </c>
      <c r="E140" s="42" t="str">
        <f>IF($B140="","",SUMPRODUCT(COUNTIFS(pbp_PlayType,EM_Type,pbp_Batter,$B140)*EM_PA))</f>
        <v/>
      </c>
      <c r="F140" s="42" t="str">
        <f>IF($B140="","",SUMPRODUCT(COUNTIFS(pbp_PlayType,EM_Type,pbp_Batter,$B140)*EM_AB))</f>
        <v/>
      </c>
      <c r="G140" s="42" t="str">
        <f>IF($B140="","",SUMPRODUCT(COUNTIFS(pbp_PlayType,EM_Type,pbp_Batter,$B140)*EM_H))</f>
        <v/>
      </c>
      <c r="H140" s="42" t="str">
        <f>IF($B140="","",SUMPRODUCT(COUNTIFS(pbp_PlayType,EM_Type,pbp_Batter,$B140)*EM_2B))</f>
        <v/>
      </c>
      <c r="I140" s="42" t="str">
        <f>IF($B140="","",SUMPRODUCT(COUNTIFS(pbp_PlayType,EM_Type,pbp_Batter,$B140)*EM_3B))</f>
        <v/>
      </c>
      <c r="J140" s="42" t="str">
        <f>IF($B140="","",SUMPRODUCT(COUNTIFS(pbp_PlayType,EM_Type,pbp_Batter,$B140)*EM_HR))</f>
        <v/>
      </c>
      <c r="K140" s="42" t="str">
        <f>IF($B140="","",SUMPRODUCT(COUNTIFS(pbp_PlayType,EM_Type,pbp_Batter,$B140)*EM_1B))</f>
        <v/>
      </c>
      <c r="L140" s="42" t="str">
        <f>IF($B140="","",SUMPRODUCT(COUNTIFS(pbp_PlayType,EM_Type,pbp_Batter,$B140)*EM_BB))</f>
        <v/>
      </c>
      <c r="M140" s="42" t="str">
        <f>IF($B140="","",SUMPRODUCT(COUNTIFS(pbp_PlayType,EM_Type,pbp_Batter,$B140)*EM_HBP))</f>
        <v/>
      </c>
      <c r="N140" s="42" t="str">
        <f>IF($B140="","",COUNTIFS(pbp_PlayType,"?*",pbp_Desc,"*struck out*",pbp_Batter,$B140))</f>
        <v/>
      </c>
      <c r="O140" s="42" t="str">
        <f>IF($B140="","",SUMPRODUCT(COUNTIFS(pbp_PlayType,EM_Type,pbp_Batter,$B140)*EM_SF))</f>
        <v/>
      </c>
      <c r="P140" s="42" t="str">
        <f>IF($B140="","",SUMIFS(pbp_Runs,pbp_Batter,$B140))</f>
        <v/>
      </c>
      <c r="Q140" s="58" t="str">
        <f t="shared" si="16"/>
        <v/>
      </c>
      <c r="R140" s="58" t="str">
        <f t="shared" si="17"/>
        <v/>
      </c>
      <c r="S140" s="58" t="str">
        <f t="shared" si="18"/>
        <v/>
      </c>
      <c r="T140" s="58" t="str">
        <f t="shared" si="19"/>
        <v/>
      </c>
      <c r="U140" s="58" t="str">
        <f t="shared" si="20"/>
        <v/>
      </c>
      <c r="V140" s="59" t="str">
        <f t="shared" si="21"/>
        <v/>
      </c>
      <c r="W140" s="59" t="str">
        <f t="shared" si="22"/>
        <v/>
      </c>
      <c r="X140" s="60" t="str">
        <f>IF($B140="","",IF((E140)=0,"",(SUMIFS(pbp_Pitches,pbp_Batter,$B140,pbp_PlayType,"?*"))/(E140)))</f>
        <v/>
      </c>
      <c r="Y140" s="42" t="str">
        <f t="shared" si="23"/>
        <v/>
      </c>
      <c r="Z140" s="58" t="str">
        <f>IF($B140="","",IF((SUMPRODUCT(COUNTIFS(pbp_PlayType,EM_Type,pbp_Batter,$B140,pbp_On2B,"?*")*EM_AB)+SUMPRODUCT(COUNTIFS(pbp_PlayType,EM_Type,pbp_Batter,$B140,pbp_On2B,"",pbp_On3B,"?*")*EM_AB))=0,"",(SUMPRODUCT(COUNTIFS(pbp_PlayType,EM_Type,pbp_Batter,$B140,pbp_On2B,"?*")*EM_H)+SUMPRODUCT(COUNTIFS(pbp_PlayType,EM_Type,pbp_Batter,$B140,pbp_On2B,"",pbp_On3B,"?*")*EM_H))/(SUMPRODUCT(COUNTIFS(pbp_PlayType,EM_Type,pbp_Batter,$B140,pbp_On2B,"?*")*EM_AB)+SUMPRODUCT(COUNTIFS(pbp_PlayType,EM_Type,pbp_Batter,$B140,pbp_On2B,"",pbp_On3B,"?*")*EM_AB))))</f>
        <v/>
      </c>
      <c r="AA140" s="62" t="str">
        <f>IF($B140="","",IF(OR(E140&lt;MinPA,T140=""),"",COUNTIFS($E$6:$E$255,"&gt;="&amp;MinPA,$T$6:$T$255,"&gt;"&amp;T140)+COUNTIFS($E$5:E139,"&gt;="&amp;MinPA,$T$5:T139,T140)+1))</f>
        <v/>
      </c>
    </row>
    <row r="141" spans="2:27" x14ac:dyDescent="0.2">
      <c r="B141" s="44" t="str">
        <f t="array" ref="B141">IFERROR(INDEX(pbp_Batter,MATCH(0,COUNTIF($B$5:B140,pbp_Batter)+(pbp_Batter=""),0)),"")</f>
        <v/>
      </c>
      <c r="C141" s="61" t="str">
        <f>IF($B141="","",IFERROR(INDEX(pbp_BatTeam,MATCH($B141,pbp_Batter,0)),""))</f>
        <v/>
      </c>
      <c r="D141" s="61" t="str">
        <f>IF($B141="","",IFERROR(INDEX(pbp_BatHand,MATCH($B141,pbp_Batter,0)),""))</f>
        <v/>
      </c>
      <c r="E141" s="42" t="str">
        <f>IF($B141="","",SUMPRODUCT(COUNTIFS(pbp_PlayType,EM_Type,pbp_Batter,$B141)*EM_PA))</f>
        <v/>
      </c>
      <c r="F141" s="42" t="str">
        <f>IF($B141="","",SUMPRODUCT(COUNTIFS(pbp_PlayType,EM_Type,pbp_Batter,$B141)*EM_AB))</f>
        <v/>
      </c>
      <c r="G141" s="42" t="str">
        <f>IF($B141="","",SUMPRODUCT(COUNTIFS(pbp_PlayType,EM_Type,pbp_Batter,$B141)*EM_H))</f>
        <v/>
      </c>
      <c r="H141" s="42" t="str">
        <f>IF($B141="","",SUMPRODUCT(COUNTIFS(pbp_PlayType,EM_Type,pbp_Batter,$B141)*EM_2B))</f>
        <v/>
      </c>
      <c r="I141" s="42" t="str">
        <f>IF($B141="","",SUMPRODUCT(COUNTIFS(pbp_PlayType,EM_Type,pbp_Batter,$B141)*EM_3B))</f>
        <v/>
      </c>
      <c r="J141" s="42" t="str">
        <f>IF($B141="","",SUMPRODUCT(COUNTIFS(pbp_PlayType,EM_Type,pbp_Batter,$B141)*EM_HR))</f>
        <v/>
      </c>
      <c r="K141" s="42" t="str">
        <f>IF($B141="","",SUMPRODUCT(COUNTIFS(pbp_PlayType,EM_Type,pbp_Batter,$B141)*EM_1B))</f>
        <v/>
      </c>
      <c r="L141" s="42" t="str">
        <f>IF($B141="","",SUMPRODUCT(COUNTIFS(pbp_PlayType,EM_Type,pbp_Batter,$B141)*EM_BB))</f>
        <v/>
      </c>
      <c r="M141" s="42" t="str">
        <f>IF($B141="","",SUMPRODUCT(COUNTIFS(pbp_PlayType,EM_Type,pbp_Batter,$B141)*EM_HBP))</f>
        <v/>
      </c>
      <c r="N141" s="42" t="str">
        <f>IF($B141="","",COUNTIFS(pbp_PlayType,"?*",pbp_Desc,"*struck out*",pbp_Batter,$B141))</f>
        <v/>
      </c>
      <c r="O141" s="42" t="str">
        <f>IF($B141="","",SUMPRODUCT(COUNTIFS(pbp_PlayType,EM_Type,pbp_Batter,$B141)*EM_SF))</f>
        <v/>
      </c>
      <c r="P141" s="42" t="str">
        <f>IF($B141="","",SUMIFS(pbp_Runs,pbp_Batter,$B141))</f>
        <v/>
      </c>
      <c r="Q141" s="58" t="str">
        <f t="shared" si="16"/>
        <v/>
      </c>
      <c r="R141" s="58" t="str">
        <f t="shared" si="17"/>
        <v/>
      </c>
      <c r="S141" s="58" t="str">
        <f t="shared" si="18"/>
        <v/>
      </c>
      <c r="T141" s="58" t="str">
        <f t="shared" si="19"/>
        <v/>
      </c>
      <c r="U141" s="58" t="str">
        <f t="shared" si="20"/>
        <v/>
      </c>
      <c r="V141" s="59" t="str">
        <f t="shared" si="21"/>
        <v/>
      </c>
      <c r="W141" s="59" t="str">
        <f t="shared" si="22"/>
        <v/>
      </c>
      <c r="X141" s="60" t="str">
        <f>IF($B141="","",IF((E141)=0,"",(SUMIFS(pbp_Pitches,pbp_Batter,$B141,pbp_PlayType,"?*"))/(E141)))</f>
        <v/>
      </c>
      <c r="Y141" s="42" t="str">
        <f t="shared" si="23"/>
        <v/>
      </c>
      <c r="Z141" s="58" t="str">
        <f>IF($B141="","",IF((SUMPRODUCT(COUNTIFS(pbp_PlayType,EM_Type,pbp_Batter,$B141,pbp_On2B,"?*")*EM_AB)+SUMPRODUCT(COUNTIFS(pbp_PlayType,EM_Type,pbp_Batter,$B141,pbp_On2B,"",pbp_On3B,"?*")*EM_AB))=0,"",(SUMPRODUCT(COUNTIFS(pbp_PlayType,EM_Type,pbp_Batter,$B141,pbp_On2B,"?*")*EM_H)+SUMPRODUCT(COUNTIFS(pbp_PlayType,EM_Type,pbp_Batter,$B141,pbp_On2B,"",pbp_On3B,"?*")*EM_H))/(SUMPRODUCT(COUNTIFS(pbp_PlayType,EM_Type,pbp_Batter,$B141,pbp_On2B,"?*")*EM_AB)+SUMPRODUCT(COUNTIFS(pbp_PlayType,EM_Type,pbp_Batter,$B141,pbp_On2B,"",pbp_On3B,"?*")*EM_AB))))</f>
        <v/>
      </c>
      <c r="AA141" s="62" t="str">
        <f>IF($B141="","",IF(OR(E141&lt;MinPA,T141=""),"",COUNTIFS($E$6:$E$255,"&gt;="&amp;MinPA,$T$6:$T$255,"&gt;"&amp;T141)+COUNTIFS($E$5:E140,"&gt;="&amp;MinPA,$T$5:T140,T141)+1))</f>
        <v/>
      </c>
    </row>
    <row r="142" spans="2:27" x14ac:dyDescent="0.2">
      <c r="B142" s="44" t="str">
        <f t="array" ref="B142">IFERROR(INDEX(pbp_Batter,MATCH(0,COUNTIF($B$5:B141,pbp_Batter)+(pbp_Batter=""),0)),"")</f>
        <v/>
      </c>
      <c r="C142" s="61" t="str">
        <f>IF($B142="","",IFERROR(INDEX(pbp_BatTeam,MATCH($B142,pbp_Batter,0)),""))</f>
        <v/>
      </c>
      <c r="D142" s="61" t="str">
        <f>IF($B142="","",IFERROR(INDEX(pbp_BatHand,MATCH($B142,pbp_Batter,0)),""))</f>
        <v/>
      </c>
      <c r="E142" s="42" t="str">
        <f>IF($B142="","",SUMPRODUCT(COUNTIFS(pbp_PlayType,EM_Type,pbp_Batter,$B142)*EM_PA))</f>
        <v/>
      </c>
      <c r="F142" s="42" t="str">
        <f>IF($B142="","",SUMPRODUCT(COUNTIFS(pbp_PlayType,EM_Type,pbp_Batter,$B142)*EM_AB))</f>
        <v/>
      </c>
      <c r="G142" s="42" t="str">
        <f>IF($B142="","",SUMPRODUCT(COUNTIFS(pbp_PlayType,EM_Type,pbp_Batter,$B142)*EM_H))</f>
        <v/>
      </c>
      <c r="H142" s="42" t="str">
        <f>IF($B142="","",SUMPRODUCT(COUNTIFS(pbp_PlayType,EM_Type,pbp_Batter,$B142)*EM_2B))</f>
        <v/>
      </c>
      <c r="I142" s="42" t="str">
        <f>IF($B142="","",SUMPRODUCT(COUNTIFS(pbp_PlayType,EM_Type,pbp_Batter,$B142)*EM_3B))</f>
        <v/>
      </c>
      <c r="J142" s="42" t="str">
        <f>IF($B142="","",SUMPRODUCT(COUNTIFS(pbp_PlayType,EM_Type,pbp_Batter,$B142)*EM_HR))</f>
        <v/>
      </c>
      <c r="K142" s="42" t="str">
        <f>IF($B142="","",SUMPRODUCT(COUNTIFS(pbp_PlayType,EM_Type,pbp_Batter,$B142)*EM_1B))</f>
        <v/>
      </c>
      <c r="L142" s="42" t="str">
        <f>IF($B142="","",SUMPRODUCT(COUNTIFS(pbp_PlayType,EM_Type,pbp_Batter,$B142)*EM_BB))</f>
        <v/>
      </c>
      <c r="M142" s="42" t="str">
        <f>IF($B142="","",SUMPRODUCT(COUNTIFS(pbp_PlayType,EM_Type,pbp_Batter,$B142)*EM_HBP))</f>
        <v/>
      </c>
      <c r="N142" s="42" t="str">
        <f>IF($B142="","",COUNTIFS(pbp_PlayType,"?*",pbp_Desc,"*struck out*",pbp_Batter,$B142))</f>
        <v/>
      </c>
      <c r="O142" s="42" t="str">
        <f>IF($B142="","",SUMPRODUCT(COUNTIFS(pbp_PlayType,EM_Type,pbp_Batter,$B142)*EM_SF))</f>
        <v/>
      </c>
      <c r="P142" s="42" t="str">
        <f>IF($B142="","",SUMIFS(pbp_Runs,pbp_Batter,$B142))</f>
        <v/>
      </c>
      <c r="Q142" s="58" t="str">
        <f t="shared" si="16"/>
        <v/>
      </c>
      <c r="R142" s="58" t="str">
        <f t="shared" si="17"/>
        <v/>
      </c>
      <c r="S142" s="58" t="str">
        <f t="shared" si="18"/>
        <v/>
      </c>
      <c r="T142" s="58" t="str">
        <f t="shared" si="19"/>
        <v/>
      </c>
      <c r="U142" s="58" t="str">
        <f t="shared" si="20"/>
        <v/>
      </c>
      <c r="V142" s="59" t="str">
        <f t="shared" si="21"/>
        <v/>
      </c>
      <c r="W142" s="59" t="str">
        <f t="shared" si="22"/>
        <v/>
      </c>
      <c r="X142" s="60" t="str">
        <f>IF($B142="","",IF((E142)=0,"",(SUMIFS(pbp_Pitches,pbp_Batter,$B142,pbp_PlayType,"?*"))/(E142)))</f>
        <v/>
      </c>
      <c r="Y142" s="42" t="str">
        <f t="shared" si="23"/>
        <v/>
      </c>
      <c r="Z142" s="58" t="str">
        <f>IF($B142="","",IF((SUMPRODUCT(COUNTIFS(pbp_PlayType,EM_Type,pbp_Batter,$B142,pbp_On2B,"?*")*EM_AB)+SUMPRODUCT(COUNTIFS(pbp_PlayType,EM_Type,pbp_Batter,$B142,pbp_On2B,"",pbp_On3B,"?*")*EM_AB))=0,"",(SUMPRODUCT(COUNTIFS(pbp_PlayType,EM_Type,pbp_Batter,$B142,pbp_On2B,"?*")*EM_H)+SUMPRODUCT(COUNTIFS(pbp_PlayType,EM_Type,pbp_Batter,$B142,pbp_On2B,"",pbp_On3B,"?*")*EM_H))/(SUMPRODUCT(COUNTIFS(pbp_PlayType,EM_Type,pbp_Batter,$B142,pbp_On2B,"?*")*EM_AB)+SUMPRODUCT(COUNTIFS(pbp_PlayType,EM_Type,pbp_Batter,$B142,pbp_On2B,"",pbp_On3B,"?*")*EM_AB))))</f>
        <v/>
      </c>
      <c r="AA142" s="62" t="str">
        <f>IF($B142="","",IF(OR(E142&lt;MinPA,T142=""),"",COUNTIFS($E$6:$E$255,"&gt;="&amp;MinPA,$T$6:$T$255,"&gt;"&amp;T142)+COUNTIFS($E$5:E141,"&gt;="&amp;MinPA,$T$5:T141,T142)+1))</f>
        <v/>
      </c>
    </row>
    <row r="143" spans="2:27" x14ac:dyDescent="0.2">
      <c r="B143" s="44" t="str">
        <f t="array" ref="B143">IFERROR(INDEX(pbp_Batter,MATCH(0,COUNTIF($B$5:B142,pbp_Batter)+(pbp_Batter=""),0)),"")</f>
        <v/>
      </c>
      <c r="C143" s="61" t="str">
        <f>IF($B143="","",IFERROR(INDEX(pbp_BatTeam,MATCH($B143,pbp_Batter,0)),""))</f>
        <v/>
      </c>
      <c r="D143" s="61" t="str">
        <f>IF($B143="","",IFERROR(INDEX(pbp_BatHand,MATCH($B143,pbp_Batter,0)),""))</f>
        <v/>
      </c>
      <c r="E143" s="42" t="str">
        <f>IF($B143="","",SUMPRODUCT(COUNTIFS(pbp_PlayType,EM_Type,pbp_Batter,$B143)*EM_PA))</f>
        <v/>
      </c>
      <c r="F143" s="42" t="str">
        <f>IF($B143="","",SUMPRODUCT(COUNTIFS(pbp_PlayType,EM_Type,pbp_Batter,$B143)*EM_AB))</f>
        <v/>
      </c>
      <c r="G143" s="42" t="str">
        <f>IF($B143="","",SUMPRODUCT(COUNTIFS(pbp_PlayType,EM_Type,pbp_Batter,$B143)*EM_H))</f>
        <v/>
      </c>
      <c r="H143" s="42" t="str">
        <f>IF($B143="","",SUMPRODUCT(COUNTIFS(pbp_PlayType,EM_Type,pbp_Batter,$B143)*EM_2B))</f>
        <v/>
      </c>
      <c r="I143" s="42" t="str">
        <f>IF($B143="","",SUMPRODUCT(COUNTIFS(pbp_PlayType,EM_Type,pbp_Batter,$B143)*EM_3B))</f>
        <v/>
      </c>
      <c r="J143" s="42" t="str">
        <f>IF($B143="","",SUMPRODUCT(COUNTIFS(pbp_PlayType,EM_Type,pbp_Batter,$B143)*EM_HR))</f>
        <v/>
      </c>
      <c r="K143" s="42" t="str">
        <f>IF($B143="","",SUMPRODUCT(COUNTIFS(pbp_PlayType,EM_Type,pbp_Batter,$B143)*EM_1B))</f>
        <v/>
      </c>
      <c r="L143" s="42" t="str">
        <f>IF($B143="","",SUMPRODUCT(COUNTIFS(pbp_PlayType,EM_Type,pbp_Batter,$B143)*EM_BB))</f>
        <v/>
      </c>
      <c r="M143" s="42" t="str">
        <f>IF($B143="","",SUMPRODUCT(COUNTIFS(pbp_PlayType,EM_Type,pbp_Batter,$B143)*EM_HBP))</f>
        <v/>
      </c>
      <c r="N143" s="42" t="str">
        <f>IF($B143="","",COUNTIFS(pbp_PlayType,"?*",pbp_Desc,"*struck out*",pbp_Batter,$B143))</f>
        <v/>
      </c>
      <c r="O143" s="42" t="str">
        <f>IF($B143="","",SUMPRODUCT(COUNTIFS(pbp_PlayType,EM_Type,pbp_Batter,$B143)*EM_SF))</f>
        <v/>
      </c>
      <c r="P143" s="42" t="str">
        <f>IF($B143="","",SUMIFS(pbp_Runs,pbp_Batter,$B143))</f>
        <v/>
      </c>
      <c r="Q143" s="58" t="str">
        <f t="shared" si="16"/>
        <v/>
      </c>
      <c r="R143" s="58" t="str">
        <f t="shared" si="17"/>
        <v/>
      </c>
      <c r="S143" s="58" t="str">
        <f t="shared" si="18"/>
        <v/>
      </c>
      <c r="T143" s="58" t="str">
        <f t="shared" si="19"/>
        <v/>
      </c>
      <c r="U143" s="58" t="str">
        <f t="shared" si="20"/>
        <v/>
      </c>
      <c r="V143" s="59" t="str">
        <f t="shared" si="21"/>
        <v/>
      </c>
      <c r="W143" s="59" t="str">
        <f t="shared" si="22"/>
        <v/>
      </c>
      <c r="X143" s="60" t="str">
        <f>IF($B143="","",IF((E143)=0,"",(SUMIFS(pbp_Pitches,pbp_Batter,$B143,pbp_PlayType,"?*"))/(E143)))</f>
        <v/>
      </c>
      <c r="Y143" s="42" t="str">
        <f t="shared" si="23"/>
        <v/>
      </c>
      <c r="Z143" s="58" t="str">
        <f>IF($B143="","",IF((SUMPRODUCT(COUNTIFS(pbp_PlayType,EM_Type,pbp_Batter,$B143,pbp_On2B,"?*")*EM_AB)+SUMPRODUCT(COUNTIFS(pbp_PlayType,EM_Type,pbp_Batter,$B143,pbp_On2B,"",pbp_On3B,"?*")*EM_AB))=0,"",(SUMPRODUCT(COUNTIFS(pbp_PlayType,EM_Type,pbp_Batter,$B143,pbp_On2B,"?*")*EM_H)+SUMPRODUCT(COUNTIFS(pbp_PlayType,EM_Type,pbp_Batter,$B143,pbp_On2B,"",pbp_On3B,"?*")*EM_H))/(SUMPRODUCT(COUNTIFS(pbp_PlayType,EM_Type,pbp_Batter,$B143,pbp_On2B,"?*")*EM_AB)+SUMPRODUCT(COUNTIFS(pbp_PlayType,EM_Type,pbp_Batter,$B143,pbp_On2B,"",pbp_On3B,"?*")*EM_AB))))</f>
        <v/>
      </c>
      <c r="AA143" s="62" t="str">
        <f>IF($B143="","",IF(OR(E143&lt;MinPA,T143=""),"",COUNTIFS($E$6:$E$255,"&gt;="&amp;MinPA,$T$6:$T$255,"&gt;"&amp;T143)+COUNTIFS($E$5:E142,"&gt;="&amp;MinPA,$T$5:T142,T143)+1))</f>
        <v/>
      </c>
    </row>
    <row r="144" spans="2:27" x14ac:dyDescent="0.2">
      <c r="B144" s="44" t="str">
        <f t="array" ref="B144">IFERROR(INDEX(pbp_Batter,MATCH(0,COUNTIF($B$5:B143,pbp_Batter)+(pbp_Batter=""),0)),"")</f>
        <v/>
      </c>
      <c r="C144" s="61" t="str">
        <f>IF($B144="","",IFERROR(INDEX(pbp_BatTeam,MATCH($B144,pbp_Batter,0)),""))</f>
        <v/>
      </c>
      <c r="D144" s="61" t="str">
        <f>IF($B144="","",IFERROR(INDEX(pbp_BatHand,MATCH($B144,pbp_Batter,0)),""))</f>
        <v/>
      </c>
      <c r="E144" s="42" t="str">
        <f>IF($B144="","",SUMPRODUCT(COUNTIFS(pbp_PlayType,EM_Type,pbp_Batter,$B144)*EM_PA))</f>
        <v/>
      </c>
      <c r="F144" s="42" t="str">
        <f>IF($B144="","",SUMPRODUCT(COUNTIFS(pbp_PlayType,EM_Type,pbp_Batter,$B144)*EM_AB))</f>
        <v/>
      </c>
      <c r="G144" s="42" t="str">
        <f>IF($B144="","",SUMPRODUCT(COUNTIFS(pbp_PlayType,EM_Type,pbp_Batter,$B144)*EM_H))</f>
        <v/>
      </c>
      <c r="H144" s="42" t="str">
        <f>IF($B144="","",SUMPRODUCT(COUNTIFS(pbp_PlayType,EM_Type,pbp_Batter,$B144)*EM_2B))</f>
        <v/>
      </c>
      <c r="I144" s="42" t="str">
        <f>IF($B144="","",SUMPRODUCT(COUNTIFS(pbp_PlayType,EM_Type,pbp_Batter,$B144)*EM_3B))</f>
        <v/>
      </c>
      <c r="J144" s="42" t="str">
        <f>IF($B144="","",SUMPRODUCT(COUNTIFS(pbp_PlayType,EM_Type,pbp_Batter,$B144)*EM_HR))</f>
        <v/>
      </c>
      <c r="K144" s="42" t="str">
        <f>IF($B144="","",SUMPRODUCT(COUNTIFS(pbp_PlayType,EM_Type,pbp_Batter,$B144)*EM_1B))</f>
        <v/>
      </c>
      <c r="L144" s="42" t="str">
        <f>IF($B144="","",SUMPRODUCT(COUNTIFS(pbp_PlayType,EM_Type,pbp_Batter,$B144)*EM_BB))</f>
        <v/>
      </c>
      <c r="M144" s="42" t="str">
        <f>IF($B144="","",SUMPRODUCT(COUNTIFS(pbp_PlayType,EM_Type,pbp_Batter,$B144)*EM_HBP))</f>
        <v/>
      </c>
      <c r="N144" s="42" t="str">
        <f>IF($B144="","",COUNTIFS(pbp_PlayType,"?*",pbp_Desc,"*struck out*",pbp_Batter,$B144))</f>
        <v/>
      </c>
      <c r="O144" s="42" t="str">
        <f>IF($B144="","",SUMPRODUCT(COUNTIFS(pbp_PlayType,EM_Type,pbp_Batter,$B144)*EM_SF))</f>
        <v/>
      </c>
      <c r="P144" s="42" t="str">
        <f>IF($B144="","",SUMIFS(pbp_Runs,pbp_Batter,$B144))</f>
        <v/>
      </c>
      <c r="Q144" s="58" t="str">
        <f t="shared" si="16"/>
        <v/>
      </c>
      <c r="R144" s="58" t="str">
        <f t="shared" si="17"/>
        <v/>
      </c>
      <c r="S144" s="58" t="str">
        <f t="shared" si="18"/>
        <v/>
      </c>
      <c r="T144" s="58" t="str">
        <f t="shared" si="19"/>
        <v/>
      </c>
      <c r="U144" s="58" t="str">
        <f t="shared" si="20"/>
        <v/>
      </c>
      <c r="V144" s="59" t="str">
        <f t="shared" si="21"/>
        <v/>
      </c>
      <c r="W144" s="59" t="str">
        <f t="shared" si="22"/>
        <v/>
      </c>
      <c r="X144" s="60" t="str">
        <f>IF($B144="","",IF((E144)=0,"",(SUMIFS(pbp_Pitches,pbp_Batter,$B144,pbp_PlayType,"?*"))/(E144)))</f>
        <v/>
      </c>
      <c r="Y144" s="42" t="str">
        <f t="shared" si="23"/>
        <v/>
      </c>
      <c r="Z144" s="58" t="str">
        <f>IF($B144="","",IF((SUMPRODUCT(COUNTIFS(pbp_PlayType,EM_Type,pbp_Batter,$B144,pbp_On2B,"?*")*EM_AB)+SUMPRODUCT(COUNTIFS(pbp_PlayType,EM_Type,pbp_Batter,$B144,pbp_On2B,"",pbp_On3B,"?*")*EM_AB))=0,"",(SUMPRODUCT(COUNTIFS(pbp_PlayType,EM_Type,pbp_Batter,$B144,pbp_On2B,"?*")*EM_H)+SUMPRODUCT(COUNTIFS(pbp_PlayType,EM_Type,pbp_Batter,$B144,pbp_On2B,"",pbp_On3B,"?*")*EM_H))/(SUMPRODUCT(COUNTIFS(pbp_PlayType,EM_Type,pbp_Batter,$B144,pbp_On2B,"?*")*EM_AB)+SUMPRODUCT(COUNTIFS(pbp_PlayType,EM_Type,pbp_Batter,$B144,pbp_On2B,"",pbp_On3B,"?*")*EM_AB))))</f>
        <v/>
      </c>
      <c r="AA144" s="62" t="str">
        <f>IF($B144="","",IF(OR(E144&lt;MinPA,T144=""),"",COUNTIFS($E$6:$E$255,"&gt;="&amp;MinPA,$T$6:$T$255,"&gt;"&amp;T144)+COUNTIFS($E$5:E143,"&gt;="&amp;MinPA,$T$5:T143,T144)+1))</f>
        <v/>
      </c>
    </row>
    <row r="145" spans="2:27" x14ac:dyDescent="0.2">
      <c r="B145" s="44" t="str">
        <f t="array" ref="B145">IFERROR(INDEX(pbp_Batter,MATCH(0,COUNTIF($B$5:B144,pbp_Batter)+(pbp_Batter=""),0)),"")</f>
        <v/>
      </c>
      <c r="C145" s="61" t="str">
        <f>IF($B145="","",IFERROR(INDEX(pbp_BatTeam,MATCH($B145,pbp_Batter,0)),""))</f>
        <v/>
      </c>
      <c r="D145" s="61" t="str">
        <f>IF($B145="","",IFERROR(INDEX(pbp_BatHand,MATCH($B145,pbp_Batter,0)),""))</f>
        <v/>
      </c>
      <c r="E145" s="42" t="str">
        <f>IF($B145="","",SUMPRODUCT(COUNTIFS(pbp_PlayType,EM_Type,pbp_Batter,$B145)*EM_PA))</f>
        <v/>
      </c>
      <c r="F145" s="42" t="str">
        <f>IF($B145="","",SUMPRODUCT(COUNTIFS(pbp_PlayType,EM_Type,pbp_Batter,$B145)*EM_AB))</f>
        <v/>
      </c>
      <c r="G145" s="42" t="str">
        <f>IF($B145="","",SUMPRODUCT(COUNTIFS(pbp_PlayType,EM_Type,pbp_Batter,$B145)*EM_H))</f>
        <v/>
      </c>
      <c r="H145" s="42" t="str">
        <f>IF($B145="","",SUMPRODUCT(COUNTIFS(pbp_PlayType,EM_Type,pbp_Batter,$B145)*EM_2B))</f>
        <v/>
      </c>
      <c r="I145" s="42" t="str">
        <f>IF($B145="","",SUMPRODUCT(COUNTIFS(pbp_PlayType,EM_Type,pbp_Batter,$B145)*EM_3B))</f>
        <v/>
      </c>
      <c r="J145" s="42" t="str">
        <f>IF($B145="","",SUMPRODUCT(COUNTIFS(pbp_PlayType,EM_Type,pbp_Batter,$B145)*EM_HR))</f>
        <v/>
      </c>
      <c r="K145" s="42" t="str">
        <f>IF($B145="","",SUMPRODUCT(COUNTIFS(pbp_PlayType,EM_Type,pbp_Batter,$B145)*EM_1B))</f>
        <v/>
      </c>
      <c r="L145" s="42" t="str">
        <f>IF($B145="","",SUMPRODUCT(COUNTIFS(pbp_PlayType,EM_Type,pbp_Batter,$B145)*EM_BB))</f>
        <v/>
      </c>
      <c r="M145" s="42" t="str">
        <f>IF($B145="","",SUMPRODUCT(COUNTIFS(pbp_PlayType,EM_Type,pbp_Batter,$B145)*EM_HBP))</f>
        <v/>
      </c>
      <c r="N145" s="42" t="str">
        <f>IF($B145="","",COUNTIFS(pbp_PlayType,"?*",pbp_Desc,"*struck out*",pbp_Batter,$B145))</f>
        <v/>
      </c>
      <c r="O145" s="42" t="str">
        <f>IF($B145="","",SUMPRODUCT(COUNTIFS(pbp_PlayType,EM_Type,pbp_Batter,$B145)*EM_SF))</f>
        <v/>
      </c>
      <c r="P145" s="42" t="str">
        <f>IF($B145="","",SUMIFS(pbp_Runs,pbp_Batter,$B145))</f>
        <v/>
      </c>
      <c r="Q145" s="58" t="str">
        <f t="shared" si="16"/>
        <v/>
      </c>
      <c r="R145" s="58" t="str">
        <f t="shared" si="17"/>
        <v/>
      </c>
      <c r="S145" s="58" t="str">
        <f t="shared" si="18"/>
        <v/>
      </c>
      <c r="T145" s="58" t="str">
        <f t="shared" si="19"/>
        <v/>
      </c>
      <c r="U145" s="58" t="str">
        <f t="shared" si="20"/>
        <v/>
      </c>
      <c r="V145" s="59" t="str">
        <f t="shared" si="21"/>
        <v/>
      </c>
      <c r="W145" s="59" t="str">
        <f t="shared" si="22"/>
        <v/>
      </c>
      <c r="X145" s="60" t="str">
        <f>IF($B145="","",IF((E145)=0,"",(SUMIFS(pbp_Pitches,pbp_Batter,$B145,pbp_PlayType,"?*"))/(E145)))</f>
        <v/>
      </c>
      <c r="Y145" s="42" t="str">
        <f t="shared" si="23"/>
        <v/>
      </c>
      <c r="Z145" s="58" t="str">
        <f>IF($B145="","",IF((SUMPRODUCT(COUNTIFS(pbp_PlayType,EM_Type,pbp_Batter,$B145,pbp_On2B,"?*")*EM_AB)+SUMPRODUCT(COUNTIFS(pbp_PlayType,EM_Type,pbp_Batter,$B145,pbp_On2B,"",pbp_On3B,"?*")*EM_AB))=0,"",(SUMPRODUCT(COUNTIFS(pbp_PlayType,EM_Type,pbp_Batter,$B145,pbp_On2B,"?*")*EM_H)+SUMPRODUCT(COUNTIFS(pbp_PlayType,EM_Type,pbp_Batter,$B145,pbp_On2B,"",pbp_On3B,"?*")*EM_H))/(SUMPRODUCT(COUNTIFS(pbp_PlayType,EM_Type,pbp_Batter,$B145,pbp_On2B,"?*")*EM_AB)+SUMPRODUCT(COUNTIFS(pbp_PlayType,EM_Type,pbp_Batter,$B145,pbp_On2B,"",pbp_On3B,"?*")*EM_AB))))</f>
        <v/>
      </c>
      <c r="AA145" s="62" t="str">
        <f>IF($B145="","",IF(OR(E145&lt;MinPA,T145=""),"",COUNTIFS($E$6:$E$255,"&gt;="&amp;MinPA,$T$6:$T$255,"&gt;"&amp;T145)+COUNTIFS($E$5:E144,"&gt;="&amp;MinPA,$T$5:T144,T145)+1))</f>
        <v/>
      </c>
    </row>
    <row r="146" spans="2:27" x14ac:dyDescent="0.2">
      <c r="B146" s="44" t="str">
        <f t="array" ref="B146">IFERROR(INDEX(pbp_Batter,MATCH(0,COUNTIF($B$5:B145,pbp_Batter)+(pbp_Batter=""),0)),"")</f>
        <v/>
      </c>
      <c r="C146" s="61" t="str">
        <f>IF($B146="","",IFERROR(INDEX(pbp_BatTeam,MATCH($B146,pbp_Batter,0)),""))</f>
        <v/>
      </c>
      <c r="D146" s="61" t="str">
        <f>IF($B146="","",IFERROR(INDEX(pbp_BatHand,MATCH($B146,pbp_Batter,0)),""))</f>
        <v/>
      </c>
      <c r="E146" s="42" t="str">
        <f>IF($B146="","",SUMPRODUCT(COUNTIFS(pbp_PlayType,EM_Type,pbp_Batter,$B146)*EM_PA))</f>
        <v/>
      </c>
      <c r="F146" s="42" t="str">
        <f>IF($B146="","",SUMPRODUCT(COUNTIFS(pbp_PlayType,EM_Type,pbp_Batter,$B146)*EM_AB))</f>
        <v/>
      </c>
      <c r="G146" s="42" t="str">
        <f>IF($B146="","",SUMPRODUCT(COUNTIFS(pbp_PlayType,EM_Type,pbp_Batter,$B146)*EM_H))</f>
        <v/>
      </c>
      <c r="H146" s="42" t="str">
        <f>IF($B146="","",SUMPRODUCT(COUNTIFS(pbp_PlayType,EM_Type,pbp_Batter,$B146)*EM_2B))</f>
        <v/>
      </c>
      <c r="I146" s="42" t="str">
        <f>IF($B146="","",SUMPRODUCT(COUNTIFS(pbp_PlayType,EM_Type,pbp_Batter,$B146)*EM_3B))</f>
        <v/>
      </c>
      <c r="J146" s="42" t="str">
        <f>IF($B146="","",SUMPRODUCT(COUNTIFS(pbp_PlayType,EM_Type,pbp_Batter,$B146)*EM_HR))</f>
        <v/>
      </c>
      <c r="K146" s="42" t="str">
        <f>IF($B146="","",SUMPRODUCT(COUNTIFS(pbp_PlayType,EM_Type,pbp_Batter,$B146)*EM_1B))</f>
        <v/>
      </c>
      <c r="L146" s="42" t="str">
        <f>IF($B146="","",SUMPRODUCT(COUNTIFS(pbp_PlayType,EM_Type,pbp_Batter,$B146)*EM_BB))</f>
        <v/>
      </c>
      <c r="M146" s="42" t="str">
        <f>IF($B146="","",SUMPRODUCT(COUNTIFS(pbp_PlayType,EM_Type,pbp_Batter,$B146)*EM_HBP))</f>
        <v/>
      </c>
      <c r="N146" s="42" t="str">
        <f>IF($B146="","",COUNTIFS(pbp_PlayType,"?*",pbp_Desc,"*struck out*",pbp_Batter,$B146))</f>
        <v/>
      </c>
      <c r="O146" s="42" t="str">
        <f>IF($B146="","",SUMPRODUCT(COUNTIFS(pbp_PlayType,EM_Type,pbp_Batter,$B146)*EM_SF))</f>
        <v/>
      </c>
      <c r="P146" s="42" t="str">
        <f>IF($B146="","",SUMIFS(pbp_Runs,pbp_Batter,$B146))</f>
        <v/>
      </c>
      <c r="Q146" s="58" t="str">
        <f t="shared" si="16"/>
        <v/>
      </c>
      <c r="R146" s="58" t="str">
        <f t="shared" si="17"/>
        <v/>
      </c>
      <c r="S146" s="58" t="str">
        <f t="shared" si="18"/>
        <v/>
      </c>
      <c r="T146" s="58" t="str">
        <f t="shared" si="19"/>
        <v/>
      </c>
      <c r="U146" s="58" t="str">
        <f t="shared" si="20"/>
        <v/>
      </c>
      <c r="V146" s="59" t="str">
        <f t="shared" si="21"/>
        <v/>
      </c>
      <c r="W146" s="59" t="str">
        <f t="shared" si="22"/>
        <v/>
      </c>
      <c r="X146" s="60" t="str">
        <f>IF($B146="","",IF((E146)=0,"",(SUMIFS(pbp_Pitches,pbp_Batter,$B146,pbp_PlayType,"?*"))/(E146)))</f>
        <v/>
      </c>
      <c r="Y146" s="42" t="str">
        <f t="shared" si="23"/>
        <v/>
      </c>
      <c r="Z146" s="58" t="str">
        <f>IF($B146="","",IF((SUMPRODUCT(COUNTIFS(pbp_PlayType,EM_Type,pbp_Batter,$B146,pbp_On2B,"?*")*EM_AB)+SUMPRODUCT(COUNTIFS(pbp_PlayType,EM_Type,pbp_Batter,$B146,pbp_On2B,"",pbp_On3B,"?*")*EM_AB))=0,"",(SUMPRODUCT(COUNTIFS(pbp_PlayType,EM_Type,pbp_Batter,$B146,pbp_On2B,"?*")*EM_H)+SUMPRODUCT(COUNTIFS(pbp_PlayType,EM_Type,pbp_Batter,$B146,pbp_On2B,"",pbp_On3B,"?*")*EM_H))/(SUMPRODUCT(COUNTIFS(pbp_PlayType,EM_Type,pbp_Batter,$B146,pbp_On2B,"?*")*EM_AB)+SUMPRODUCT(COUNTIFS(pbp_PlayType,EM_Type,pbp_Batter,$B146,pbp_On2B,"",pbp_On3B,"?*")*EM_AB))))</f>
        <v/>
      </c>
      <c r="AA146" s="62" t="str">
        <f>IF($B146="","",IF(OR(E146&lt;MinPA,T146=""),"",COUNTIFS($E$6:$E$255,"&gt;="&amp;MinPA,$T$6:$T$255,"&gt;"&amp;T146)+COUNTIFS($E$5:E145,"&gt;="&amp;MinPA,$T$5:T145,T146)+1))</f>
        <v/>
      </c>
    </row>
    <row r="147" spans="2:27" x14ac:dyDescent="0.2">
      <c r="B147" s="44" t="str">
        <f t="array" ref="B147">IFERROR(INDEX(pbp_Batter,MATCH(0,COUNTIF($B$5:B146,pbp_Batter)+(pbp_Batter=""),0)),"")</f>
        <v/>
      </c>
      <c r="C147" s="61" t="str">
        <f>IF($B147="","",IFERROR(INDEX(pbp_BatTeam,MATCH($B147,pbp_Batter,0)),""))</f>
        <v/>
      </c>
      <c r="D147" s="61" t="str">
        <f>IF($B147="","",IFERROR(INDEX(pbp_BatHand,MATCH($B147,pbp_Batter,0)),""))</f>
        <v/>
      </c>
      <c r="E147" s="42" t="str">
        <f>IF($B147="","",SUMPRODUCT(COUNTIFS(pbp_PlayType,EM_Type,pbp_Batter,$B147)*EM_PA))</f>
        <v/>
      </c>
      <c r="F147" s="42" t="str">
        <f>IF($B147="","",SUMPRODUCT(COUNTIFS(pbp_PlayType,EM_Type,pbp_Batter,$B147)*EM_AB))</f>
        <v/>
      </c>
      <c r="G147" s="42" t="str">
        <f>IF($B147="","",SUMPRODUCT(COUNTIFS(pbp_PlayType,EM_Type,pbp_Batter,$B147)*EM_H))</f>
        <v/>
      </c>
      <c r="H147" s="42" t="str">
        <f>IF($B147="","",SUMPRODUCT(COUNTIFS(pbp_PlayType,EM_Type,pbp_Batter,$B147)*EM_2B))</f>
        <v/>
      </c>
      <c r="I147" s="42" t="str">
        <f>IF($B147="","",SUMPRODUCT(COUNTIFS(pbp_PlayType,EM_Type,pbp_Batter,$B147)*EM_3B))</f>
        <v/>
      </c>
      <c r="J147" s="42" t="str">
        <f>IF($B147="","",SUMPRODUCT(COUNTIFS(pbp_PlayType,EM_Type,pbp_Batter,$B147)*EM_HR))</f>
        <v/>
      </c>
      <c r="K147" s="42" t="str">
        <f>IF($B147="","",SUMPRODUCT(COUNTIFS(pbp_PlayType,EM_Type,pbp_Batter,$B147)*EM_1B))</f>
        <v/>
      </c>
      <c r="L147" s="42" t="str">
        <f>IF($B147="","",SUMPRODUCT(COUNTIFS(pbp_PlayType,EM_Type,pbp_Batter,$B147)*EM_BB))</f>
        <v/>
      </c>
      <c r="M147" s="42" t="str">
        <f>IF($B147="","",SUMPRODUCT(COUNTIFS(pbp_PlayType,EM_Type,pbp_Batter,$B147)*EM_HBP))</f>
        <v/>
      </c>
      <c r="N147" s="42" t="str">
        <f>IF($B147="","",COUNTIFS(pbp_PlayType,"?*",pbp_Desc,"*struck out*",pbp_Batter,$B147))</f>
        <v/>
      </c>
      <c r="O147" s="42" t="str">
        <f>IF($B147="","",SUMPRODUCT(COUNTIFS(pbp_PlayType,EM_Type,pbp_Batter,$B147)*EM_SF))</f>
        <v/>
      </c>
      <c r="P147" s="42" t="str">
        <f>IF($B147="","",SUMIFS(pbp_Runs,pbp_Batter,$B147))</f>
        <v/>
      </c>
      <c r="Q147" s="58" t="str">
        <f t="shared" si="16"/>
        <v/>
      </c>
      <c r="R147" s="58" t="str">
        <f t="shared" si="17"/>
        <v/>
      </c>
      <c r="S147" s="58" t="str">
        <f t="shared" si="18"/>
        <v/>
      </c>
      <c r="T147" s="58" t="str">
        <f t="shared" si="19"/>
        <v/>
      </c>
      <c r="U147" s="58" t="str">
        <f t="shared" si="20"/>
        <v/>
      </c>
      <c r="V147" s="59" t="str">
        <f t="shared" si="21"/>
        <v/>
      </c>
      <c r="W147" s="59" t="str">
        <f t="shared" si="22"/>
        <v/>
      </c>
      <c r="X147" s="60" t="str">
        <f>IF($B147="","",IF((E147)=0,"",(SUMIFS(pbp_Pitches,pbp_Batter,$B147,pbp_PlayType,"?*"))/(E147)))</f>
        <v/>
      </c>
      <c r="Y147" s="42" t="str">
        <f t="shared" si="23"/>
        <v/>
      </c>
      <c r="Z147" s="58" t="str">
        <f>IF($B147="","",IF((SUMPRODUCT(COUNTIFS(pbp_PlayType,EM_Type,pbp_Batter,$B147,pbp_On2B,"?*")*EM_AB)+SUMPRODUCT(COUNTIFS(pbp_PlayType,EM_Type,pbp_Batter,$B147,pbp_On2B,"",pbp_On3B,"?*")*EM_AB))=0,"",(SUMPRODUCT(COUNTIFS(pbp_PlayType,EM_Type,pbp_Batter,$B147,pbp_On2B,"?*")*EM_H)+SUMPRODUCT(COUNTIFS(pbp_PlayType,EM_Type,pbp_Batter,$B147,pbp_On2B,"",pbp_On3B,"?*")*EM_H))/(SUMPRODUCT(COUNTIFS(pbp_PlayType,EM_Type,pbp_Batter,$B147,pbp_On2B,"?*")*EM_AB)+SUMPRODUCT(COUNTIFS(pbp_PlayType,EM_Type,pbp_Batter,$B147,pbp_On2B,"",pbp_On3B,"?*")*EM_AB))))</f>
        <v/>
      </c>
      <c r="AA147" s="62" t="str">
        <f>IF($B147="","",IF(OR(E147&lt;MinPA,T147=""),"",COUNTIFS($E$6:$E$255,"&gt;="&amp;MinPA,$T$6:$T$255,"&gt;"&amp;T147)+COUNTIFS($E$5:E146,"&gt;="&amp;MinPA,$T$5:T146,T147)+1))</f>
        <v/>
      </c>
    </row>
    <row r="148" spans="2:27" x14ac:dyDescent="0.2">
      <c r="B148" s="44" t="str">
        <f t="array" ref="B148">IFERROR(INDEX(pbp_Batter,MATCH(0,COUNTIF($B$5:B147,pbp_Batter)+(pbp_Batter=""),0)),"")</f>
        <v/>
      </c>
      <c r="C148" s="61" t="str">
        <f>IF($B148="","",IFERROR(INDEX(pbp_BatTeam,MATCH($B148,pbp_Batter,0)),""))</f>
        <v/>
      </c>
      <c r="D148" s="61" t="str">
        <f>IF($B148="","",IFERROR(INDEX(pbp_BatHand,MATCH($B148,pbp_Batter,0)),""))</f>
        <v/>
      </c>
      <c r="E148" s="42" t="str">
        <f>IF($B148="","",SUMPRODUCT(COUNTIFS(pbp_PlayType,EM_Type,pbp_Batter,$B148)*EM_PA))</f>
        <v/>
      </c>
      <c r="F148" s="42" t="str">
        <f>IF($B148="","",SUMPRODUCT(COUNTIFS(pbp_PlayType,EM_Type,pbp_Batter,$B148)*EM_AB))</f>
        <v/>
      </c>
      <c r="G148" s="42" t="str">
        <f>IF($B148="","",SUMPRODUCT(COUNTIFS(pbp_PlayType,EM_Type,pbp_Batter,$B148)*EM_H))</f>
        <v/>
      </c>
      <c r="H148" s="42" t="str">
        <f>IF($B148="","",SUMPRODUCT(COUNTIFS(pbp_PlayType,EM_Type,pbp_Batter,$B148)*EM_2B))</f>
        <v/>
      </c>
      <c r="I148" s="42" t="str">
        <f>IF($B148="","",SUMPRODUCT(COUNTIFS(pbp_PlayType,EM_Type,pbp_Batter,$B148)*EM_3B))</f>
        <v/>
      </c>
      <c r="J148" s="42" t="str">
        <f>IF($B148="","",SUMPRODUCT(COUNTIFS(pbp_PlayType,EM_Type,pbp_Batter,$B148)*EM_HR))</f>
        <v/>
      </c>
      <c r="K148" s="42" t="str">
        <f>IF($B148="","",SUMPRODUCT(COUNTIFS(pbp_PlayType,EM_Type,pbp_Batter,$B148)*EM_1B))</f>
        <v/>
      </c>
      <c r="L148" s="42" t="str">
        <f>IF($B148="","",SUMPRODUCT(COUNTIFS(pbp_PlayType,EM_Type,pbp_Batter,$B148)*EM_BB))</f>
        <v/>
      </c>
      <c r="M148" s="42" t="str">
        <f>IF($B148="","",SUMPRODUCT(COUNTIFS(pbp_PlayType,EM_Type,pbp_Batter,$B148)*EM_HBP))</f>
        <v/>
      </c>
      <c r="N148" s="42" t="str">
        <f>IF($B148="","",COUNTIFS(pbp_PlayType,"?*",pbp_Desc,"*struck out*",pbp_Batter,$B148))</f>
        <v/>
      </c>
      <c r="O148" s="42" t="str">
        <f>IF($B148="","",SUMPRODUCT(COUNTIFS(pbp_PlayType,EM_Type,pbp_Batter,$B148)*EM_SF))</f>
        <v/>
      </c>
      <c r="P148" s="42" t="str">
        <f>IF($B148="","",SUMIFS(pbp_Runs,pbp_Batter,$B148))</f>
        <v/>
      </c>
      <c r="Q148" s="58" t="str">
        <f t="shared" si="16"/>
        <v/>
      </c>
      <c r="R148" s="58" t="str">
        <f t="shared" si="17"/>
        <v/>
      </c>
      <c r="S148" s="58" t="str">
        <f t="shared" si="18"/>
        <v/>
      </c>
      <c r="T148" s="58" t="str">
        <f t="shared" si="19"/>
        <v/>
      </c>
      <c r="U148" s="58" t="str">
        <f t="shared" si="20"/>
        <v/>
      </c>
      <c r="V148" s="59" t="str">
        <f t="shared" si="21"/>
        <v/>
      </c>
      <c r="W148" s="59" t="str">
        <f t="shared" si="22"/>
        <v/>
      </c>
      <c r="X148" s="60" t="str">
        <f>IF($B148="","",IF((E148)=0,"",(SUMIFS(pbp_Pitches,pbp_Batter,$B148,pbp_PlayType,"?*"))/(E148)))</f>
        <v/>
      </c>
      <c r="Y148" s="42" t="str">
        <f t="shared" si="23"/>
        <v/>
      </c>
      <c r="Z148" s="58" t="str">
        <f>IF($B148="","",IF((SUMPRODUCT(COUNTIFS(pbp_PlayType,EM_Type,pbp_Batter,$B148,pbp_On2B,"?*")*EM_AB)+SUMPRODUCT(COUNTIFS(pbp_PlayType,EM_Type,pbp_Batter,$B148,pbp_On2B,"",pbp_On3B,"?*")*EM_AB))=0,"",(SUMPRODUCT(COUNTIFS(pbp_PlayType,EM_Type,pbp_Batter,$B148,pbp_On2B,"?*")*EM_H)+SUMPRODUCT(COUNTIFS(pbp_PlayType,EM_Type,pbp_Batter,$B148,pbp_On2B,"",pbp_On3B,"?*")*EM_H))/(SUMPRODUCT(COUNTIFS(pbp_PlayType,EM_Type,pbp_Batter,$B148,pbp_On2B,"?*")*EM_AB)+SUMPRODUCT(COUNTIFS(pbp_PlayType,EM_Type,pbp_Batter,$B148,pbp_On2B,"",pbp_On3B,"?*")*EM_AB))))</f>
        <v/>
      </c>
      <c r="AA148" s="62" t="str">
        <f>IF($B148="","",IF(OR(E148&lt;MinPA,T148=""),"",COUNTIFS($E$6:$E$255,"&gt;="&amp;MinPA,$T$6:$T$255,"&gt;"&amp;T148)+COUNTIFS($E$5:E147,"&gt;="&amp;MinPA,$T$5:T147,T148)+1))</f>
        <v/>
      </c>
    </row>
    <row r="149" spans="2:27" x14ac:dyDescent="0.2">
      <c r="B149" s="44" t="str">
        <f t="array" ref="B149">IFERROR(INDEX(pbp_Batter,MATCH(0,COUNTIF($B$5:B148,pbp_Batter)+(pbp_Batter=""),0)),"")</f>
        <v/>
      </c>
      <c r="C149" s="61" t="str">
        <f>IF($B149="","",IFERROR(INDEX(pbp_BatTeam,MATCH($B149,pbp_Batter,0)),""))</f>
        <v/>
      </c>
      <c r="D149" s="61" t="str">
        <f>IF($B149="","",IFERROR(INDEX(pbp_BatHand,MATCH($B149,pbp_Batter,0)),""))</f>
        <v/>
      </c>
      <c r="E149" s="42" t="str">
        <f>IF($B149="","",SUMPRODUCT(COUNTIFS(pbp_PlayType,EM_Type,pbp_Batter,$B149)*EM_PA))</f>
        <v/>
      </c>
      <c r="F149" s="42" t="str">
        <f>IF($B149="","",SUMPRODUCT(COUNTIFS(pbp_PlayType,EM_Type,pbp_Batter,$B149)*EM_AB))</f>
        <v/>
      </c>
      <c r="G149" s="42" t="str">
        <f>IF($B149="","",SUMPRODUCT(COUNTIFS(pbp_PlayType,EM_Type,pbp_Batter,$B149)*EM_H))</f>
        <v/>
      </c>
      <c r="H149" s="42" t="str">
        <f>IF($B149="","",SUMPRODUCT(COUNTIFS(pbp_PlayType,EM_Type,pbp_Batter,$B149)*EM_2B))</f>
        <v/>
      </c>
      <c r="I149" s="42" t="str">
        <f>IF($B149="","",SUMPRODUCT(COUNTIFS(pbp_PlayType,EM_Type,pbp_Batter,$B149)*EM_3B))</f>
        <v/>
      </c>
      <c r="J149" s="42" t="str">
        <f>IF($B149="","",SUMPRODUCT(COUNTIFS(pbp_PlayType,EM_Type,pbp_Batter,$B149)*EM_HR))</f>
        <v/>
      </c>
      <c r="K149" s="42" t="str">
        <f>IF($B149="","",SUMPRODUCT(COUNTIFS(pbp_PlayType,EM_Type,pbp_Batter,$B149)*EM_1B))</f>
        <v/>
      </c>
      <c r="L149" s="42" t="str">
        <f>IF($B149="","",SUMPRODUCT(COUNTIFS(pbp_PlayType,EM_Type,pbp_Batter,$B149)*EM_BB))</f>
        <v/>
      </c>
      <c r="M149" s="42" t="str">
        <f>IF($B149="","",SUMPRODUCT(COUNTIFS(pbp_PlayType,EM_Type,pbp_Batter,$B149)*EM_HBP))</f>
        <v/>
      </c>
      <c r="N149" s="42" t="str">
        <f>IF($B149="","",COUNTIFS(pbp_PlayType,"?*",pbp_Desc,"*struck out*",pbp_Batter,$B149))</f>
        <v/>
      </c>
      <c r="O149" s="42" t="str">
        <f>IF($B149="","",SUMPRODUCT(COUNTIFS(pbp_PlayType,EM_Type,pbp_Batter,$B149)*EM_SF))</f>
        <v/>
      </c>
      <c r="P149" s="42" t="str">
        <f>IF($B149="","",SUMIFS(pbp_Runs,pbp_Batter,$B149))</f>
        <v/>
      </c>
      <c r="Q149" s="58" t="str">
        <f t="shared" si="16"/>
        <v/>
      </c>
      <c r="R149" s="58" t="str">
        <f t="shared" si="17"/>
        <v/>
      </c>
      <c r="S149" s="58" t="str">
        <f t="shared" si="18"/>
        <v/>
      </c>
      <c r="T149" s="58" t="str">
        <f t="shared" si="19"/>
        <v/>
      </c>
      <c r="U149" s="58" t="str">
        <f t="shared" si="20"/>
        <v/>
      </c>
      <c r="V149" s="59" t="str">
        <f t="shared" si="21"/>
        <v/>
      </c>
      <c r="W149" s="59" t="str">
        <f t="shared" si="22"/>
        <v/>
      </c>
      <c r="X149" s="60" t="str">
        <f>IF($B149="","",IF((E149)=0,"",(SUMIFS(pbp_Pitches,pbp_Batter,$B149,pbp_PlayType,"?*"))/(E149)))</f>
        <v/>
      </c>
      <c r="Y149" s="42" t="str">
        <f t="shared" si="23"/>
        <v/>
      </c>
      <c r="Z149" s="58" t="str">
        <f>IF($B149="","",IF((SUMPRODUCT(COUNTIFS(pbp_PlayType,EM_Type,pbp_Batter,$B149,pbp_On2B,"?*")*EM_AB)+SUMPRODUCT(COUNTIFS(pbp_PlayType,EM_Type,pbp_Batter,$B149,pbp_On2B,"",pbp_On3B,"?*")*EM_AB))=0,"",(SUMPRODUCT(COUNTIFS(pbp_PlayType,EM_Type,pbp_Batter,$B149,pbp_On2B,"?*")*EM_H)+SUMPRODUCT(COUNTIFS(pbp_PlayType,EM_Type,pbp_Batter,$B149,pbp_On2B,"",pbp_On3B,"?*")*EM_H))/(SUMPRODUCT(COUNTIFS(pbp_PlayType,EM_Type,pbp_Batter,$B149,pbp_On2B,"?*")*EM_AB)+SUMPRODUCT(COUNTIFS(pbp_PlayType,EM_Type,pbp_Batter,$B149,pbp_On2B,"",pbp_On3B,"?*")*EM_AB))))</f>
        <v/>
      </c>
      <c r="AA149" s="62" t="str">
        <f>IF($B149="","",IF(OR(E149&lt;MinPA,T149=""),"",COUNTIFS($E$6:$E$255,"&gt;="&amp;MinPA,$T$6:$T$255,"&gt;"&amp;T149)+COUNTIFS($E$5:E148,"&gt;="&amp;MinPA,$T$5:T148,T149)+1))</f>
        <v/>
      </c>
    </row>
    <row r="150" spans="2:27" x14ac:dyDescent="0.2">
      <c r="B150" s="44" t="str">
        <f t="array" ref="B150">IFERROR(INDEX(pbp_Batter,MATCH(0,COUNTIF($B$5:B149,pbp_Batter)+(pbp_Batter=""),0)),"")</f>
        <v/>
      </c>
      <c r="C150" s="61" t="str">
        <f>IF($B150="","",IFERROR(INDEX(pbp_BatTeam,MATCH($B150,pbp_Batter,0)),""))</f>
        <v/>
      </c>
      <c r="D150" s="61" t="str">
        <f>IF($B150="","",IFERROR(INDEX(pbp_BatHand,MATCH($B150,pbp_Batter,0)),""))</f>
        <v/>
      </c>
      <c r="E150" s="42" t="str">
        <f>IF($B150="","",SUMPRODUCT(COUNTIFS(pbp_PlayType,EM_Type,pbp_Batter,$B150)*EM_PA))</f>
        <v/>
      </c>
      <c r="F150" s="42" t="str">
        <f>IF($B150="","",SUMPRODUCT(COUNTIFS(pbp_PlayType,EM_Type,pbp_Batter,$B150)*EM_AB))</f>
        <v/>
      </c>
      <c r="G150" s="42" t="str">
        <f>IF($B150="","",SUMPRODUCT(COUNTIFS(pbp_PlayType,EM_Type,pbp_Batter,$B150)*EM_H))</f>
        <v/>
      </c>
      <c r="H150" s="42" t="str">
        <f>IF($B150="","",SUMPRODUCT(COUNTIFS(pbp_PlayType,EM_Type,pbp_Batter,$B150)*EM_2B))</f>
        <v/>
      </c>
      <c r="I150" s="42" t="str">
        <f>IF($B150="","",SUMPRODUCT(COUNTIFS(pbp_PlayType,EM_Type,pbp_Batter,$B150)*EM_3B))</f>
        <v/>
      </c>
      <c r="J150" s="42" t="str">
        <f>IF($B150="","",SUMPRODUCT(COUNTIFS(pbp_PlayType,EM_Type,pbp_Batter,$B150)*EM_HR))</f>
        <v/>
      </c>
      <c r="K150" s="42" t="str">
        <f>IF($B150="","",SUMPRODUCT(COUNTIFS(pbp_PlayType,EM_Type,pbp_Batter,$B150)*EM_1B))</f>
        <v/>
      </c>
      <c r="L150" s="42" t="str">
        <f>IF($B150="","",SUMPRODUCT(COUNTIFS(pbp_PlayType,EM_Type,pbp_Batter,$B150)*EM_BB))</f>
        <v/>
      </c>
      <c r="M150" s="42" t="str">
        <f>IF($B150="","",SUMPRODUCT(COUNTIFS(pbp_PlayType,EM_Type,pbp_Batter,$B150)*EM_HBP))</f>
        <v/>
      </c>
      <c r="N150" s="42" t="str">
        <f>IF($B150="","",COUNTIFS(pbp_PlayType,"?*",pbp_Desc,"*struck out*",pbp_Batter,$B150))</f>
        <v/>
      </c>
      <c r="O150" s="42" t="str">
        <f>IF($B150="","",SUMPRODUCT(COUNTIFS(pbp_PlayType,EM_Type,pbp_Batter,$B150)*EM_SF))</f>
        <v/>
      </c>
      <c r="P150" s="42" t="str">
        <f>IF($B150="","",SUMIFS(pbp_Runs,pbp_Batter,$B150))</f>
        <v/>
      </c>
      <c r="Q150" s="58" t="str">
        <f t="shared" si="16"/>
        <v/>
      </c>
      <c r="R150" s="58" t="str">
        <f t="shared" si="17"/>
        <v/>
      </c>
      <c r="S150" s="58" t="str">
        <f t="shared" si="18"/>
        <v/>
      </c>
      <c r="T150" s="58" t="str">
        <f t="shared" si="19"/>
        <v/>
      </c>
      <c r="U150" s="58" t="str">
        <f t="shared" si="20"/>
        <v/>
      </c>
      <c r="V150" s="59" t="str">
        <f t="shared" si="21"/>
        <v/>
      </c>
      <c r="W150" s="59" t="str">
        <f t="shared" si="22"/>
        <v/>
      </c>
      <c r="X150" s="60" t="str">
        <f>IF($B150="","",IF((E150)=0,"",(SUMIFS(pbp_Pitches,pbp_Batter,$B150,pbp_PlayType,"?*"))/(E150)))</f>
        <v/>
      </c>
      <c r="Y150" s="42" t="str">
        <f t="shared" si="23"/>
        <v/>
      </c>
      <c r="Z150" s="58" t="str">
        <f>IF($B150="","",IF((SUMPRODUCT(COUNTIFS(pbp_PlayType,EM_Type,pbp_Batter,$B150,pbp_On2B,"?*")*EM_AB)+SUMPRODUCT(COUNTIFS(pbp_PlayType,EM_Type,pbp_Batter,$B150,pbp_On2B,"",pbp_On3B,"?*")*EM_AB))=0,"",(SUMPRODUCT(COUNTIFS(pbp_PlayType,EM_Type,pbp_Batter,$B150,pbp_On2B,"?*")*EM_H)+SUMPRODUCT(COUNTIFS(pbp_PlayType,EM_Type,pbp_Batter,$B150,pbp_On2B,"",pbp_On3B,"?*")*EM_H))/(SUMPRODUCT(COUNTIFS(pbp_PlayType,EM_Type,pbp_Batter,$B150,pbp_On2B,"?*")*EM_AB)+SUMPRODUCT(COUNTIFS(pbp_PlayType,EM_Type,pbp_Batter,$B150,pbp_On2B,"",pbp_On3B,"?*")*EM_AB))))</f>
        <v/>
      </c>
      <c r="AA150" s="62" t="str">
        <f>IF($B150="","",IF(OR(E150&lt;MinPA,T150=""),"",COUNTIFS($E$6:$E$255,"&gt;="&amp;MinPA,$T$6:$T$255,"&gt;"&amp;T150)+COUNTIFS($E$5:E149,"&gt;="&amp;MinPA,$T$5:T149,T150)+1))</f>
        <v/>
      </c>
    </row>
    <row r="151" spans="2:27" x14ac:dyDescent="0.2">
      <c r="B151" s="44" t="str">
        <f t="array" ref="B151">IFERROR(INDEX(pbp_Batter,MATCH(0,COUNTIF($B$5:B150,pbp_Batter)+(pbp_Batter=""),0)),"")</f>
        <v/>
      </c>
      <c r="C151" s="61" t="str">
        <f>IF($B151="","",IFERROR(INDEX(pbp_BatTeam,MATCH($B151,pbp_Batter,0)),""))</f>
        <v/>
      </c>
      <c r="D151" s="61" t="str">
        <f>IF($B151="","",IFERROR(INDEX(pbp_BatHand,MATCH($B151,pbp_Batter,0)),""))</f>
        <v/>
      </c>
      <c r="E151" s="42" t="str">
        <f>IF($B151="","",SUMPRODUCT(COUNTIFS(pbp_PlayType,EM_Type,pbp_Batter,$B151)*EM_PA))</f>
        <v/>
      </c>
      <c r="F151" s="42" t="str">
        <f>IF($B151="","",SUMPRODUCT(COUNTIFS(pbp_PlayType,EM_Type,pbp_Batter,$B151)*EM_AB))</f>
        <v/>
      </c>
      <c r="G151" s="42" t="str">
        <f>IF($B151="","",SUMPRODUCT(COUNTIFS(pbp_PlayType,EM_Type,pbp_Batter,$B151)*EM_H))</f>
        <v/>
      </c>
      <c r="H151" s="42" t="str">
        <f>IF($B151="","",SUMPRODUCT(COUNTIFS(pbp_PlayType,EM_Type,pbp_Batter,$B151)*EM_2B))</f>
        <v/>
      </c>
      <c r="I151" s="42" t="str">
        <f>IF($B151="","",SUMPRODUCT(COUNTIFS(pbp_PlayType,EM_Type,pbp_Batter,$B151)*EM_3B))</f>
        <v/>
      </c>
      <c r="J151" s="42" t="str">
        <f>IF($B151="","",SUMPRODUCT(COUNTIFS(pbp_PlayType,EM_Type,pbp_Batter,$B151)*EM_HR))</f>
        <v/>
      </c>
      <c r="K151" s="42" t="str">
        <f>IF($B151="","",SUMPRODUCT(COUNTIFS(pbp_PlayType,EM_Type,pbp_Batter,$B151)*EM_1B))</f>
        <v/>
      </c>
      <c r="L151" s="42" t="str">
        <f>IF($B151="","",SUMPRODUCT(COUNTIFS(pbp_PlayType,EM_Type,pbp_Batter,$B151)*EM_BB))</f>
        <v/>
      </c>
      <c r="M151" s="42" t="str">
        <f>IF($B151="","",SUMPRODUCT(COUNTIFS(pbp_PlayType,EM_Type,pbp_Batter,$B151)*EM_HBP))</f>
        <v/>
      </c>
      <c r="N151" s="42" t="str">
        <f>IF($B151="","",COUNTIFS(pbp_PlayType,"?*",pbp_Desc,"*struck out*",pbp_Batter,$B151))</f>
        <v/>
      </c>
      <c r="O151" s="42" t="str">
        <f>IF($B151="","",SUMPRODUCT(COUNTIFS(pbp_PlayType,EM_Type,pbp_Batter,$B151)*EM_SF))</f>
        <v/>
      </c>
      <c r="P151" s="42" t="str">
        <f>IF($B151="","",SUMIFS(pbp_Runs,pbp_Batter,$B151))</f>
        <v/>
      </c>
      <c r="Q151" s="58" t="str">
        <f t="shared" si="16"/>
        <v/>
      </c>
      <c r="R151" s="58" t="str">
        <f t="shared" si="17"/>
        <v/>
      </c>
      <c r="S151" s="58" t="str">
        <f t="shared" si="18"/>
        <v/>
      </c>
      <c r="T151" s="58" t="str">
        <f t="shared" si="19"/>
        <v/>
      </c>
      <c r="U151" s="58" t="str">
        <f t="shared" si="20"/>
        <v/>
      </c>
      <c r="V151" s="59" t="str">
        <f t="shared" si="21"/>
        <v/>
      </c>
      <c r="W151" s="59" t="str">
        <f t="shared" si="22"/>
        <v/>
      </c>
      <c r="X151" s="60" t="str">
        <f>IF($B151="","",IF((E151)=0,"",(SUMIFS(pbp_Pitches,pbp_Batter,$B151,pbp_PlayType,"?*"))/(E151)))</f>
        <v/>
      </c>
      <c r="Y151" s="42" t="str">
        <f t="shared" si="23"/>
        <v/>
      </c>
      <c r="Z151" s="58" t="str">
        <f>IF($B151="","",IF((SUMPRODUCT(COUNTIFS(pbp_PlayType,EM_Type,pbp_Batter,$B151,pbp_On2B,"?*")*EM_AB)+SUMPRODUCT(COUNTIFS(pbp_PlayType,EM_Type,pbp_Batter,$B151,pbp_On2B,"",pbp_On3B,"?*")*EM_AB))=0,"",(SUMPRODUCT(COUNTIFS(pbp_PlayType,EM_Type,pbp_Batter,$B151,pbp_On2B,"?*")*EM_H)+SUMPRODUCT(COUNTIFS(pbp_PlayType,EM_Type,pbp_Batter,$B151,pbp_On2B,"",pbp_On3B,"?*")*EM_H))/(SUMPRODUCT(COUNTIFS(pbp_PlayType,EM_Type,pbp_Batter,$B151,pbp_On2B,"?*")*EM_AB)+SUMPRODUCT(COUNTIFS(pbp_PlayType,EM_Type,pbp_Batter,$B151,pbp_On2B,"",pbp_On3B,"?*")*EM_AB))))</f>
        <v/>
      </c>
      <c r="AA151" s="62" t="str">
        <f>IF($B151="","",IF(OR(E151&lt;MinPA,T151=""),"",COUNTIFS($E$6:$E$255,"&gt;="&amp;MinPA,$T$6:$T$255,"&gt;"&amp;T151)+COUNTIFS($E$5:E150,"&gt;="&amp;MinPA,$T$5:T150,T151)+1))</f>
        <v/>
      </c>
    </row>
    <row r="152" spans="2:27" x14ac:dyDescent="0.2">
      <c r="B152" s="44" t="str">
        <f t="array" ref="B152">IFERROR(INDEX(pbp_Batter,MATCH(0,COUNTIF($B$5:B151,pbp_Batter)+(pbp_Batter=""),0)),"")</f>
        <v/>
      </c>
      <c r="C152" s="61" t="str">
        <f>IF($B152="","",IFERROR(INDEX(pbp_BatTeam,MATCH($B152,pbp_Batter,0)),""))</f>
        <v/>
      </c>
      <c r="D152" s="61" t="str">
        <f>IF($B152="","",IFERROR(INDEX(pbp_BatHand,MATCH($B152,pbp_Batter,0)),""))</f>
        <v/>
      </c>
      <c r="E152" s="42" t="str">
        <f>IF($B152="","",SUMPRODUCT(COUNTIFS(pbp_PlayType,EM_Type,pbp_Batter,$B152)*EM_PA))</f>
        <v/>
      </c>
      <c r="F152" s="42" t="str">
        <f>IF($B152="","",SUMPRODUCT(COUNTIFS(pbp_PlayType,EM_Type,pbp_Batter,$B152)*EM_AB))</f>
        <v/>
      </c>
      <c r="G152" s="42" t="str">
        <f>IF($B152="","",SUMPRODUCT(COUNTIFS(pbp_PlayType,EM_Type,pbp_Batter,$B152)*EM_H))</f>
        <v/>
      </c>
      <c r="H152" s="42" t="str">
        <f>IF($B152="","",SUMPRODUCT(COUNTIFS(pbp_PlayType,EM_Type,pbp_Batter,$B152)*EM_2B))</f>
        <v/>
      </c>
      <c r="I152" s="42" t="str">
        <f>IF($B152="","",SUMPRODUCT(COUNTIFS(pbp_PlayType,EM_Type,pbp_Batter,$B152)*EM_3B))</f>
        <v/>
      </c>
      <c r="J152" s="42" t="str">
        <f>IF($B152="","",SUMPRODUCT(COUNTIFS(pbp_PlayType,EM_Type,pbp_Batter,$B152)*EM_HR))</f>
        <v/>
      </c>
      <c r="K152" s="42" t="str">
        <f>IF($B152="","",SUMPRODUCT(COUNTIFS(pbp_PlayType,EM_Type,pbp_Batter,$B152)*EM_1B))</f>
        <v/>
      </c>
      <c r="L152" s="42" t="str">
        <f>IF($B152="","",SUMPRODUCT(COUNTIFS(pbp_PlayType,EM_Type,pbp_Batter,$B152)*EM_BB))</f>
        <v/>
      </c>
      <c r="M152" s="42" t="str">
        <f>IF($B152="","",SUMPRODUCT(COUNTIFS(pbp_PlayType,EM_Type,pbp_Batter,$B152)*EM_HBP))</f>
        <v/>
      </c>
      <c r="N152" s="42" t="str">
        <f>IF($B152="","",COUNTIFS(pbp_PlayType,"?*",pbp_Desc,"*struck out*",pbp_Batter,$B152))</f>
        <v/>
      </c>
      <c r="O152" s="42" t="str">
        <f>IF($B152="","",SUMPRODUCT(COUNTIFS(pbp_PlayType,EM_Type,pbp_Batter,$B152)*EM_SF))</f>
        <v/>
      </c>
      <c r="P152" s="42" t="str">
        <f>IF($B152="","",SUMIFS(pbp_Runs,pbp_Batter,$B152))</f>
        <v/>
      </c>
      <c r="Q152" s="58" t="str">
        <f t="shared" si="16"/>
        <v/>
      </c>
      <c r="R152" s="58" t="str">
        <f t="shared" si="17"/>
        <v/>
      </c>
      <c r="S152" s="58" t="str">
        <f t="shared" si="18"/>
        <v/>
      </c>
      <c r="T152" s="58" t="str">
        <f t="shared" si="19"/>
        <v/>
      </c>
      <c r="U152" s="58" t="str">
        <f t="shared" si="20"/>
        <v/>
      </c>
      <c r="V152" s="59" t="str">
        <f t="shared" si="21"/>
        <v/>
      </c>
      <c r="W152" s="59" t="str">
        <f t="shared" si="22"/>
        <v/>
      </c>
      <c r="X152" s="60" t="str">
        <f>IF($B152="","",IF((E152)=0,"",(SUMIFS(pbp_Pitches,pbp_Batter,$B152,pbp_PlayType,"?*"))/(E152)))</f>
        <v/>
      </c>
      <c r="Y152" s="42" t="str">
        <f t="shared" si="23"/>
        <v/>
      </c>
      <c r="Z152" s="58" t="str">
        <f>IF($B152="","",IF((SUMPRODUCT(COUNTIFS(pbp_PlayType,EM_Type,pbp_Batter,$B152,pbp_On2B,"?*")*EM_AB)+SUMPRODUCT(COUNTIFS(pbp_PlayType,EM_Type,pbp_Batter,$B152,pbp_On2B,"",pbp_On3B,"?*")*EM_AB))=0,"",(SUMPRODUCT(COUNTIFS(pbp_PlayType,EM_Type,pbp_Batter,$B152,pbp_On2B,"?*")*EM_H)+SUMPRODUCT(COUNTIFS(pbp_PlayType,EM_Type,pbp_Batter,$B152,pbp_On2B,"",pbp_On3B,"?*")*EM_H))/(SUMPRODUCT(COUNTIFS(pbp_PlayType,EM_Type,pbp_Batter,$B152,pbp_On2B,"?*")*EM_AB)+SUMPRODUCT(COUNTIFS(pbp_PlayType,EM_Type,pbp_Batter,$B152,pbp_On2B,"",pbp_On3B,"?*")*EM_AB))))</f>
        <v/>
      </c>
      <c r="AA152" s="62" t="str">
        <f>IF($B152="","",IF(OR(E152&lt;MinPA,T152=""),"",COUNTIFS($E$6:$E$255,"&gt;="&amp;MinPA,$T$6:$T$255,"&gt;"&amp;T152)+COUNTIFS($E$5:E151,"&gt;="&amp;MinPA,$T$5:T151,T152)+1))</f>
        <v/>
      </c>
    </row>
    <row r="153" spans="2:27" x14ac:dyDescent="0.2">
      <c r="B153" s="44" t="str">
        <f t="array" ref="B153">IFERROR(INDEX(pbp_Batter,MATCH(0,COUNTIF($B$5:B152,pbp_Batter)+(pbp_Batter=""),0)),"")</f>
        <v/>
      </c>
      <c r="C153" s="61" t="str">
        <f>IF($B153="","",IFERROR(INDEX(pbp_BatTeam,MATCH($B153,pbp_Batter,0)),""))</f>
        <v/>
      </c>
      <c r="D153" s="61" t="str">
        <f>IF($B153="","",IFERROR(INDEX(pbp_BatHand,MATCH($B153,pbp_Batter,0)),""))</f>
        <v/>
      </c>
      <c r="E153" s="42" t="str">
        <f>IF($B153="","",SUMPRODUCT(COUNTIFS(pbp_PlayType,EM_Type,pbp_Batter,$B153)*EM_PA))</f>
        <v/>
      </c>
      <c r="F153" s="42" t="str">
        <f>IF($B153="","",SUMPRODUCT(COUNTIFS(pbp_PlayType,EM_Type,pbp_Batter,$B153)*EM_AB))</f>
        <v/>
      </c>
      <c r="G153" s="42" t="str">
        <f>IF($B153="","",SUMPRODUCT(COUNTIFS(pbp_PlayType,EM_Type,pbp_Batter,$B153)*EM_H))</f>
        <v/>
      </c>
      <c r="H153" s="42" t="str">
        <f>IF($B153="","",SUMPRODUCT(COUNTIFS(pbp_PlayType,EM_Type,pbp_Batter,$B153)*EM_2B))</f>
        <v/>
      </c>
      <c r="I153" s="42" t="str">
        <f>IF($B153="","",SUMPRODUCT(COUNTIFS(pbp_PlayType,EM_Type,pbp_Batter,$B153)*EM_3B))</f>
        <v/>
      </c>
      <c r="J153" s="42" t="str">
        <f>IF($B153="","",SUMPRODUCT(COUNTIFS(pbp_PlayType,EM_Type,pbp_Batter,$B153)*EM_HR))</f>
        <v/>
      </c>
      <c r="K153" s="42" t="str">
        <f>IF($B153="","",SUMPRODUCT(COUNTIFS(pbp_PlayType,EM_Type,pbp_Batter,$B153)*EM_1B))</f>
        <v/>
      </c>
      <c r="L153" s="42" t="str">
        <f>IF($B153="","",SUMPRODUCT(COUNTIFS(pbp_PlayType,EM_Type,pbp_Batter,$B153)*EM_BB))</f>
        <v/>
      </c>
      <c r="M153" s="42" t="str">
        <f>IF($B153="","",SUMPRODUCT(COUNTIFS(pbp_PlayType,EM_Type,pbp_Batter,$B153)*EM_HBP))</f>
        <v/>
      </c>
      <c r="N153" s="42" t="str">
        <f>IF($B153="","",COUNTIFS(pbp_PlayType,"?*",pbp_Desc,"*struck out*",pbp_Batter,$B153))</f>
        <v/>
      </c>
      <c r="O153" s="42" t="str">
        <f>IF($B153="","",SUMPRODUCT(COUNTIFS(pbp_PlayType,EM_Type,pbp_Batter,$B153)*EM_SF))</f>
        <v/>
      </c>
      <c r="P153" s="42" t="str">
        <f>IF($B153="","",SUMIFS(pbp_Runs,pbp_Batter,$B153))</f>
        <v/>
      </c>
      <c r="Q153" s="58" t="str">
        <f t="shared" si="16"/>
        <v/>
      </c>
      <c r="R153" s="58" t="str">
        <f t="shared" si="17"/>
        <v/>
      </c>
      <c r="S153" s="58" t="str">
        <f t="shared" si="18"/>
        <v/>
      </c>
      <c r="T153" s="58" t="str">
        <f t="shared" si="19"/>
        <v/>
      </c>
      <c r="U153" s="58" t="str">
        <f t="shared" si="20"/>
        <v/>
      </c>
      <c r="V153" s="59" t="str">
        <f t="shared" si="21"/>
        <v/>
      </c>
      <c r="W153" s="59" t="str">
        <f t="shared" si="22"/>
        <v/>
      </c>
      <c r="X153" s="60" t="str">
        <f>IF($B153="","",IF((E153)=0,"",(SUMIFS(pbp_Pitches,pbp_Batter,$B153,pbp_PlayType,"?*"))/(E153)))</f>
        <v/>
      </c>
      <c r="Y153" s="42" t="str">
        <f t="shared" si="23"/>
        <v/>
      </c>
      <c r="Z153" s="58" t="str">
        <f>IF($B153="","",IF((SUMPRODUCT(COUNTIFS(pbp_PlayType,EM_Type,pbp_Batter,$B153,pbp_On2B,"?*")*EM_AB)+SUMPRODUCT(COUNTIFS(pbp_PlayType,EM_Type,pbp_Batter,$B153,pbp_On2B,"",pbp_On3B,"?*")*EM_AB))=0,"",(SUMPRODUCT(COUNTIFS(pbp_PlayType,EM_Type,pbp_Batter,$B153,pbp_On2B,"?*")*EM_H)+SUMPRODUCT(COUNTIFS(pbp_PlayType,EM_Type,pbp_Batter,$B153,pbp_On2B,"",pbp_On3B,"?*")*EM_H))/(SUMPRODUCT(COUNTIFS(pbp_PlayType,EM_Type,pbp_Batter,$B153,pbp_On2B,"?*")*EM_AB)+SUMPRODUCT(COUNTIFS(pbp_PlayType,EM_Type,pbp_Batter,$B153,pbp_On2B,"",pbp_On3B,"?*")*EM_AB))))</f>
        <v/>
      </c>
      <c r="AA153" s="62" t="str">
        <f>IF($B153="","",IF(OR(E153&lt;MinPA,T153=""),"",COUNTIFS($E$6:$E$255,"&gt;="&amp;MinPA,$T$6:$T$255,"&gt;"&amp;T153)+COUNTIFS($E$5:E152,"&gt;="&amp;MinPA,$T$5:T152,T153)+1))</f>
        <v/>
      </c>
    </row>
    <row r="154" spans="2:27" x14ac:dyDescent="0.2">
      <c r="B154" s="44" t="str">
        <f t="array" ref="B154">IFERROR(INDEX(pbp_Batter,MATCH(0,COUNTIF($B$5:B153,pbp_Batter)+(pbp_Batter=""),0)),"")</f>
        <v/>
      </c>
      <c r="C154" s="61" t="str">
        <f>IF($B154="","",IFERROR(INDEX(pbp_BatTeam,MATCH($B154,pbp_Batter,0)),""))</f>
        <v/>
      </c>
      <c r="D154" s="61" t="str">
        <f>IF($B154="","",IFERROR(INDEX(pbp_BatHand,MATCH($B154,pbp_Batter,0)),""))</f>
        <v/>
      </c>
      <c r="E154" s="42" t="str">
        <f>IF($B154="","",SUMPRODUCT(COUNTIFS(pbp_PlayType,EM_Type,pbp_Batter,$B154)*EM_PA))</f>
        <v/>
      </c>
      <c r="F154" s="42" t="str">
        <f>IF($B154="","",SUMPRODUCT(COUNTIFS(pbp_PlayType,EM_Type,pbp_Batter,$B154)*EM_AB))</f>
        <v/>
      </c>
      <c r="G154" s="42" t="str">
        <f>IF($B154="","",SUMPRODUCT(COUNTIFS(pbp_PlayType,EM_Type,pbp_Batter,$B154)*EM_H))</f>
        <v/>
      </c>
      <c r="H154" s="42" t="str">
        <f>IF($B154="","",SUMPRODUCT(COUNTIFS(pbp_PlayType,EM_Type,pbp_Batter,$B154)*EM_2B))</f>
        <v/>
      </c>
      <c r="I154" s="42" t="str">
        <f>IF($B154="","",SUMPRODUCT(COUNTIFS(pbp_PlayType,EM_Type,pbp_Batter,$B154)*EM_3B))</f>
        <v/>
      </c>
      <c r="J154" s="42" t="str">
        <f>IF($B154="","",SUMPRODUCT(COUNTIFS(pbp_PlayType,EM_Type,pbp_Batter,$B154)*EM_HR))</f>
        <v/>
      </c>
      <c r="K154" s="42" t="str">
        <f>IF($B154="","",SUMPRODUCT(COUNTIFS(pbp_PlayType,EM_Type,pbp_Batter,$B154)*EM_1B))</f>
        <v/>
      </c>
      <c r="L154" s="42" t="str">
        <f>IF($B154="","",SUMPRODUCT(COUNTIFS(pbp_PlayType,EM_Type,pbp_Batter,$B154)*EM_BB))</f>
        <v/>
      </c>
      <c r="M154" s="42" t="str">
        <f>IF($B154="","",SUMPRODUCT(COUNTIFS(pbp_PlayType,EM_Type,pbp_Batter,$B154)*EM_HBP))</f>
        <v/>
      </c>
      <c r="N154" s="42" t="str">
        <f>IF($B154="","",COUNTIFS(pbp_PlayType,"?*",pbp_Desc,"*struck out*",pbp_Batter,$B154))</f>
        <v/>
      </c>
      <c r="O154" s="42" t="str">
        <f>IF($B154="","",SUMPRODUCT(COUNTIFS(pbp_PlayType,EM_Type,pbp_Batter,$B154)*EM_SF))</f>
        <v/>
      </c>
      <c r="P154" s="42" t="str">
        <f>IF($B154="","",SUMIFS(pbp_Runs,pbp_Batter,$B154))</f>
        <v/>
      </c>
      <c r="Q154" s="58" t="str">
        <f t="shared" si="16"/>
        <v/>
      </c>
      <c r="R154" s="58" t="str">
        <f t="shared" si="17"/>
        <v/>
      </c>
      <c r="S154" s="58" t="str">
        <f t="shared" si="18"/>
        <v/>
      </c>
      <c r="T154" s="58" t="str">
        <f t="shared" si="19"/>
        <v/>
      </c>
      <c r="U154" s="58" t="str">
        <f t="shared" si="20"/>
        <v/>
      </c>
      <c r="V154" s="59" t="str">
        <f t="shared" si="21"/>
        <v/>
      </c>
      <c r="W154" s="59" t="str">
        <f t="shared" si="22"/>
        <v/>
      </c>
      <c r="X154" s="60" t="str">
        <f>IF($B154="","",IF((E154)=0,"",(SUMIFS(pbp_Pitches,pbp_Batter,$B154,pbp_PlayType,"?*"))/(E154)))</f>
        <v/>
      </c>
      <c r="Y154" s="42" t="str">
        <f t="shared" si="23"/>
        <v/>
      </c>
      <c r="Z154" s="58" t="str">
        <f>IF($B154="","",IF((SUMPRODUCT(COUNTIFS(pbp_PlayType,EM_Type,pbp_Batter,$B154,pbp_On2B,"?*")*EM_AB)+SUMPRODUCT(COUNTIFS(pbp_PlayType,EM_Type,pbp_Batter,$B154,pbp_On2B,"",pbp_On3B,"?*")*EM_AB))=0,"",(SUMPRODUCT(COUNTIFS(pbp_PlayType,EM_Type,pbp_Batter,$B154,pbp_On2B,"?*")*EM_H)+SUMPRODUCT(COUNTIFS(pbp_PlayType,EM_Type,pbp_Batter,$B154,pbp_On2B,"",pbp_On3B,"?*")*EM_H))/(SUMPRODUCT(COUNTIFS(pbp_PlayType,EM_Type,pbp_Batter,$B154,pbp_On2B,"?*")*EM_AB)+SUMPRODUCT(COUNTIFS(pbp_PlayType,EM_Type,pbp_Batter,$B154,pbp_On2B,"",pbp_On3B,"?*")*EM_AB))))</f>
        <v/>
      </c>
      <c r="AA154" s="62" t="str">
        <f>IF($B154="","",IF(OR(E154&lt;MinPA,T154=""),"",COUNTIFS($E$6:$E$255,"&gt;="&amp;MinPA,$T$6:$T$255,"&gt;"&amp;T154)+COUNTIFS($E$5:E153,"&gt;="&amp;MinPA,$T$5:T153,T154)+1))</f>
        <v/>
      </c>
    </row>
    <row r="155" spans="2:27" x14ac:dyDescent="0.2">
      <c r="B155" s="44" t="str">
        <f t="array" ref="B155">IFERROR(INDEX(pbp_Batter,MATCH(0,COUNTIF($B$5:B154,pbp_Batter)+(pbp_Batter=""),0)),"")</f>
        <v/>
      </c>
      <c r="C155" s="61" t="str">
        <f>IF($B155="","",IFERROR(INDEX(pbp_BatTeam,MATCH($B155,pbp_Batter,0)),""))</f>
        <v/>
      </c>
      <c r="D155" s="61" t="str">
        <f>IF($B155="","",IFERROR(INDEX(pbp_BatHand,MATCH($B155,pbp_Batter,0)),""))</f>
        <v/>
      </c>
      <c r="E155" s="42" t="str">
        <f>IF($B155="","",SUMPRODUCT(COUNTIFS(pbp_PlayType,EM_Type,pbp_Batter,$B155)*EM_PA))</f>
        <v/>
      </c>
      <c r="F155" s="42" t="str">
        <f>IF($B155="","",SUMPRODUCT(COUNTIFS(pbp_PlayType,EM_Type,pbp_Batter,$B155)*EM_AB))</f>
        <v/>
      </c>
      <c r="G155" s="42" t="str">
        <f>IF($B155="","",SUMPRODUCT(COUNTIFS(pbp_PlayType,EM_Type,pbp_Batter,$B155)*EM_H))</f>
        <v/>
      </c>
      <c r="H155" s="42" t="str">
        <f>IF($B155="","",SUMPRODUCT(COUNTIFS(pbp_PlayType,EM_Type,pbp_Batter,$B155)*EM_2B))</f>
        <v/>
      </c>
      <c r="I155" s="42" t="str">
        <f>IF($B155="","",SUMPRODUCT(COUNTIFS(pbp_PlayType,EM_Type,pbp_Batter,$B155)*EM_3B))</f>
        <v/>
      </c>
      <c r="J155" s="42" t="str">
        <f>IF($B155="","",SUMPRODUCT(COUNTIFS(pbp_PlayType,EM_Type,pbp_Batter,$B155)*EM_HR))</f>
        <v/>
      </c>
      <c r="K155" s="42" t="str">
        <f>IF($B155="","",SUMPRODUCT(COUNTIFS(pbp_PlayType,EM_Type,pbp_Batter,$B155)*EM_1B))</f>
        <v/>
      </c>
      <c r="L155" s="42" t="str">
        <f>IF($B155="","",SUMPRODUCT(COUNTIFS(pbp_PlayType,EM_Type,pbp_Batter,$B155)*EM_BB))</f>
        <v/>
      </c>
      <c r="M155" s="42" t="str">
        <f>IF($B155="","",SUMPRODUCT(COUNTIFS(pbp_PlayType,EM_Type,pbp_Batter,$B155)*EM_HBP))</f>
        <v/>
      </c>
      <c r="N155" s="42" t="str">
        <f>IF($B155="","",COUNTIFS(pbp_PlayType,"?*",pbp_Desc,"*struck out*",pbp_Batter,$B155))</f>
        <v/>
      </c>
      <c r="O155" s="42" t="str">
        <f>IF($B155="","",SUMPRODUCT(COUNTIFS(pbp_PlayType,EM_Type,pbp_Batter,$B155)*EM_SF))</f>
        <v/>
      </c>
      <c r="P155" s="42" t="str">
        <f>IF($B155="","",SUMIFS(pbp_Runs,pbp_Batter,$B155))</f>
        <v/>
      </c>
      <c r="Q155" s="58" t="str">
        <f t="shared" si="16"/>
        <v/>
      </c>
      <c r="R155" s="58" t="str">
        <f t="shared" si="17"/>
        <v/>
      </c>
      <c r="S155" s="58" t="str">
        <f t="shared" si="18"/>
        <v/>
      </c>
      <c r="T155" s="58" t="str">
        <f t="shared" si="19"/>
        <v/>
      </c>
      <c r="U155" s="58" t="str">
        <f t="shared" si="20"/>
        <v/>
      </c>
      <c r="V155" s="59" t="str">
        <f t="shared" si="21"/>
        <v/>
      </c>
      <c r="W155" s="59" t="str">
        <f t="shared" si="22"/>
        <v/>
      </c>
      <c r="X155" s="60" t="str">
        <f>IF($B155="","",IF((E155)=0,"",(SUMIFS(pbp_Pitches,pbp_Batter,$B155,pbp_PlayType,"?*"))/(E155)))</f>
        <v/>
      </c>
      <c r="Y155" s="42" t="str">
        <f t="shared" si="23"/>
        <v/>
      </c>
      <c r="Z155" s="58" t="str">
        <f>IF($B155="","",IF((SUMPRODUCT(COUNTIFS(pbp_PlayType,EM_Type,pbp_Batter,$B155,pbp_On2B,"?*")*EM_AB)+SUMPRODUCT(COUNTIFS(pbp_PlayType,EM_Type,pbp_Batter,$B155,pbp_On2B,"",pbp_On3B,"?*")*EM_AB))=0,"",(SUMPRODUCT(COUNTIFS(pbp_PlayType,EM_Type,pbp_Batter,$B155,pbp_On2B,"?*")*EM_H)+SUMPRODUCT(COUNTIFS(pbp_PlayType,EM_Type,pbp_Batter,$B155,pbp_On2B,"",pbp_On3B,"?*")*EM_H))/(SUMPRODUCT(COUNTIFS(pbp_PlayType,EM_Type,pbp_Batter,$B155,pbp_On2B,"?*")*EM_AB)+SUMPRODUCT(COUNTIFS(pbp_PlayType,EM_Type,pbp_Batter,$B155,pbp_On2B,"",pbp_On3B,"?*")*EM_AB))))</f>
        <v/>
      </c>
      <c r="AA155" s="62" t="str">
        <f>IF($B155="","",IF(OR(E155&lt;MinPA,T155=""),"",COUNTIFS($E$6:$E$255,"&gt;="&amp;MinPA,$T$6:$T$255,"&gt;"&amp;T155)+COUNTIFS($E$5:E154,"&gt;="&amp;MinPA,$T$5:T154,T155)+1))</f>
        <v/>
      </c>
    </row>
    <row r="156" spans="2:27" x14ac:dyDescent="0.2">
      <c r="B156" s="44" t="str">
        <f t="array" ref="B156">IFERROR(INDEX(pbp_Batter,MATCH(0,COUNTIF($B$5:B155,pbp_Batter)+(pbp_Batter=""),0)),"")</f>
        <v/>
      </c>
      <c r="C156" s="61" t="str">
        <f>IF($B156="","",IFERROR(INDEX(pbp_BatTeam,MATCH($B156,pbp_Batter,0)),""))</f>
        <v/>
      </c>
      <c r="D156" s="61" t="str">
        <f>IF($B156="","",IFERROR(INDEX(pbp_BatHand,MATCH($B156,pbp_Batter,0)),""))</f>
        <v/>
      </c>
      <c r="E156" s="42" t="str">
        <f>IF($B156="","",SUMPRODUCT(COUNTIFS(pbp_PlayType,EM_Type,pbp_Batter,$B156)*EM_PA))</f>
        <v/>
      </c>
      <c r="F156" s="42" t="str">
        <f>IF($B156="","",SUMPRODUCT(COUNTIFS(pbp_PlayType,EM_Type,pbp_Batter,$B156)*EM_AB))</f>
        <v/>
      </c>
      <c r="G156" s="42" t="str">
        <f>IF($B156="","",SUMPRODUCT(COUNTIFS(pbp_PlayType,EM_Type,pbp_Batter,$B156)*EM_H))</f>
        <v/>
      </c>
      <c r="H156" s="42" t="str">
        <f>IF($B156="","",SUMPRODUCT(COUNTIFS(pbp_PlayType,EM_Type,pbp_Batter,$B156)*EM_2B))</f>
        <v/>
      </c>
      <c r="I156" s="42" t="str">
        <f>IF($B156="","",SUMPRODUCT(COUNTIFS(pbp_PlayType,EM_Type,pbp_Batter,$B156)*EM_3B))</f>
        <v/>
      </c>
      <c r="J156" s="42" t="str">
        <f>IF($B156="","",SUMPRODUCT(COUNTIFS(pbp_PlayType,EM_Type,pbp_Batter,$B156)*EM_HR))</f>
        <v/>
      </c>
      <c r="K156" s="42" t="str">
        <f>IF($B156="","",SUMPRODUCT(COUNTIFS(pbp_PlayType,EM_Type,pbp_Batter,$B156)*EM_1B))</f>
        <v/>
      </c>
      <c r="L156" s="42" t="str">
        <f>IF($B156="","",SUMPRODUCT(COUNTIFS(pbp_PlayType,EM_Type,pbp_Batter,$B156)*EM_BB))</f>
        <v/>
      </c>
      <c r="M156" s="42" t="str">
        <f>IF($B156="","",SUMPRODUCT(COUNTIFS(pbp_PlayType,EM_Type,pbp_Batter,$B156)*EM_HBP))</f>
        <v/>
      </c>
      <c r="N156" s="42" t="str">
        <f>IF($B156="","",COUNTIFS(pbp_PlayType,"?*",pbp_Desc,"*struck out*",pbp_Batter,$B156))</f>
        <v/>
      </c>
      <c r="O156" s="42" t="str">
        <f>IF($B156="","",SUMPRODUCT(COUNTIFS(pbp_PlayType,EM_Type,pbp_Batter,$B156)*EM_SF))</f>
        <v/>
      </c>
      <c r="P156" s="42" t="str">
        <f>IF($B156="","",SUMIFS(pbp_Runs,pbp_Batter,$B156))</f>
        <v/>
      </c>
      <c r="Q156" s="58" t="str">
        <f t="shared" si="16"/>
        <v/>
      </c>
      <c r="R156" s="58" t="str">
        <f t="shared" si="17"/>
        <v/>
      </c>
      <c r="S156" s="58" t="str">
        <f t="shared" si="18"/>
        <v/>
      </c>
      <c r="T156" s="58" t="str">
        <f t="shared" si="19"/>
        <v/>
      </c>
      <c r="U156" s="58" t="str">
        <f t="shared" si="20"/>
        <v/>
      </c>
      <c r="V156" s="59" t="str">
        <f t="shared" si="21"/>
        <v/>
      </c>
      <c r="W156" s="59" t="str">
        <f t="shared" si="22"/>
        <v/>
      </c>
      <c r="X156" s="60" t="str">
        <f>IF($B156="","",IF((E156)=0,"",(SUMIFS(pbp_Pitches,pbp_Batter,$B156,pbp_PlayType,"?*"))/(E156)))</f>
        <v/>
      </c>
      <c r="Y156" s="42" t="str">
        <f t="shared" si="23"/>
        <v/>
      </c>
      <c r="Z156" s="58" t="str">
        <f>IF($B156="","",IF((SUMPRODUCT(COUNTIFS(pbp_PlayType,EM_Type,pbp_Batter,$B156,pbp_On2B,"?*")*EM_AB)+SUMPRODUCT(COUNTIFS(pbp_PlayType,EM_Type,pbp_Batter,$B156,pbp_On2B,"",pbp_On3B,"?*")*EM_AB))=0,"",(SUMPRODUCT(COUNTIFS(pbp_PlayType,EM_Type,pbp_Batter,$B156,pbp_On2B,"?*")*EM_H)+SUMPRODUCT(COUNTIFS(pbp_PlayType,EM_Type,pbp_Batter,$B156,pbp_On2B,"",pbp_On3B,"?*")*EM_H))/(SUMPRODUCT(COUNTIFS(pbp_PlayType,EM_Type,pbp_Batter,$B156,pbp_On2B,"?*")*EM_AB)+SUMPRODUCT(COUNTIFS(pbp_PlayType,EM_Type,pbp_Batter,$B156,pbp_On2B,"",pbp_On3B,"?*")*EM_AB))))</f>
        <v/>
      </c>
      <c r="AA156" s="62" t="str">
        <f>IF($B156="","",IF(OR(E156&lt;MinPA,T156=""),"",COUNTIFS($E$6:$E$255,"&gt;="&amp;MinPA,$T$6:$T$255,"&gt;"&amp;T156)+COUNTIFS($E$5:E155,"&gt;="&amp;MinPA,$T$5:T155,T156)+1))</f>
        <v/>
      </c>
    </row>
    <row r="157" spans="2:27" x14ac:dyDescent="0.2">
      <c r="B157" s="44" t="str">
        <f t="array" ref="B157">IFERROR(INDEX(pbp_Batter,MATCH(0,COUNTIF($B$5:B156,pbp_Batter)+(pbp_Batter=""),0)),"")</f>
        <v/>
      </c>
      <c r="C157" s="61" t="str">
        <f>IF($B157="","",IFERROR(INDEX(pbp_BatTeam,MATCH($B157,pbp_Batter,0)),""))</f>
        <v/>
      </c>
      <c r="D157" s="61" t="str">
        <f>IF($B157="","",IFERROR(INDEX(pbp_BatHand,MATCH($B157,pbp_Batter,0)),""))</f>
        <v/>
      </c>
      <c r="E157" s="42" t="str">
        <f>IF($B157="","",SUMPRODUCT(COUNTIFS(pbp_PlayType,EM_Type,pbp_Batter,$B157)*EM_PA))</f>
        <v/>
      </c>
      <c r="F157" s="42" t="str">
        <f>IF($B157="","",SUMPRODUCT(COUNTIFS(pbp_PlayType,EM_Type,pbp_Batter,$B157)*EM_AB))</f>
        <v/>
      </c>
      <c r="G157" s="42" t="str">
        <f>IF($B157="","",SUMPRODUCT(COUNTIFS(pbp_PlayType,EM_Type,pbp_Batter,$B157)*EM_H))</f>
        <v/>
      </c>
      <c r="H157" s="42" t="str">
        <f>IF($B157="","",SUMPRODUCT(COUNTIFS(pbp_PlayType,EM_Type,pbp_Batter,$B157)*EM_2B))</f>
        <v/>
      </c>
      <c r="I157" s="42" t="str">
        <f>IF($B157="","",SUMPRODUCT(COUNTIFS(pbp_PlayType,EM_Type,pbp_Batter,$B157)*EM_3B))</f>
        <v/>
      </c>
      <c r="J157" s="42" t="str">
        <f>IF($B157="","",SUMPRODUCT(COUNTIFS(pbp_PlayType,EM_Type,pbp_Batter,$B157)*EM_HR))</f>
        <v/>
      </c>
      <c r="K157" s="42" t="str">
        <f>IF($B157="","",SUMPRODUCT(COUNTIFS(pbp_PlayType,EM_Type,pbp_Batter,$B157)*EM_1B))</f>
        <v/>
      </c>
      <c r="L157" s="42" t="str">
        <f>IF($B157="","",SUMPRODUCT(COUNTIFS(pbp_PlayType,EM_Type,pbp_Batter,$B157)*EM_BB))</f>
        <v/>
      </c>
      <c r="M157" s="42" t="str">
        <f>IF($B157="","",SUMPRODUCT(COUNTIFS(pbp_PlayType,EM_Type,pbp_Batter,$B157)*EM_HBP))</f>
        <v/>
      </c>
      <c r="N157" s="42" t="str">
        <f>IF($B157="","",COUNTIFS(pbp_PlayType,"?*",pbp_Desc,"*struck out*",pbp_Batter,$B157))</f>
        <v/>
      </c>
      <c r="O157" s="42" t="str">
        <f>IF($B157="","",SUMPRODUCT(COUNTIFS(pbp_PlayType,EM_Type,pbp_Batter,$B157)*EM_SF))</f>
        <v/>
      </c>
      <c r="P157" s="42" t="str">
        <f>IF($B157="","",SUMIFS(pbp_Runs,pbp_Batter,$B157))</f>
        <v/>
      </c>
      <c r="Q157" s="58" t="str">
        <f t="shared" si="16"/>
        <v/>
      </c>
      <c r="R157" s="58" t="str">
        <f t="shared" si="17"/>
        <v/>
      </c>
      <c r="S157" s="58" t="str">
        <f t="shared" si="18"/>
        <v/>
      </c>
      <c r="T157" s="58" t="str">
        <f t="shared" si="19"/>
        <v/>
      </c>
      <c r="U157" s="58" t="str">
        <f t="shared" si="20"/>
        <v/>
      </c>
      <c r="V157" s="59" t="str">
        <f t="shared" si="21"/>
        <v/>
      </c>
      <c r="W157" s="59" t="str">
        <f t="shared" si="22"/>
        <v/>
      </c>
      <c r="X157" s="60" t="str">
        <f>IF($B157="","",IF((E157)=0,"",(SUMIFS(pbp_Pitches,pbp_Batter,$B157,pbp_PlayType,"?*"))/(E157)))</f>
        <v/>
      </c>
      <c r="Y157" s="42" t="str">
        <f t="shared" si="23"/>
        <v/>
      </c>
      <c r="Z157" s="58" t="str">
        <f>IF($B157="","",IF((SUMPRODUCT(COUNTIFS(pbp_PlayType,EM_Type,pbp_Batter,$B157,pbp_On2B,"?*")*EM_AB)+SUMPRODUCT(COUNTIFS(pbp_PlayType,EM_Type,pbp_Batter,$B157,pbp_On2B,"",pbp_On3B,"?*")*EM_AB))=0,"",(SUMPRODUCT(COUNTIFS(pbp_PlayType,EM_Type,pbp_Batter,$B157,pbp_On2B,"?*")*EM_H)+SUMPRODUCT(COUNTIFS(pbp_PlayType,EM_Type,pbp_Batter,$B157,pbp_On2B,"",pbp_On3B,"?*")*EM_H))/(SUMPRODUCT(COUNTIFS(pbp_PlayType,EM_Type,pbp_Batter,$B157,pbp_On2B,"?*")*EM_AB)+SUMPRODUCT(COUNTIFS(pbp_PlayType,EM_Type,pbp_Batter,$B157,pbp_On2B,"",pbp_On3B,"?*")*EM_AB))))</f>
        <v/>
      </c>
      <c r="AA157" s="62" t="str">
        <f>IF($B157="","",IF(OR(E157&lt;MinPA,T157=""),"",COUNTIFS($E$6:$E$255,"&gt;="&amp;MinPA,$T$6:$T$255,"&gt;"&amp;T157)+COUNTIFS($E$5:E156,"&gt;="&amp;MinPA,$T$5:T156,T157)+1))</f>
        <v/>
      </c>
    </row>
    <row r="158" spans="2:27" x14ac:dyDescent="0.2">
      <c r="B158" s="44" t="str">
        <f t="array" ref="B158">IFERROR(INDEX(pbp_Batter,MATCH(0,COUNTIF($B$5:B157,pbp_Batter)+(pbp_Batter=""),0)),"")</f>
        <v/>
      </c>
      <c r="C158" s="61" t="str">
        <f>IF($B158="","",IFERROR(INDEX(pbp_BatTeam,MATCH($B158,pbp_Batter,0)),""))</f>
        <v/>
      </c>
      <c r="D158" s="61" t="str">
        <f>IF($B158="","",IFERROR(INDEX(pbp_BatHand,MATCH($B158,pbp_Batter,0)),""))</f>
        <v/>
      </c>
      <c r="E158" s="42" t="str">
        <f>IF($B158="","",SUMPRODUCT(COUNTIFS(pbp_PlayType,EM_Type,pbp_Batter,$B158)*EM_PA))</f>
        <v/>
      </c>
      <c r="F158" s="42" t="str">
        <f>IF($B158="","",SUMPRODUCT(COUNTIFS(pbp_PlayType,EM_Type,pbp_Batter,$B158)*EM_AB))</f>
        <v/>
      </c>
      <c r="G158" s="42" t="str">
        <f>IF($B158="","",SUMPRODUCT(COUNTIFS(pbp_PlayType,EM_Type,pbp_Batter,$B158)*EM_H))</f>
        <v/>
      </c>
      <c r="H158" s="42" t="str">
        <f>IF($B158="","",SUMPRODUCT(COUNTIFS(pbp_PlayType,EM_Type,pbp_Batter,$B158)*EM_2B))</f>
        <v/>
      </c>
      <c r="I158" s="42" t="str">
        <f>IF($B158="","",SUMPRODUCT(COUNTIFS(pbp_PlayType,EM_Type,pbp_Batter,$B158)*EM_3B))</f>
        <v/>
      </c>
      <c r="J158" s="42" t="str">
        <f>IF($B158="","",SUMPRODUCT(COUNTIFS(pbp_PlayType,EM_Type,pbp_Batter,$B158)*EM_HR))</f>
        <v/>
      </c>
      <c r="K158" s="42" t="str">
        <f>IF($B158="","",SUMPRODUCT(COUNTIFS(pbp_PlayType,EM_Type,pbp_Batter,$B158)*EM_1B))</f>
        <v/>
      </c>
      <c r="L158" s="42" t="str">
        <f>IF($B158="","",SUMPRODUCT(COUNTIFS(pbp_PlayType,EM_Type,pbp_Batter,$B158)*EM_BB))</f>
        <v/>
      </c>
      <c r="M158" s="42" t="str">
        <f>IF($B158="","",SUMPRODUCT(COUNTIFS(pbp_PlayType,EM_Type,pbp_Batter,$B158)*EM_HBP))</f>
        <v/>
      </c>
      <c r="N158" s="42" t="str">
        <f>IF($B158="","",COUNTIFS(pbp_PlayType,"?*",pbp_Desc,"*struck out*",pbp_Batter,$B158))</f>
        <v/>
      </c>
      <c r="O158" s="42" t="str">
        <f>IF($B158="","",SUMPRODUCT(COUNTIFS(pbp_PlayType,EM_Type,pbp_Batter,$B158)*EM_SF))</f>
        <v/>
      </c>
      <c r="P158" s="42" t="str">
        <f>IF($B158="","",SUMIFS(pbp_Runs,pbp_Batter,$B158))</f>
        <v/>
      </c>
      <c r="Q158" s="58" t="str">
        <f t="shared" si="16"/>
        <v/>
      </c>
      <c r="R158" s="58" t="str">
        <f t="shared" si="17"/>
        <v/>
      </c>
      <c r="S158" s="58" t="str">
        <f t="shared" si="18"/>
        <v/>
      </c>
      <c r="T158" s="58" t="str">
        <f t="shared" si="19"/>
        <v/>
      </c>
      <c r="U158" s="58" t="str">
        <f t="shared" si="20"/>
        <v/>
      </c>
      <c r="V158" s="59" t="str">
        <f t="shared" si="21"/>
        <v/>
      </c>
      <c r="W158" s="59" t="str">
        <f t="shared" si="22"/>
        <v/>
      </c>
      <c r="X158" s="60" t="str">
        <f>IF($B158="","",IF((E158)=0,"",(SUMIFS(pbp_Pitches,pbp_Batter,$B158,pbp_PlayType,"?*"))/(E158)))</f>
        <v/>
      </c>
      <c r="Y158" s="42" t="str">
        <f t="shared" si="23"/>
        <v/>
      </c>
      <c r="Z158" s="58" t="str">
        <f>IF($B158="","",IF((SUMPRODUCT(COUNTIFS(pbp_PlayType,EM_Type,pbp_Batter,$B158,pbp_On2B,"?*")*EM_AB)+SUMPRODUCT(COUNTIFS(pbp_PlayType,EM_Type,pbp_Batter,$B158,pbp_On2B,"",pbp_On3B,"?*")*EM_AB))=0,"",(SUMPRODUCT(COUNTIFS(pbp_PlayType,EM_Type,pbp_Batter,$B158,pbp_On2B,"?*")*EM_H)+SUMPRODUCT(COUNTIFS(pbp_PlayType,EM_Type,pbp_Batter,$B158,pbp_On2B,"",pbp_On3B,"?*")*EM_H))/(SUMPRODUCT(COUNTIFS(pbp_PlayType,EM_Type,pbp_Batter,$B158,pbp_On2B,"?*")*EM_AB)+SUMPRODUCT(COUNTIFS(pbp_PlayType,EM_Type,pbp_Batter,$B158,pbp_On2B,"",pbp_On3B,"?*")*EM_AB))))</f>
        <v/>
      </c>
      <c r="AA158" s="62" t="str">
        <f>IF($B158="","",IF(OR(E158&lt;MinPA,T158=""),"",COUNTIFS($E$6:$E$255,"&gt;="&amp;MinPA,$T$6:$T$255,"&gt;"&amp;T158)+COUNTIFS($E$5:E157,"&gt;="&amp;MinPA,$T$5:T157,T158)+1))</f>
        <v/>
      </c>
    </row>
    <row r="159" spans="2:27" x14ac:dyDescent="0.2">
      <c r="B159" s="44" t="str">
        <f t="array" ref="B159">IFERROR(INDEX(pbp_Batter,MATCH(0,COUNTIF($B$5:B158,pbp_Batter)+(pbp_Batter=""),0)),"")</f>
        <v/>
      </c>
      <c r="C159" s="61" t="str">
        <f>IF($B159="","",IFERROR(INDEX(pbp_BatTeam,MATCH($B159,pbp_Batter,0)),""))</f>
        <v/>
      </c>
      <c r="D159" s="61" t="str">
        <f>IF($B159="","",IFERROR(INDEX(pbp_BatHand,MATCH($B159,pbp_Batter,0)),""))</f>
        <v/>
      </c>
      <c r="E159" s="42" t="str">
        <f>IF($B159="","",SUMPRODUCT(COUNTIFS(pbp_PlayType,EM_Type,pbp_Batter,$B159)*EM_PA))</f>
        <v/>
      </c>
      <c r="F159" s="42" t="str">
        <f>IF($B159="","",SUMPRODUCT(COUNTIFS(pbp_PlayType,EM_Type,pbp_Batter,$B159)*EM_AB))</f>
        <v/>
      </c>
      <c r="G159" s="42" t="str">
        <f>IF($B159="","",SUMPRODUCT(COUNTIFS(pbp_PlayType,EM_Type,pbp_Batter,$B159)*EM_H))</f>
        <v/>
      </c>
      <c r="H159" s="42" t="str">
        <f>IF($B159="","",SUMPRODUCT(COUNTIFS(pbp_PlayType,EM_Type,pbp_Batter,$B159)*EM_2B))</f>
        <v/>
      </c>
      <c r="I159" s="42" t="str">
        <f>IF($B159="","",SUMPRODUCT(COUNTIFS(pbp_PlayType,EM_Type,pbp_Batter,$B159)*EM_3B))</f>
        <v/>
      </c>
      <c r="J159" s="42" t="str">
        <f>IF($B159="","",SUMPRODUCT(COUNTIFS(pbp_PlayType,EM_Type,pbp_Batter,$B159)*EM_HR))</f>
        <v/>
      </c>
      <c r="K159" s="42" t="str">
        <f>IF($B159="","",SUMPRODUCT(COUNTIFS(pbp_PlayType,EM_Type,pbp_Batter,$B159)*EM_1B))</f>
        <v/>
      </c>
      <c r="L159" s="42" t="str">
        <f>IF($B159="","",SUMPRODUCT(COUNTIFS(pbp_PlayType,EM_Type,pbp_Batter,$B159)*EM_BB))</f>
        <v/>
      </c>
      <c r="M159" s="42" t="str">
        <f>IF($B159="","",SUMPRODUCT(COUNTIFS(pbp_PlayType,EM_Type,pbp_Batter,$B159)*EM_HBP))</f>
        <v/>
      </c>
      <c r="N159" s="42" t="str">
        <f>IF($B159="","",COUNTIFS(pbp_PlayType,"?*",pbp_Desc,"*struck out*",pbp_Batter,$B159))</f>
        <v/>
      </c>
      <c r="O159" s="42" t="str">
        <f>IF($B159="","",SUMPRODUCT(COUNTIFS(pbp_PlayType,EM_Type,pbp_Batter,$B159)*EM_SF))</f>
        <v/>
      </c>
      <c r="P159" s="42" t="str">
        <f>IF($B159="","",SUMIFS(pbp_Runs,pbp_Batter,$B159))</f>
        <v/>
      </c>
      <c r="Q159" s="58" t="str">
        <f t="shared" si="16"/>
        <v/>
      </c>
      <c r="R159" s="58" t="str">
        <f t="shared" si="17"/>
        <v/>
      </c>
      <c r="S159" s="58" t="str">
        <f t="shared" si="18"/>
        <v/>
      </c>
      <c r="T159" s="58" t="str">
        <f t="shared" si="19"/>
        <v/>
      </c>
      <c r="U159" s="58" t="str">
        <f t="shared" si="20"/>
        <v/>
      </c>
      <c r="V159" s="59" t="str">
        <f t="shared" si="21"/>
        <v/>
      </c>
      <c r="W159" s="59" t="str">
        <f t="shared" si="22"/>
        <v/>
      </c>
      <c r="X159" s="60" t="str">
        <f>IF($B159="","",IF((E159)=0,"",(SUMIFS(pbp_Pitches,pbp_Batter,$B159,pbp_PlayType,"?*"))/(E159)))</f>
        <v/>
      </c>
      <c r="Y159" s="42" t="str">
        <f t="shared" si="23"/>
        <v/>
      </c>
      <c r="Z159" s="58" t="str">
        <f>IF($B159="","",IF((SUMPRODUCT(COUNTIFS(pbp_PlayType,EM_Type,pbp_Batter,$B159,pbp_On2B,"?*")*EM_AB)+SUMPRODUCT(COUNTIFS(pbp_PlayType,EM_Type,pbp_Batter,$B159,pbp_On2B,"",pbp_On3B,"?*")*EM_AB))=0,"",(SUMPRODUCT(COUNTIFS(pbp_PlayType,EM_Type,pbp_Batter,$B159,pbp_On2B,"?*")*EM_H)+SUMPRODUCT(COUNTIFS(pbp_PlayType,EM_Type,pbp_Batter,$B159,pbp_On2B,"",pbp_On3B,"?*")*EM_H))/(SUMPRODUCT(COUNTIFS(pbp_PlayType,EM_Type,pbp_Batter,$B159,pbp_On2B,"?*")*EM_AB)+SUMPRODUCT(COUNTIFS(pbp_PlayType,EM_Type,pbp_Batter,$B159,pbp_On2B,"",pbp_On3B,"?*")*EM_AB))))</f>
        <v/>
      </c>
      <c r="AA159" s="62" t="str">
        <f>IF($B159="","",IF(OR(E159&lt;MinPA,T159=""),"",COUNTIFS($E$6:$E$255,"&gt;="&amp;MinPA,$T$6:$T$255,"&gt;"&amp;T159)+COUNTIFS($E$5:E158,"&gt;="&amp;MinPA,$T$5:T158,T159)+1))</f>
        <v/>
      </c>
    </row>
    <row r="160" spans="2:27" x14ac:dyDescent="0.2">
      <c r="B160" s="44" t="str">
        <f t="array" ref="B160">IFERROR(INDEX(pbp_Batter,MATCH(0,COUNTIF($B$5:B159,pbp_Batter)+(pbp_Batter=""),0)),"")</f>
        <v/>
      </c>
      <c r="C160" s="61" t="str">
        <f>IF($B160="","",IFERROR(INDEX(pbp_BatTeam,MATCH($B160,pbp_Batter,0)),""))</f>
        <v/>
      </c>
      <c r="D160" s="61" t="str">
        <f>IF($B160="","",IFERROR(INDEX(pbp_BatHand,MATCH($B160,pbp_Batter,0)),""))</f>
        <v/>
      </c>
      <c r="E160" s="42" t="str">
        <f>IF($B160="","",SUMPRODUCT(COUNTIFS(pbp_PlayType,EM_Type,pbp_Batter,$B160)*EM_PA))</f>
        <v/>
      </c>
      <c r="F160" s="42" t="str">
        <f>IF($B160="","",SUMPRODUCT(COUNTIFS(pbp_PlayType,EM_Type,pbp_Batter,$B160)*EM_AB))</f>
        <v/>
      </c>
      <c r="G160" s="42" t="str">
        <f>IF($B160="","",SUMPRODUCT(COUNTIFS(pbp_PlayType,EM_Type,pbp_Batter,$B160)*EM_H))</f>
        <v/>
      </c>
      <c r="H160" s="42" t="str">
        <f>IF($B160="","",SUMPRODUCT(COUNTIFS(pbp_PlayType,EM_Type,pbp_Batter,$B160)*EM_2B))</f>
        <v/>
      </c>
      <c r="I160" s="42" t="str">
        <f>IF($B160="","",SUMPRODUCT(COUNTIFS(pbp_PlayType,EM_Type,pbp_Batter,$B160)*EM_3B))</f>
        <v/>
      </c>
      <c r="J160" s="42" t="str">
        <f>IF($B160="","",SUMPRODUCT(COUNTIFS(pbp_PlayType,EM_Type,pbp_Batter,$B160)*EM_HR))</f>
        <v/>
      </c>
      <c r="K160" s="42" t="str">
        <f>IF($B160="","",SUMPRODUCT(COUNTIFS(pbp_PlayType,EM_Type,pbp_Batter,$B160)*EM_1B))</f>
        <v/>
      </c>
      <c r="L160" s="42" t="str">
        <f>IF($B160="","",SUMPRODUCT(COUNTIFS(pbp_PlayType,EM_Type,pbp_Batter,$B160)*EM_BB))</f>
        <v/>
      </c>
      <c r="M160" s="42" t="str">
        <f>IF($B160="","",SUMPRODUCT(COUNTIFS(pbp_PlayType,EM_Type,pbp_Batter,$B160)*EM_HBP))</f>
        <v/>
      </c>
      <c r="N160" s="42" t="str">
        <f>IF($B160="","",COUNTIFS(pbp_PlayType,"?*",pbp_Desc,"*struck out*",pbp_Batter,$B160))</f>
        <v/>
      </c>
      <c r="O160" s="42" t="str">
        <f>IF($B160="","",SUMPRODUCT(COUNTIFS(pbp_PlayType,EM_Type,pbp_Batter,$B160)*EM_SF))</f>
        <v/>
      </c>
      <c r="P160" s="42" t="str">
        <f>IF($B160="","",SUMIFS(pbp_Runs,pbp_Batter,$B160))</f>
        <v/>
      </c>
      <c r="Q160" s="58" t="str">
        <f t="shared" si="16"/>
        <v/>
      </c>
      <c r="R160" s="58" t="str">
        <f t="shared" si="17"/>
        <v/>
      </c>
      <c r="S160" s="58" t="str">
        <f t="shared" si="18"/>
        <v/>
      </c>
      <c r="T160" s="58" t="str">
        <f t="shared" si="19"/>
        <v/>
      </c>
      <c r="U160" s="58" t="str">
        <f t="shared" si="20"/>
        <v/>
      </c>
      <c r="V160" s="59" t="str">
        <f t="shared" si="21"/>
        <v/>
      </c>
      <c r="W160" s="59" t="str">
        <f t="shared" si="22"/>
        <v/>
      </c>
      <c r="X160" s="60" t="str">
        <f>IF($B160="","",IF((E160)=0,"",(SUMIFS(pbp_Pitches,pbp_Batter,$B160,pbp_PlayType,"?*"))/(E160)))</f>
        <v/>
      </c>
      <c r="Y160" s="42" t="str">
        <f t="shared" si="23"/>
        <v/>
      </c>
      <c r="Z160" s="58" t="str">
        <f>IF($B160="","",IF((SUMPRODUCT(COUNTIFS(pbp_PlayType,EM_Type,pbp_Batter,$B160,pbp_On2B,"?*")*EM_AB)+SUMPRODUCT(COUNTIFS(pbp_PlayType,EM_Type,pbp_Batter,$B160,pbp_On2B,"",pbp_On3B,"?*")*EM_AB))=0,"",(SUMPRODUCT(COUNTIFS(pbp_PlayType,EM_Type,pbp_Batter,$B160,pbp_On2B,"?*")*EM_H)+SUMPRODUCT(COUNTIFS(pbp_PlayType,EM_Type,pbp_Batter,$B160,pbp_On2B,"",pbp_On3B,"?*")*EM_H))/(SUMPRODUCT(COUNTIFS(pbp_PlayType,EM_Type,pbp_Batter,$B160,pbp_On2B,"?*")*EM_AB)+SUMPRODUCT(COUNTIFS(pbp_PlayType,EM_Type,pbp_Batter,$B160,pbp_On2B,"",pbp_On3B,"?*")*EM_AB))))</f>
        <v/>
      </c>
      <c r="AA160" s="62" t="str">
        <f>IF($B160="","",IF(OR(E160&lt;MinPA,T160=""),"",COUNTIFS($E$6:$E$255,"&gt;="&amp;MinPA,$T$6:$T$255,"&gt;"&amp;T160)+COUNTIFS($E$5:E159,"&gt;="&amp;MinPA,$T$5:T159,T160)+1))</f>
        <v/>
      </c>
    </row>
    <row r="161" spans="2:27" x14ac:dyDescent="0.2">
      <c r="B161" s="44" t="str">
        <f t="array" ref="B161">IFERROR(INDEX(pbp_Batter,MATCH(0,COUNTIF($B$5:B160,pbp_Batter)+(pbp_Batter=""),0)),"")</f>
        <v/>
      </c>
      <c r="C161" s="61" t="str">
        <f>IF($B161="","",IFERROR(INDEX(pbp_BatTeam,MATCH($B161,pbp_Batter,0)),""))</f>
        <v/>
      </c>
      <c r="D161" s="61" t="str">
        <f>IF($B161="","",IFERROR(INDEX(pbp_BatHand,MATCH($B161,pbp_Batter,0)),""))</f>
        <v/>
      </c>
      <c r="E161" s="42" t="str">
        <f>IF($B161="","",SUMPRODUCT(COUNTIFS(pbp_PlayType,EM_Type,pbp_Batter,$B161)*EM_PA))</f>
        <v/>
      </c>
      <c r="F161" s="42" t="str">
        <f>IF($B161="","",SUMPRODUCT(COUNTIFS(pbp_PlayType,EM_Type,pbp_Batter,$B161)*EM_AB))</f>
        <v/>
      </c>
      <c r="G161" s="42" t="str">
        <f>IF($B161="","",SUMPRODUCT(COUNTIFS(pbp_PlayType,EM_Type,pbp_Batter,$B161)*EM_H))</f>
        <v/>
      </c>
      <c r="H161" s="42" t="str">
        <f>IF($B161="","",SUMPRODUCT(COUNTIFS(pbp_PlayType,EM_Type,pbp_Batter,$B161)*EM_2B))</f>
        <v/>
      </c>
      <c r="I161" s="42" t="str">
        <f>IF($B161="","",SUMPRODUCT(COUNTIFS(pbp_PlayType,EM_Type,pbp_Batter,$B161)*EM_3B))</f>
        <v/>
      </c>
      <c r="J161" s="42" t="str">
        <f>IF($B161="","",SUMPRODUCT(COUNTIFS(pbp_PlayType,EM_Type,pbp_Batter,$B161)*EM_HR))</f>
        <v/>
      </c>
      <c r="K161" s="42" t="str">
        <f>IF($B161="","",SUMPRODUCT(COUNTIFS(pbp_PlayType,EM_Type,pbp_Batter,$B161)*EM_1B))</f>
        <v/>
      </c>
      <c r="L161" s="42" t="str">
        <f>IF($B161="","",SUMPRODUCT(COUNTIFS(pbp_PlayType,EM_Type,pbp_Batter,$B161)*EM_BB))</f>
        <v/>
      </c>
      <c r="M161" s="42" t="str">
        <f>IF($B161="","",SUMPRODUCT(COUNTIFS(pbp_PlayType,EM_Type,pbp_Batter,$B161)*EM_HBP))</f>
        <v/>
      </c>
      <c r="N161" s="42" t="str">
        <f>IF($B161="","",COUNTIFS(pbp_PlayType,"?*",pbp_Desc,"*struck out*",pbp_Batter,$B161))</f>
        <v/>
      </c>
      <c r="O161" s="42" t="str">
        <f>IF($B161="","",SUMPRODUCT(COUNTIFS(pbp_PlayType,EM_Type,pbp_Batter,$B161)*EM_SF))</f>
        <v/>
      </c>
      <c r="P161" s="42" t="str">
        <f>IF($B161="","",SUMIFS(pbp_Runs,pbp_Batter,$B161))</f>
        <v/>
      </c>
      <c r="Q161" s="58" t="str">
        <f t="shared" si="16"/>
        <v/>
      </c>
      <c r="R161" s="58" t="str">
        <f t="shared" si="17"/>
        <v/>
      </c>
      <c r="S161" s="58" t="str">
        <f t="shared" si="18"/>
        <v/>
      </c>
      <c r="T161" s="58" t="str">
        <f t="shared" si="19"/>
        <v/>
      </c>
      <c r="U161" s="58" t="str">
        <f t="shared" si="20"/>
        <v/>
      </c>
      <c r="V161" s="59" t="str">
        <f t="shared" si="21"/>
        <v/>
      </c>
      <c r="W161" s="59" t="str">
        <f t="shared" si="22"/>
        <v/>
      </c>
      <c r="X161" s="60" t="str">
        <f>IF($B161="","",IF((E161)=0,"",(SUMIFS(pbp_Pitches,pbp_Batter,$B161,pbp_PlayType,"?*"))/(E161)))</f>
        <v/>
      </c>
      <c r="Y161" s="42" t="str">
        <f t="shared" si="23"/>
        <v/>
      </c>
      <c r="Z161" s="58" t="str">
        <f>IF($B161="","",IF((SUMPRODUCT(COUNTIFS(pbp_PlayType,EM_Type,pbp_Batter,$B161,pbp_On2B,"?*")*EM_AB)+SUMPRODUCT(COUNTIFS(pbp_PlayType,EM_Type,pbp_Batter,$B161,pbp_On2B,"",pbp_On3B,"?*")*EM_AB))=0,"",(SUMPRODUCT(COUNTIFS(pbp_PlayType,EM_Type,pbp_Batter,$B161,pbp_On2B,"?*")*EM_H)+SUMPRODUCT(COUNTIFS(pbp_PlayType,EM_Type,pbp_Batter,$B161,pbp_On2B,"",pbp_On3B,"?*")*EM_H))/(SUMPRODUCT(COUNTIFS(pbp_PlayType,EM_Type,pbp_Batter,$B161,pbp_On2B,"?*")*EM_AB)+SUMPRODUCT(COUNTIFS(pbp_PlayType,EM_Type,pbp_Batter,$B161,pbp_On2B,"",pbp_On3B,"?*")*EM_AB))))</f>
        <v/>
      </c>
      <c r="AA161" s="62" t="str">
        <f>IF($B161="","",IF(OR(E161&lt;MinPA,T161=""),"",COUNTIFS($E$6:$E$255,"&gt;="&amp;MinPA,$T$6:$T$255,"&gt;"&amp;T161)+COUNTIFS($E$5:E160,"&gt;="&amp;MinPA,$T$5:T160,T161)+1))</f>
        <v/>
      </c>
    </row>
    <row r="162" spans="2:27" x14ac:dyDescent="0.2">
      <c r="B162" s="44" t="str">
        <f t="array" ref="B162">IFERROR(INDEX(pbp_Batter,MATCH(0,COUNTIF($B$5:B161,pbp_Batter)+(pbp_Batter=""),0)),"")</f>
        <v/>
      </c>
      <c r="C162" s="61" t="str">
        <f>IF($B162="","",IFERROR(INDEX(pbp_BatTeam,MATCH($B162,pbp_Batter,0)),""))</f>
        <v/>
      </c>
      <c r="D162" s="61" t="str">
        <f>IF($B162="","",IFERROR(INDEX(pbp_BatHand,MATCH($B162,pbp_Batter,0)),""))</f>
        <v/>
      </c>
      <c r="E162" s="42" t="str">
        <f>IF($B162="","",SUMPRODUCT(COUNTIFS(pbp_PlayType,EM_Type,pbp_Batter,$B162)*EM_PA))</f>
        <v/>
      </c>
      <c r="F162" s="42" t="str">
        <f>IF($B162="","",SUMPRODUCT(COUNTIFS(pbp_PlayType,EM_Type,pbp_Batter,$B162)*EM_AB))</f>
        <v/>
      </c>
      <c r="G162" s="42" t="str">
        <f>IF($B162="","",SUMPRODUCT(COUNTIFS(pbp_PlayType,EM_Type,pbp_Batter,$B162)*EM_H))</f>
        <v/>
      </c>
      <c r="H162" s="42" t="str">
        <f>IF($B162="","",SUMPRODUCT(COUNTIFS(pbp_PlayType,EM_Type,pbp_Batter,$B162)*EM_2B))</f>
        <v/>
      </c>
      <c r="I162" s="42" t="str">
        <f>IF($B162="","",SUMPRODUCT(COUNTIFS(pbp_PlayType,EM_Type,pbp_Batter,$B162)*EM_3B))</f>
        <v/>
      </c>
      <c r="J162" s="42" t="str">
        <f>IF($B162="","",SUMPRODUCT(COUNTIFS(pbp_PlayType,EM_Type,pbp_Batter,$B162)*EM_HR))</f>
        <v/>
      </c>
      <c r="K162" s="42" t="str">
        <f>IF($B162="","",SUMPRODUCT(COUNTIFS(pbp_PlayType,EM_Type,pbp_Batter,$B162)*EM_1B))</f>
        <v/>
      </c>
      <c r="L162" s="42" t="str">
        <f>IF($B162="","",SUMPRODUCT(COUNTIFS(pbp_PlayType,EM_Type,pbp_Batter,$B162)*EM_BB))</f>
        <v/>
      </c>
      <c r="M162" s="42" t="str">
        <f>IF($B162="","",SUMPRODUCT(COUNTIFS(pbp_PlayType,EM_Type,pbp_Batter,$B162)*EM_HBP))</f>
        <v/>
      </c>
      <c r="N162" s="42" t="str">
        <f>IF($B162="","",COUNTIFS(pbp_PlayType,"?*",pbp_Desc,"*struck out*",pbp_Batter,$B162))</f>
        <v/>
      </c>
      <c r="O162" s="42" t="str">
        <f>IF($B162="","",SUMPRODUCT(COUNTIFS(pbp_PlayType,EM_Type,pbp_Batter,$B162)*EM_SF))</f>
        <v/>
      </c>
      <c r="P162" s="42" t="str">
        <f>IF($B162="","",SUMIFS(pbp_Runs,pbp_Batter,$B162))</f>
        <v/>
      </c>
      <c r="Q162" s="58" t="str">
        <f t="shared" si="16"/>
        <v/>
      </c>
      <c r="R162" s="58" t="str">
        <f t="shared" si="17"/>
        <v/>
      </c>
      <c r="S162" s="58" t="str">
        <f t="shared" si="18"/>
        <v/>
      </c>
      <c r="T162" s="58" t="str">
        <f t="shared" si="19"/>
        <v/>
      </c>
      <c r="U162" s="58" t="str">
        <f t="shared" si="20"/>
        <v/>
      </c>
      <c r="V162" s="59" t="str">
        <f t="shared" si="21"/>
        <v/>
      </c>
      <c r="W162" s="59" t="str">
        <f t="shared" si="22"/>
        <v/>
      </c>
      <c r="X162" s="60" t="str">
        <f>IF($B162="","",IF((E162)=0,"",(SUMIFS(pbp_Pitches,pbp_Batter,$B162,pbp_PlayType,"?*"))/(E162)))</f>
        <v/>
      </c>
      <c r="Y162" s="42" t="str">
        <f t="shared" si="23"/>
        <v/>
      </c>
      <c r="Z162" s="58" t="str">
        <f>IF($B162="","",IF((SUMPRODUCT(COUNTIFS(pbp_PlayType,EM_Type,pbp_Batter,$B162,pbp_On2B,"?*")*EM_AB)+SUMPRODUCT(COUNTIFS(pbp_PlayType,EM_Type,pbp_Batter,$B162,pbp_On2B,"",pbp_On3B,"?*")*EM_AB))=0,"",(SUMPRODUCT(COUNTIFS(pbp_PlayType,EM_Type,pbp_Batter,$B162,pbp_On2B,"?*")*EM_H)+SUMPRODUCT(COUNTIFS(pbp_PlayType,EM_Type,pbp_Batter,$B162,pbp_On2B,"",pbp_On3B,"?*")*EM_H))/(SUMPRODUCT(COUNTIFS(pbp_PlayType,EM_Type,pbp_Batter,$B162,pbp_On2B,"?*")*EM_AB)+SUMPRODUCT(COUNTIFS(pbp_PlayType,EM_Type,pbp_Batter,$B162,pbp_On2B,"",pbp_On3B,"?*")*EM_AB))))</f>
        <v/>
      </c>
      <c r="AA162" s="62" t="str">
        <f>IF($B162="","",IF(OR(E162&lt;MinPA,T162=""),"",COUNTIFS($E$6:$E$255,"&gt;="&amp;MinPA,$T$6:$T$255,"&gt;"&amp;T162)+COUNTIFS($E$5:E161,"&gt;="&amp;MinPA,$T$5:T161,T162)+1))</f>
        <v/>
      </c>
    </row>
    <row r="163" spans="2:27" x14ac:dyDescent="0.2">
      <c r="B163" s="44" t="str">
        <f t="array" ref="B163">IFERROR(INDEX(pbp_Batter,MATCH(0,COUNTIF($B$5:B162,pbp_Batter)+(pbp_Batter=""),0)),"")</f>
        <v/>
      </c>
      <c r="C163" s="61" t="str">
        <f>IF($B163="","",IFERROR(INDEX(pbp_BatTeam,MATCH($B163,pbp_Batter,0)),""))</f>
        <v/>
      </c>
      <c r="D163" s="61" t="str">
        <f>IF($B163="","",IFERROR(INDEX(pbp_BatHand,MATCH($B163,pbp_Batter,0)),""))</f>
        <v/>
      </c>
      <c r="E163" s="42" t="str">
        <f>IF($B163="","",SUMPRODUCT(COUNTIFS(pbp_PlayType,EM_Type,pbp_Batter,$B163)*EM_PA))</f>
        <v/>
      </c>
      <c r="F163" s="42" t="str">
        <f>IF($B163="","",SUMPRODUCT(COUNTIFS(pbp_PlayType,EM_Type,pbp_Batter,$B163)*EM_AB))</f>
        <v/>
      </c>
      <c r="G163" s="42" t="str">
        <f>IF($B163="","",SUMPRODUCT(COUNTIFS(pbp_PlayType,EM_Type,pbp_Batter,$B163)*EM_H))</f>
        <v/>
      </c>
      <c r="H163" s="42" t="str">
        <f>IF($B163="","",SUMPRODUCT(COUNTIFS(pbp_PlayType,EM_Type,pbp_Batter,$B163)*EM_2B))</f>
        <v/>
      </c>
      <c r="I163" s="42" t="str">
        <f>IF($B163="","",SUMPRODUCT(COUNTIFS(pbp_PlayType,EM_Type,pbp_Batter,$B163)*EM_3B))</f>
        <v/>
      </c>
      <c r="J163" s="42" t="str">
        <f>IF($B163="","",SUMPRODUCT(COUNTIFS(pbp_PlayType,EM_Type,pbp_Batter,$B163)*EM_HR))</f>
        <v/>
      </c>
      <c r="K163" s="42" t="str">
        <f>IF($B163="","",SUMPRODUCT(COUNTIFS(pbp_PlayType,EM_Type,pbp_Batter,$B163)*EM_1B))</f>
        <v/>
      </c>
      <c r="L163" s="42" t="str">
        <f>IF($B163="","",SUMPRODUCT(COUNTIFS(pbp_PlayType,EM_Type,pbp_Batter,$B163)*EM_BB))</f>
        <v/>
      </c>
      <c r="M163" s="42" t="str">
        <f>IF($B163="","",SUMPRODUCT(COUNTIFS(pbp_PlayType,EM_Type,pbp_Batter,$B163)*EM_HBP))</f>
        <v/>
      </c>
      <c r="N163" s="42" t="str">
        <f>IF($B163="","",COUNTIFS(pbp_PlayType,"?*",pbp_Desc,"*struck out*",pbp_Batter,$B163))</f>
        <v/>
      </c>
      <c r="O163" s="42" t="str">
        <f>IF($B163="","",SUMPRODUCT(COUNTIFS(pbp_PlayType,EM_Type,pbp_Batter,$B163)*EM_SF))</f>
        <v/>
      </c>
      <c r="P163" s="42" t="str">
        <f>IF($B163="","",SUMIFS(pbp_Runs,pbp_Batter,$B163))</f>
        <v/>
      </c>
      <c r="Q163" s="58" t="str">
        <f t="shared" si="16"/>
        <v/>
      </c>
      <c r="R163" s="58" t="str">
        <f t="shared" si="17"/>
        <v/>
      </c>
      <c r="S163" s="58" t="str">
        <f t="shared" si="18"/>
        <v/>
      </c>
      <c r="T163" s="58" t="str">
        <f t="shared" si="19"/>
        <v/>
      </c>
      <c r="U163" s="58" t="str">
        <f t="shared" si="20"/>
        <v/>
      </c>
      <c r="V163" s="59" t="str">
        <f t="shared" si="21"/>
        <v/>
      </c>
      <c r="W163" s="59" t="str">
        <f t="shared" si="22"/>
        <v/>
      </c>
      <c r="X163" s="60" t="str">
        <f>IF($B163="","",IF((E163)=0,"",(SUMIFS(pbp_Pitches,pbp_Batter,$B163,pbp_PlayType,"?*"))/(E163)))</f>
        <v/>
      </c>
      <c r="Y163" s="42" t="str">
        <f t="shared" si="23"/>
        <v/>
      </c>
      <c r="Z163" s="58" t="str">
        <f>IF($B163="","",IF((SUMPRODUCT(COUNTIFS(pbp_PlayType,EM_Type,pbp_Batter,$B163,pbp_On2B,"?*")*EM_AB)+SUMPRODUCT(COUNTIFS(pbp_PlayType,EM_Type,pbp_Batter,$B163,pbp_On2B,"",pbp_On3B,"?*")*EM_AB))=0,"",(SUMPRODUCT(COUNTIFS(pbp_PlayType,EM_Type,pbp_Batter,$B163,pbp_On2B,"?*")*EM_H)+SUMPRODUCT(COUNTIFS(pbp_PlayType,EM_Type,pbp_Batter,$B163,pbp_On2B,"",pbp_On3B,"?*")*EM_H))/(SUMPRODUCT(COUNTIFS(pbp_PlayType,EM_Type,pbp_Batter,$B163,pbp_On2B,"?*")*EM_AB)+SUMPRODUCT(COUNTIFS(pbp_PlayType,EM_Type,pbp_Batter,$B163,pbp_On2B,"",pbp_On3B,"?*")*EM_AB))))</f>
        <v/>
      </c>
      <c r="AA163" s="62" t="str">
        <f>IF($B163="","",IF(OR(E163&lt;MinPA,T163=""),"",COUNTIFS($E$6:$E$255,"&gt;="&amp;MinPA,$T$6:$T$255,"&gt;"&amp;T163)+COUNTIFS($E$5:E162,"&gt;="&amp;MinPA,$T$5:T162,T163)+1))</f>
        <v/>
      </c>
    </row>
    <row r="164" spans="2:27" x14ac:dyDescent="0.2">
      <c r="B164" s="44" t="str">
        <f t="array" ref="B164">IFERROR(INDEX(pbp_Batter,MATCH(0,COUNTIF($B$5:B163,pbp_Batter)+(pbp_Batter=""),0)),"")</f>
        <v/>
      </c>
      <c r="C164" s="61" t="str">
        <f>IF($B164="","",IFERROR(INDEX(pbp_BatTeam,MATCH($B164,pbp_Batter,0)),""))</f>
        <v/>
      </c>
      <c r="D164" s="61" t="str">
        <f>IF($B164="","",IFERROR(INDEX(pbp_BatHand,MATCH($B164,pbp_Batter,0)),""))</f>
        <v/>
      </c>
      <c r="E164" s="42" t="str">
        <f>IF($B164="","",SUMPRODUCT(COUNTIFS(pbp_PlayType,EM_Type,pbp_Batter,$B164)*EM_PA))</f>
        <v/>
      </c>
      <c r="F164" s="42" t="str">
        <f>IF($B164="","",SUMPRODUCT(COUNTIFS(pbp_PlayType,EM_Type,pbp_Batter,$B164)*EM_AB))</f>
        <v/>
      </c>
      <c r="G164" s="42" t="str">
        <f>IF($B164="","",SUMPRODUCT(COUNTIFS(pbp_PlayType,EM_Type,pbp_Batter,$B164)*EM_H))</f>
        <v/>
      </c>
      <c r="H164" s="42" t="str">
        <f>IF($B164="","",SUMPRODUCT(COUNTIFS(pbp_PlayType,EM_Type,pbp_Batter,$B164)*EM_2B))</f>
        <v/>
      </c>
      <c r="I164" s="42" t="str">
        <f>IF($B164="","",SUMPRODUCT(COUNTIFS(pbp_PlayType,EM_Type,pbp_Batter,$B164)*EM_3B))</f>
        <v/>
      </c>
      <c r="J164" s="42" t="str">
        <f>IF($B164="","",SUMPRODUCT(COUNTIFS(pbp_PlayType,EM_Type,pbp_Batter,$B164)*EM_HR))</f>
        <v/>
      </c>
      <c r="K164" s="42" t="str">
        <f>IF($B164="","",SUMPRODUCT(COUNTIFS(pbp_PlayType,EM_Type,pbp_Batter,$B164)*EM_1B))</f>
        <v/>
      </c>
      <c r="L164" s="42" t="str">
        <f>IF($B164="","",SUMPRODUCT(COUNTIFS(pbp_PlayType,EM_Type,pbp_Batter,$B164)*EM_BB))</f>
        <v/>
      </c>
      <c r="M164" s="42" t="str">
        <f>IF($B164="","",SUMPRODUCT(COUNTIFS(pbp_PlayType,EM_Type,pbp_Batter,$B164)*EM_HBP))</f>
        <v/>
      </c>
      <c r="N164" s="42" t="str">
        <f>IF($B164="","",COUNTIFS(pbp_PlayType,"?*",pbp_Desc,"*struck out*",pbp_Batter,$B164))</f>
        <v/>
      </c>
      <c r="O164" s="42" t="str">
        <f>IF($B164="","",SUMPRODUCT(COUNTIFS(pbp_PlayType,EM_Type,pbp_Batter,$B164)*EM_SF))</f>
        <v/>
      </c>
      <c r="P164" s="42" t="str">
        <f>IF($B164="","",SUMIFS(pbp_Runs,pbp_Batter,$B164))</f>
        <v/>
      </c>
      <c r="Q164" s="58" t="str">
        <f t="shared" si="16"/>
        <v/>
      </c>
      <c r="R164" s="58" t="str">
        <f t="shared" si="17"/>
        <v/>
      </c>
      <c r="S164" s="58" t="str">
        <f t="shared" si="18"/>
        <v/>
      </c>
      <c r="T164" s="58" t="str">
        <f t="shared" si="19"/>
        <v/>
      </c>
      <c r="U164" s="58" t="str">
        <f t="shared" si="20"/>
        <v/>
      </c>
      <c r="V164" s="59" t="str">
        <f t="shared" si="21"/>
        <v/>
      </c>
      <c r="W164" s="59" t="str">
        <f t="shared" si="22"/>
        <v/>
      </c>
      <c r="X164" s="60" t="str">
        <f>IF($B164="","",IF((E164)=0,"",(SUMIFS(pbp_Pitches,pbp_Batter,$B164,pbp_PlayType,"?*"))/(E164)))</f>
        <v/>
      </c>
      <c r="Y164" s="42" t="str">
        <f t="shared" si="23"/>
        <v/>
      </c>
      <c r="Z164" s="58" t="str">
        <f>IF($B164="","",IF((SUMPRODUCT(COUNTIFS(pbp_PlayType,EM_Type,pbp_Batter,$B164,pbp_On2B,"?*")*EM_AB)+SUMPRODUCT(COUNTIFS(pbp_PlayType,EM_Type,pbp_Batter,$B164,pbp_On2B,"",pbp_On3B,"?*")*EM_AB))=0,"",(SUMPRODUCT(COUNTIFS(pbp_PlayType,EM_Type,pbp_Batter,$B164,pbp_On2B,"?*")*EM_H)+SUMPRODUCT(COUNTIFS(pbp_PlayType,EM_Type,pbp_Batter,$B164,pbp_On2B,"",pbp_On3B,"?*")*EM_H))/(SUMPRODUCT(COUNTIFS(pbp_PlayType,EM_Type,pbp_Batter,$B164,pbp_On2B,"?*")*EM_AB)+SUMPRODUCT(COUNTIFS(pbp_PlayType,EM_Type,pbp_Batter,$B164,pbp_On2B,"",pbp_On3B,"?*")*EM_AB))))</f>
        <v/>
      </c>
      <c r="AA164" s="62" t="str">
        <f>IF($B164="","",IF(OR(E164&lt;MinPA,T164=""),"",COUNTIFS($E$6:$E$255,"&gt;="&amp;MinPA,$T$6:$T$255,"&gt;"&amp;T164)+COUNTIFS($E$5:E163,"&gt;="&amp;MinPA,$T$5:T163,T164)+1))</f>
        <v/>
      </c>
    </row>
    <row r="165" spans="2:27" x14ac:dyDescent="0.2">
      <c r="B165" s="44" t="str">
        <f t="array" ref="B165">IFERROR(INDEX(pbp_Batter,MATCH(0,COUNTIF($B$5:B164,pbp_Batter)+(pbp_Batter=""),0)),"")</f>
        <v/>
      </c>
      <c r="C165" s="61" t="str">
        <f>IF($B165="","",IFERROR(INDEX(pbp_BatTeam,MATCH($B165,pbp_Batter,0)),""))</f>
        <v/>
      </c>
      <c r="D165" s="61" t="str">
        <f>IF($B165="","",IFERROR(INDEX(pbp_BatHand,MATCH($B165,pbp_Batter,0)),""))</f>
        <v/>
      </c>
      <c r="E165" s="42" t="str">
        <f>IF($B165="","",SUMPRODUCT(COUNTIFS(pbp_PlayType,EM_Type,pbp_Batter,$B165)*EM_PA))</f>
        <v/>
      </c>
      <c r="F165" s="42" t="str">
        <f>IF($B165="","",SUMPRODUCT(COUNTIFS(pbp_PlayType,EM_Type,pbp_Batter,$B165)*EM_AB))</f>
        <v/>
      </c>
      <c r="G165" s="42" t="str">
        <f>IF($B165="","",SUMPRODUCT(COUNTIFS(pbp_PlayType,EM_Type,pbp_Batter,$B165)*EM_H))</f>
        <v/>
      </c>
      <c r="H165" s="42" t="str">
        <f>IF($B165="","",SUMPRODUCT(COUNTIFS(pbp_PlayType,EM_Type,pbp_Batter,$B165)*EM_2B))</f>
        <v/>
      </c>
      <c r="I165" s="42" t="str">
        <f>IF($B165="","",SUMPRODUCT(COUNTIFS(pbp_PlayType,EM_Type,pbp_Batter,$B165)*EM_3B))</f>
        <v/>
      </c>
      <c r="J165" s="42" t="str">
        <f>IF($B165="","",SUMPRODUCT(COUNTIFS(pbp_PlayType,EM_Type,pbp_Batter,$B165)*EM_HR))</f>
        <v/>
      </c>
      <c r="K165" s="42" t="str">
        <f>IF($B165="","",SUMPRODUCT(COUNTIFS(pbp_PlayType,EM_Type,pbp_Batter,$B165)*EM_1B))</f>
        <v/>
      </c>
      <c r="L165" s="42" t="str">
        <f>IF($B165="","",SUMPRODUCT(COUNTIFS(pbp_PlayType,EM_Type,pbp_Batter,$B165)*EM_BB))</f>
        <v/>
      </c>
      <c r="M165" s="42" t="str">
        <f>IF($B165="","",SUMPRODUCT(COUNTIFS(pbp_PlayType,EM_Type,pbp_Batter,$B165)*EM_HBP))</f>
        <v/>
      </c>
      <c r="N165" s="42" t="str">
        <f>IF($B165="","",COUNTIFS(pbp_PlayType,"?*",pbp_Desc,"*struck out*",pbp_Batter,$B165))</f>
        <v/>
      </c>
      <c r="O165" s="42" t="str">
        <f>IF($B165="","",SUMPRODUCT(COUNTIFS(pbp_PlayType,EM_Type,pbp_Batter,$B165)*EM_SF))</f>
        <v/>
      </c>
      <c r="P165" s="42" t="str">
        <f>IF($B165="","",SUMIFS(pbp_Runs,pbp_Batter,$B165))</f>
        <v/>
      </c>
      <c r="Q165" s="58" t="str">
        <f t="shared" si="16"/>
        <v/>
      </c>
      <c r="R165" s="58" t="str">
        <f t="shared" si="17"/>
        <v/>
      </c>
      <c r="S165" s="58" t="str">
        <f t="shared" si="18"/>
        <v/>
      </c>
      <c r="T165" s="58" t="str">
        <f t="shared" si="19"/>
        <v/>
      </c>
      <c r="U165" s="58" t="str">
        <f t="shared" si="20"/>
        <v/>
      </c>
      <c r="V165" s="59" t="str">
        <f t="shared" si="21"/>
        <v/>
      </c>
      <c r="W165" s="59" t="str">
        <f t="shared" si="22"/>
        <v/>
      </c>
      <c r="X165" s="60" t="str">
        <f>IF($B165="","",IF((E165)=0,"",(SUMIFS(pbp_Pitches,pbp_Batter,$B165,pbp_PlayType,"?*"))/(E165)))</f>
        <v/>
      </c>
      <c r="Y165" s="42" t="str">
        <f t="shared" si="23"/>
        <v/>
      </c>
      <c r="Z165" s="58" t="str">
        <f>IF($B165="","",IF((SUMPRODUCT(COUNTIFS(pbp_PlayType,EM_Type,pbp_Batter,$B165,pbp_On2B,"?*")*EM_AB)+SUMPRODUCT(COUNTIFS(pbp_PlayType,EM_Type,pbp_Batter,$B165,pbp_On2B,"",pbp_On3B,"?*")*EM_AB))=0,"",(SUMPRODUCT(COUNTIFS(pbp_PlayType,EM_Type,pbp_Batter,$B165,pbp_On2B,"?*")*EM_H)+SUMPRODUCT(COUNTIFS(pbp_PlayType,EM_Type,pbp_Batter,$B165,pbp_On2B,"",pbp_On3B,"?*")*EM_H))/(SUMPRODUCT(COUNTIFS(pbp_PlayType,EM_Type,pbp_Batter,$B165,pbp_On2B,"?*")*EM_AB)+SUMPRODUCT(COUNTIFS(pbp_PlayType,EM_Type,pbp_Batter,$B165,pbp_On2B,"",pbp_On3B,"?*")*EM_AB))))</f>
        <v/>
      </c>
      <c r="AA165" s="62" t="str">
        <f>IF($B165="","",IF(OR(E165&lt;MinPA,T165=""),"",COUNTIFS($E$6:$E$255,"&gt;="&amp;MinPA,$T$6:$T$255,"&gt;"&amp;T165)+COUNTIFS($E$5:E164,"&gt;="&amp;MinPA,$T$5:T164,T165)+1))</f>
        <v/>
      </c>
    </row>
    <row r="166" spans="2:27" x14ac:dyDescent="0.2">
      <c r="B166" s="44" t="str">
        <f t="array" ref="B166">IFERROR(INDEX(pbp_Batter,MATCH(0,COUNTIF($B$5:B165,pbp_Batter)+(pbp_Batter=""),0)),"")</f>
        <v/>
      </c>
      <c r="C166" s="61" t="str">
        <f>IF($B166="","",IFERROR(INDEX(pbp_BatTeam,MATCH($B166,pbp_Batter,0)),""))</f>
        <v/>
      </c>
      <c r="D166" s="61" t="str">
        <f>IF($B166="","",IFERROR(INDEX(pbp_BatHand,MATCH($B166,pbp_Batter,0)),""))</f>
        <v/>
      </c>
      <c r="E166" s="42" t="str">
        <f>IF($B166="","",SUMPRODUCT(COUNTIFS(pbp_PlayType,EM_Type,pbp_Batter,$B166)*EM_PA))</f>
        <v/>
      </c>
      <c r="F166" s="42" t="str">
        <f>IF($B166="","",SUMPRODUCT(COUNTIFS(pbp_PlayType,EM_Type,pbp_Batter,$B166)*EM_AB))</f>
        <v/>
      </c>
      <c r="G166" s="42" t="str">
        <f>IF($B166="","",SUMPRODUCT(COUNTIFS(pbp_PlayType,EM_Type,pbp_Batter,$B166)*EM_H))</f>
        <v/>
      </c>
      <c r="H166" s="42" t="str">
        <f>IF($B166="","",SUMPRODUCT(COUNTIFS(pbp_PlayType,EM_Type,pbp_Batter,$B166)*EM_2B))</f>
        <v/>
      </c>
      <c r="I166" s="42" t="str">
        <f>IF($B166="","",SUMPRODUCT(COUNTIFS(pbp_PlayType,EM_Type,pbp_Batter,$B166)*EM_3B))</f>
        <v/>
      </c>
      <c r="J166" s="42" t="str">
        <f>IF($B166="","",SUMPRODUCT(COUNTIFS(pbp_PlayType,EM_Type,pbp_Batter,$B166)*EM_HR))</f>
        <v/>
      </c>
      <c r="K166" s="42" t="str">
        <f>IF($B166="","",SUMPRODUCT(COUNTIFS(pbp_PlayType,EM_Type,pbp_Batter,$B166)*EM_1B))</f>
        <v/>
      </c>
      <c r="L166" s="42" t="str">
        <f>IF($B166="","",SUMPRODUCT(COUNTIFS(pbp_PlayType,EM_Type,pbp_Batter,$B166)*EM_BB))</f>
        <v/>
      </c>
      <c r="M166" s="42" t="str">
        <f>IF($B166="","",SUMPRODUCT(COUNTIFS(pbp_PlayType,EM_Type,pbp_Batter,$B166)*EM_HBP))</f>
        <v/>
      </c>
      <c r="N166" s="42" t="str">
        <f>IF($B166="","",COUNTIFS(pbp_PlayType,"?*",pbp_Desc,"*struck out*",pbp_Batter,$B166))</f>
        <v/>
      </c>
      <c r="O166" s="42" t="str">
        <f>IF($B166="","",SUMPRODUCT(COUNTIFS(pbp_PlayType,EM_Type,pbp_Batter,$B166)*EM_SF))</f>
        <v/>
      </c>
      <c r="P166" s="42" t="str">
        <f>IF($B166="","",SUMIFS(pbp_Runs,pbp_Batter,$B166))</f>
        <v/>
      </c>
      <c r="Q166" s="58" t="str">
        <f t="shared" si="16"/>
        <v/>
      </c>
      <c r="R166" s="58" t="str">
        <f t="shared" si="17"/>
        <v/>
      </c>
      <c r="S166" s="58" t="str">
        <f t="shared" si="18"/>
        <v/>
      </c>
      <c r="T166" s="58" t="str">
        <f t="shared" si="19"/>
        <v/>
      </c>
      <c r="U166" s="58" t="str">
        <f t="shared" si="20"/>
        <v/>
      </c>
      <c r="V166" s="59" t="str">
        <f t="shared" si="21"/>
        <v/>
      </c>
      <c r="W166" s="59" t="str">
        <f t="shared" si="22"/>
        <v/>
      </c>
      <c r="X166" s="60" t="str">
        <f>IF($B166="","",IF((E166)=0,"",(SUMIFS(pbp_Pitches,pbp_Batter,$B166,pbp_PlayType,"?*"))/(E166)))</f>
        <v/>
      </c>
      <c r="Y166" s="42" t="str">
        <f t="shared" si="23"/>
        <v/>
      </c>
      <c r="Z166" s="58" t="str">
        <f>IF($B166="","",IF((SUMPRODUCT(COUNTIFS(pbp_PlayType,EM_Type,pbp_Batter,$B166,pbp_On2B,"?*")*EM_AB)+SUMPRODUCT(COUNTIFS(pbp_PlayType,EM_Type,pbp_Batter,$B166,pbp_On2B,"",pbp_On3B,"?*")*EM_AB))=0,"",(SUMPRODUCT(COUNTIFS(pbp_PlayType,EM_Type,pbp_Batter,$B166,pbp_On2B,"?*")*EM_H)+SUMPRODUCT(COUNTIFS(pbp_PlayType,EM_Type,pbp_Batter,$B166,pbp_On2B,"",pbp_On3B,"?*")*EM_H))/(SUMPRODUCT(COUNTIFS(pbp_PlayType,EM_Type,pbp_Batter,$B166,pbp_On2B,"?*")*EM_AB)+SUMPRODUCT(COUNTIFS(pbp_PlayType,EM_Type,pbp_Batter,$B166,pbp_On2B,"",pbp_On3B,"?*")*EM_AB))))</f>
        <v/>
      </c>
      <c r="AA166" s="62" t="str">
        <f>IF($B166="","",IF(OR(E166&lt;MinPA,T166=""),"",COUNTIFS($E$6:$E$255,"&gt;="&amp;MinPA,$T$6:$T$255,"&gt;"&amp;T166)+COUNTIFS($E$5:E165,"&gt;="&amp;MinPA,$T$5:T165,T166)+1))</f>
        <v/>
      </c>
    </row>
    <row r="167" spans="2:27" x14ac:dyDescent="0.2">
      <c r="B167" s="44" t="str">
        <f t="array" ref="B167">IFERROR(INDEX(pbp_Batter,MATCH(0,COUNTIF($B$5:B166,pbp_Batter)+(pbp_Batter=""),0)),"")</f>
        <v/>
      </c>
      <c r="C167" s="61" t="str">
        <f>IF($B167="","",IFERROR(INDEX(pbp_BatTeam,MATCH($B167,pbp_Batter,0)),""))</f>
        <v/>
      </c>
      <c r="D167" s="61" t="str">
        <f>IF($B167="","",IFERROR(INDEX(pbp_BatHand,MATCH($B167,pbp_Batter,0)),""))</f>
        <v/>
      </c>
      <c r="E167" s="42" t="str">
        <f>IF($B167="","",SUMPRODUCT(COUNTIFS(pbp_PlayType,EM_Type,pbp_Batter,$B167)*EM_PA))</f>
        <v/>
      </c>
      <c r="F167" s="42" t="str">
        <f>IF($B167="","",SUMPRODUCT(COUNTIFS(pbp_PlayType,EM_Type,pbp_Batter,$B167)*EM_AB))</f>
        <v/>
      </c>
      <c r="G167" s="42" t="str">
        <f>IF($B167="","",SUMPRODUCT(COUNTIFS(pbp_PlayType,EM_Type,pbp_Batter,$B167)*EM_H))</f>
        <v/>
      </c>
      <c r="H167" s="42" t="str">
        <f>IF($B167="","",SUMPRODUCT(COUNTIFS(pbp_PlayType,EM_Type,pbp_Batter,$B167)*EM_2B))</f>
        <v/>
      </c>
      <c r="I167" s="42" t="str">
        <f>IF($B167="","",SUMPRODUCT(COUNTIFS(pbp_PlayType,EM_Type,pbp_Batter,$B167)*EM_3B))</f>
        <v/>
      </c>
      <c r="J167" s="42" t="str">
        <f>IF($B167="","",SUMPRODUCT(COUNTIFS(pbp_PlayType,EM_Type,pbp_Batter,$B167)*EM_HR))</f>
        <v/>
      </c>
      <c r="K167" s="42" t="str">
        <f>IF($B167="","",SUMPRODUCT(COUNTIFS(pbp_PlayType,EM_Type,pbp_Batter,$B167)*EM_1B))</f>
        <v/>
      </c>
      <c r="L167" s="42" t="str">
        <f>IF($B167="","",SUMPRODUCT(COUNTIFS(pbp_PlayType,EM_Type,pbp_Batter,$B167)*EM_BB))</f>
        <v/>
      </c>
      <c r="M167" s="42" t="str">
        <f>IF($B167="","",SUMPRODUCT(COUNTIFS(pbp_PlayType,EM_Type,pbp_Batter,$B167)*EM_HBP))</f>
        <v/>
      </c>
      <c r="N167" s="42" t="str">
        <f>IF($B167="","",COUNTIFS(pbp_PlayType,"?*",pbp_Desc,"*struck out*",pbp_Batter,$B167))</f>
        <v/>
      </c>
      <c r="O167" s="42" t="str">
        <f>IF($B167="","",SUMPRODUCT(COUNTIFS(pbp_PlayType,EM_Type,pbp_Batter,$B167)*EM_SF))</f>
        <v/>
      </c>
      <c r="P167" s="42" t="str">
        <f>IF($B167="","",SUMIFS(pbp_Runs,pbp_Batter,$B167))</f>
        <v/>
      </c>
      <c r="Q167" s="58" t="str">
        <f t="shared" si="16"/>
        <v/>
      </c>
      <c r="R167" s="58" t="str">
        <f t="shared" si="17"/>
        <v/>
      </c>
      <c r="S167" s="58" t="str">
        <f t="shared" si="18"/>
        <v/>
      </c>
      <c r="T167" s="58" t="str">
        <f t="shared" si="19"/>
        <v/>
      </c>
      <c r="U167" s="58" t="str">
        <f t="shared" si="20"/>
        <v/>
      </c>
      <c r="V167" s="59" t="str">
        <f t="shared" si="21"/>
        <v/>
      </c>
      <c r="W167" s="59" t="str">
        <f t="shared" si="22"/>
        <v/>
      </c>
      <c r="X167" s="60" t="str">
        <f>IF($B167="","",IF((E167)=0,"",(SUMIFS(pbp_Pitches,pbp_Batter,$B167,pbp_PlayType,"?*"))/(E167)))</f>
        <v/>
      </c>
      <c r="Y167" s="42" t="str">
        <f t="shared" si="23"/>
        <v/>
      </c>
      <c r="Z167" s="58" t="str">
        <f>IF($B167="","",IF((SUMPRODUCT(COUNTIFS(pbp_PlayType,EM_Type,pbp_Batter,$B167,pbp_On2B,"?*")*EM_AB)+SUMPRODUCT(COUNTIFS(pbp_PlayType,EM_Type,pbp_Batter,$B167,pbp_On2B,"",pbp_On3B,"?*")*EM_AB))=0,"",(SUMPRODUCT(COUNTIFS(pbp_PlayType,EM_Type,pbp_Batter,$B167,pbp_On2B,"?*")*EM_H)+SUMPRODUCT(COUNTIFS(pbp_PlayType,EM_Type,pbp_Batter,$B167,pbp_On2B,"",pbp_On3B,"?*")*EM_H))/(SUMPRODUCT(COUNTIFS(pbp_PlayType,EM_Type,pbp_Batter,$B167,pbp_On2B,"?*")*EM_AB)+SUMPRODUCT(COUNTIFS(pbp_PlayType,EM_Type,pbp_Batter,$B167,pbp_On2B,"",pbp_On3B,"?*")*EM_AB))))</f>
        <v/>
      </c>
      <c r="AA167" s="62" t="str">
        <f>IF($B167="","",IF(OR(E167&lt;MinPA,T167=""),"",COUNTIFS($E$6:$E$255,"&gt;="&amp;MinPA,$T$6:$T$255,"&gt;"&amp;T167)+COUNTIFS($E$5:E166,"&gt;="&amp;MinPA,$T$5:T166,T167)+1))</f>
        <v/>
      </c>
    </row>
    <row r="168" spans="2:27" x14ac:dyDescent="0.2">
      <c r="B168" s="44" t="str">
        <f t="array" ref="B168">IFERROR(INDEX(pbp_Batter,MATCH(0,COUNTIF($B$5:B167,pbp_Batter)+(pbp_Batter=""),0)),"")</f>
        <v/>
      </c>
      <c r="C168" s="61" t="str">
        <f>IF($B168="","",IFERROR(INDEX(pbp_BatTeam,MATCH($B168,pbp_Batter,0)),""))</f>
        <v/>
      </c>
      <c r="D168" s="61" t="str">
        <f>IF($B168="","",IFERROR(INDEX(pbp_BatHand,MATCH($B168,pbp_Batter,0)),""))</f>
        <v/>
      </c>
      <c r="E168" s="42" t="str">
        <f>IF($B168="","",SUMPRODUCT(COUNTIFS(pbp_PlayType,EM_Type,pbp_Batter,$B168)*EM_PA))</f>
        <v/>
      </c>
      <c r="F168" s="42" t="str">
        <f>IF($B168="","",SUMPRODUCT(COUNTIFS(pbp_PlayType,EM_Type,pbp_Batter,$B168)*EM_AB))</f>
        <v/>
      </c>
      <c r="G168" s="42" t="str">
        <f>IF($B168="","",SUMPRODUCT(COUNTIFS(pbp_PlayType,EM_Type,pbp_Batter,$B168)*EM_H))</f>
        <v/>
      </c>
      <c r="H168" s="42" t="str">
        <f>IF($B168="","",SUMPRODUCT(COUNTIFS(pbp_PlayType,EM_Type,pbp_Batter,$B168)*EM_2B))</f>
        <v/>
      </c>
      <c r="I168" s="42" t="str">
        <f>IF($B168="","",SUMPRODUCT(COUNTIFS(pbp_PlayType,EM_Type,pbp_Batter,$B168)*EM_3B))</f>
        <v/>
      </c>
      <c r="J168" s="42" t="str">
        <f>IF($B168="","",SUMPRODUCT(COUNTIFS(pbp_PlayType,EM_Type,pbp_Batter,$B168)*EM_HR))</f>
        <v/>
      </c>
      <c r="K168" s="42" t="str">
        <f>IF($B168="","",SUMPRODUCT(COUNTIFS(pbp_PlayType,EM_Type,pbp_Batter,$B168)*EM_1B))</f>
        <v/>
      </c>
      <c r="L168" s="42" t="str">
        <f>IF($B168="","",SUMPRODUCT(COUNTIFS(pbp_PlayType,EM_Type,pbp_Batter,$B168)*EM_BB))</f>
        <v/>
      </c>
      <c r="M168" s="42" t="str">
        <f>IF($B168="","",SUMPRODUCT(COUNTIFS(pbp_PlayType,EM_Type,pbp_Batter,$B168)*EM_HBP))</f>
        <v/>
      </c>
      <c r="N168" s="42" t="str">
        <f>IF($B168="","",COUNTIFS(pbp_PlayType,"?*",pbp_Desc,"*struck out*",pbp_Batter,$B168))</f>
        <v/>
      </c>
      <c r="O168" s="42" t="str">
        <f>IF($B168="","",SUMPRODUCT(COUNTIFS(pbp_PlayType,EM_Type,pbp_Batter,$B168)*EM_SF))</f>
        <v/>
      </c>
      <c r="P168" s="42" t="str">
        <f>IF($B168="","",SUMIFS(pbp_Runs,pbp_Batter,$B168))</f>
        <v/>
      </c>
      <c r="Q168" s="58" t="str">
        <f t="shared" si="16"/>
        <v/>
      </c>
      <c r="R168" s="58" t="str">
        <f t="shared" si="17"/>
        <v/>
      </c>
      <c r="S168" s="58" t="str">
        <f t="shared" si="18"/>
        <v/>
      </c>
      <c r="T168" s="58" t="str">
        <f t="shared" si="19"/>
        <v/>
      </c>
      <c r="U168" s="58" t="str">
        <f t="shared" si="20"/>
        <v/>
      </c>
      <c r="V168" s="59" t="str">
        <f t="shared" si="21"/>
        <v/>
      </c>
      <c r="W168" s="59" t="str">
        <f t="shared" si="22"/>
        <v/>
      </c>
      <c r="X168" s="60" t="str">
        <f>IF($B168="","",IF((E168)=0,"",(SUMIFS(pbp_Pitches,pbp_Batter,$B168,pbp_PlayType,"?*"))/(E168)))</f>
        <v/>
      </c>
      <c r="Y168" s="42" t="str">
        <f t="shared" si="23"/>
        <v/>
      </c>
      <c r="Z168" s="58" t="str">
        <f>IF($B168="","",IF((SUMPRODUCT(COUNTIFS(pbp_PlayType,EM_Type,pbp_Batter,$B168,pbp_On2B,"?*")*EM_AB)+SUMPRODUCT(COUNTIFS(pbp_PlayType,EM_Type,pbp_Batter,$B168,pbp_On2B,"",pbp_On3B,"?*")*EM_AB))=0,"",(SUMPRODUCT(COUNTIFS(pbp_PlayType,EM_Type,pbp_Batter,$B168,pbp_On2B,"?*")*EM_H)+SUMPRODUCT(COUNTIFS(pbp_PlayType,EM_Type,pbp_Batter,$B168,pbp_On2B,"",pbp_On3B,"?*")*EM_H))/(SUMPRODUCT(COUNTIFS(pbp_PlayType,EM_Type,pbp_Batter,$B168,pbp_On2B,"?*")*EM_AB)+SUMPRODUCT(COUNTIFS(pbp_PlayType,EM_Type,pbp_Batter,$B168,pbp_On2B,"",pbp_On3B,"?*")*EM_AB))))</f>
        <v/>
      </c>
      <c r="AA168" s="62" t="str">
        <f>IF($B168="","",IF(OR(E168&lt;MinPA,T168=""),"",COUNTIFS($E$6:$E$255,"&gt;="&amp;MinPA,$T$6:$T$255,"&gt;"&amp;T168)+COUNTIFS($E$5:E167,"&gt;="&amp;MinPA,$T$5:T167,T168)+1))</f>
        <v/>
      </c>
    </row>
    <row r="169" spans="2:27" x14ac:dyDescent="0.2">
      <c r="B169" s="44" t="str">
        <f t="array" ref="B169">IFERROR(INDEX(pbp_Batter,MATCH(0,COUNTIF($B$5:B168,pbp_Batter)+(pbp_Batter=""),0)),"")</f>
        <v/>
      </c>
      <c r="C169" s="61" t="str">
        <f>IF($B169="","",IFERROR(INDEX(pbp_BatTeam,MATCH($B169,pbp_Batter,0)),""))</f>
        <v/>
      </c>
      <c r="D169" s="61" t="str">
        <f>IF($B169="","",IFERROR(INDEX(pbp_BatHand,MATCH($B169,pbp_Batter,0)),""))</f>
        <v/>
      </c>
      <c r="E169" s="42" t="str">
        <f>IF($B169="","",SUMPRODUCT(COUNTIFS(pbp_PlayType,EM_Type,pbp_Batter,$B169)*EM_PA))</f>
        <v/>
      </c>
      <c r="F169" s="42" t="str">
        <f>IF($B169="","",SUMPRODUCT(COUNTIFS(pbp_PlayType,EM_Type,pbp_Batter,$B169)*EM_AB))</f>
        <v/>
      </c>
      <c r="G169" s="42" t="str">
        <f>IF($B169="","",SUMPRODUCT(COUNTIFS(pbp_PlayType,EM_Type,pbp_Batter,$B169)*EM_H))</f>
        <v/>
      </c>
      <c r="H169" s="42" t="str">
        <f>IF($B169="","",SUMPRODUCT(COUNTIFS(pbp_PlayType,EM_Type,pbp_Batter,$B169)*EM_2B))</f>
        <v/>
      </c>
      <c r="I169" s="42" t="str">
        <f>IF($B169="","",SUMPRODUCT(COUNTIFS(pbp_PlayType,EM_Type,pbp_Batter,$B169)*EM_3B))</f>
        <v/>
      </c>
      <c r="J169" s="42" t="str">
        <f>IF($B169="","",SUMPRODUCT(COUNTIFS(pbp_PlayType,EM_Type,pbp_Batter,$B169)*EM_HR))</f>
        <v/>
      </c>
      <c r="K169" s="42" t="str">
        <f>IF($B169="","",SUMPRODUCT(COUNTIFS(pbp_PlayType,EM_Type,pbp_Batter,$B169)*EM_1B))</f>
        <v/>
      </c>
      <c r="L169" s="42" t="str">
        <f>IF($B169="","",SUMPRODUCT(COUNTIFS(pbp_PlayType,EM_Type,pbp_Batter,$B169)*EM_BB))</f>
        <v/>
      </c>
      <c r="M169" s="42" t="str">
        <f>IF($B169="","",SUMPRODUCT(COUNTIFS(pbp_PlayType,EM_Type,pbp_Batter,$B169)*EM_HBP))</f>
        <v/>
      </c>
      <c r="N169" s="42" t="str">
        <f>IF($B169="","",COUNTIFS(pbp_PlayType,"?*",pbp_Desc,"*struck out*",pbp_Batter,$B169))</f>
        <v/>
      </c>
      <c r="O169" s="42" t="str">
        <f>IF($B169="","",SUMPRODUCT(COUNTIFS(pbp_PlayType,EM_Type,pbp_Batter,$B169)*EM_SF))</f>
        <v/>
      </c>
      <c r="P169" s="42" t="str">
        <f>IF($B169="","",SUMIFS(pbp_Runs,pbp_Batter,$B169))</f>
        <v/>
      </c>
      <c r="Q169" s="58" t="str">
        <f t="shared" si="16"/>
        <v/>
      </c>
      <c r="R169" s="58" t="str">
        <f t="shared" si="17"/>
        <v/>
      </c>
      <c r="S169" s="58" t="str">
        <f t="shared" si="18"/>
        <v/>
      </c>
      <c r="T169" s="58" t="str">
        <f t="shared" si="19"/>
        <v/>
      </c>
      <c r="U169" s="58" t="str">
        <f t="shared" si="20"/>
        <v/>
      </c>
      <c r="V169" s="59" t="str">
        <f t="shared" si="21"/>
        <v/>
      </c>
      <c r="W169" s="59" t="str">
        <f t="shared" si="22"/>
        <v/>
      </c>
      <c r="X169" s="60" t="str">
        <f>IF($B169="","",IF((E169)=0,"",(SUMIFS(pbp_Pitches,pbp_Batter,$B169,pbp_PlayType,"?*"))/(E169)))</f>
        <v/>
      </c>
      <c r="Y169" s="42" t="str">
        <f t="shared" si="23"/>
        <v/>
      </c>
      <c r="Z169" s="58" t="str">
        <f>IF($B169="","",IF((SUMPRODUCT(COUNTIFS(pbp_PlayType,EM_Type,pbp_Batter,$B169,pbp_On2B,"?*")*EM_AB)+SUMPRODUCT(COUNTIFS(pbp_PlayType,EM_Type,pbp_Batter,$B169,pbp_On2B,"",pbp_On3B,"?*")*EM_AB))=0,"",(SUMPRODUCT(COUNTIFS(pbp_PlayType,EM_Type,pbp_Batter,$B169,pbp_On2B,"?*")*EM_H)+SUMPRODUCT(COUNTIFS(pbp_PlayType,EM_Type,pbp_Batter,$B169,pbp_On2B,"",pbp_On3B,"?*")*EM_H))/(SUMPRODUCT(COUNTIFS(pbp_PlayType,EM_Type,pbp_Batter,$B169,pbp_On2B,"?*")*EM_AB)+SUMPRODUCT(COUNTIFS(pbp_PlayType,EM_Type,pbp_Batter,$B169,pbp_On2B,"",pbp_On3B,"?*")*EM_AB))))</f>
        <v/>
      </c>
      <c r="AA169" s="62" t="str">
        <f>IF($B169="","",IF(OR(E169&lt;MinPA,T169=""),"",COUNTIFS($E$6:$E$255,"&gt;="&amp;MinPA,$T$6:$T$255,"&gt;"&amp;T169)+COUNTIFS($E$5:E168,"&gt;="&amp;MinPA,$T$5:T168,T169)+1))</f>
        <v/>
      </c>
    </row>
    <row r="170" spans="2:27" x14ac:dyDescent="0.2">
      <c r="B170" s="44" t="str">
        <f t="array" ref="B170">IFERROR(INDEX(pbp_Batter,MATCH(0,COUNTIF($B$5:B169,pbp_Batter)+(pbp_Batter=""),0)),"")</f>
        <v/>
      </c>
      <c r="C170" s="61" t="str">
        <f>IF($B170="","",IFERROR(INDEX(pbp_BatTeam,MATCH($B170,pbp_Batter,0)),""))</f>
        <v/>
      </c>
      <c r="D170" s="61" t="str">
        <f>IF($B170="","",IFERROR(INDEX(pbp_BatHand,MATCH($B170,pbp_Batter,0)),""))</f>
        <v/>
      </c>
      <c r="E170" s="42" t="str">
        <f>IF($B170="","",SUMPRODUCT(COUNTIFS(pbp_PlayType,EM_Type,pbp_Batter,$B170)*EM_PA))</f>
        <v/>
      </c>
      <c r="F170" s="42" t="str">
        <f>IF($B170="","",SUMPRODUCT(COUNTIFS(pbp_PlayType,EM_Type,pbp_Batter,$B170)*EM_AB))</f>
        <v/>
      </c>
      <c r="G170" s="42" t="str">
        <f>IF($B170="","",SUMPRODUCT(COUNTIFS(pbp_PlayType,EM_Type,pbp_Batter,$B170)*EM_H))</f>
        <v/>
      </c>
      <c r="H170" s="42" t="str">
        <f>IF($B170="","",SUMPRODUCT(COUNTIFS(pbp_PlayType,EM_Type,pbp_Batter,$B170)*EM_2B))</f>
        <v/>
      </c>
      <c r="I170" s="42" t="str">
        <f>IF($B170="","",SUMPRODUCT(COUNTIFS(pbp_PlayType,EM_Type,pbp_Batter,$B170)*EM_3B))</f>
        <v/>
      </c>
      <c r="J170" s="42" t="str">
        <f>IF($B170="","",SUMPRODUCT(COUNTIFS(pbp_PlayType,EM_Type,pbp_Batter,$B170)*EM_HR))</f>
        <v/>
      </c>
      <c r="K170" s="42" t="str">
        <f>IF($B170="","",SUMPRODUCT(COUNTIFS(pbp_PlayType,EM_Type,pbp_Batter,$B170)*EM_1B))</f>
        <v/>
      </c>
      <c r="L170" s="42" t="str">
        <f>IF($B170="","",SUMPRODUCT(COUNTIFS(pbp_PlayType,EM_Type,pbp_Batter,$B170)*EM_BB))</f>
        <v/>
      </c>
      <c r="M170" s="42" t="str">
        <f>IF($B170="","",SUMPRODUCT(COUNTIFS(pbp_PlayType,EM_Type,pbp_Batter,$B170)*EM_HBP))</f>
        <v/>
      </c>
      <c r="N170" s="42" t="str">
        <f>IF($B170="","",COUNTIFS(pbp_PlayType,"?*",pbp_Desc,"*struck out*",pbp_Batter,$B170))</f>
        <v/>
      </c>
      <c r="O170" s="42" t="str">
        <f>IF($B170="","",SUMPRODUCT(COUNTIFS(pbp_PlayType,EM_Type,pbp_Batter,$B170)*EM_SF))</f>
        <v/>
      </c>
      <c r="P170" s="42" t="str">
        <f>IF($B170="","",SUMIFS(pbp_Runs,pbp_Batter,$B170))</f>
        <v/>
      </c>
      <c r="Q170" s="58" t="str">
        <f t="shared" si="16"/>
        <v/>
      </c>
      <c r="R170" s="58" t="str">
        <f t="shared" si="17"/>
        <v/>
      </c>
      <c r="S170" s="58" t="str">
        <f t="shared" si="18"/>
        <v/>
      </c>
      <c r="T170" s="58" t="str">
        <f t="shared" si="19"/>
        <v/>
      </c>
      <c r="U170" s="58" t="str">
        <f t="shared" si="20"/>
        <v/>
      </c>
      <c r="V170" s="59" t="str">
        <f t="shared" si="21"/>
        <v/>
      </c>
      <c r="W170" s="59" t="str">
        <f t="shared" si="22"/>
        <v/>
      </c>
      <c r="X170" s="60" t="str">
        <f>IF($B170="","",IF((E170)=0,"",(SUMIFS(pbp_Pitches,pbp_Batter,$B170,pbp_PlayType,"?*"))/(E170)))</f>
        <v/>
      </c>
      <c r="Y170" s="42" t="str">
        <f t="shared" si="23"/>
        <v/>
      </c>
      <c r="Z170" s="58" t="str">
        <f>IF($B170="","",IF((SUMPRODUCT(COUNTIFS(pbp_PlayType,EM_Type,pbp_Batter,$B170,pbp_On2B,"?*")*EM_AB)+SUMPRODUCT(COUNTIFS(pbp_PlayType,EM_Type,pbp_Batter,$B170,pbp_On2B,"",pbp_On3B,"?*")*EM_AB))=0,"",(SUMPRODUCT(COUNTIFS(pbp_PlayType,EM_Type,pbp_Batter,$B170,pbp_On2B,"?*")*EM_H)+SUMPRODUCT(COUNTIFS(pbp_PlayType,EM_Type,pbp_Batter,$B170,pbp_On2B,"",pbp_On3B,"?*")*EM_H))/(SUMPRODUCT(COUNTIFS(pbp_PlayType,EM_Type,pbp_Batter,$B170,pbp_On2B,"?*")*EM_AB)+SUMPRODUCT(COUNTIFS(pbp_PlayType,EM_Type,pbp_Batter,$B170,pbp_On2B,"",pbp_On3B,"?*")*EM_AB))))</f>
        <v/>
      </c>
      <c r="AA170" s="62" t="str">
        <f>IF($B170="","",IF(OR(E170&lt;MinPA,T170=""),"",COUNTIFS($E$6:$E$255,"&gt;="&amp;MinPA,$T$6:$T$255,"&gt;"&amp;T170)+COUNTIFS($E$5:E169,"&gt;="&amp;MinPA,$T$5:T169,T170)+1))</f>
        <v/>
      </c>
    </row>
    <row r="171" spans="2:27" x14ac:dyDescent="0.2">
      <c r="B171" s="44" t="str">
        <f t="array" ref="B171">IFERROR(INDEX(pbp_Batter,MATCH(0,COUNTIF($B$5:B170,pbp_Batter)+(pbp_Batter=""),0)),"")</f>
        <v/>
      </c>
      <c r="C171" s="61" t="str">
        <f>IF($B171="","",IFERROR(INDEX(pbp_BatTeam,MATCH($B171,pbp_Batter,0)),""))</f>
        <v/>
      </c>
      <c r="D171" s="61" t="str">
        <f>IF($B171="","",IFERROR(INDEX(pbp_BatHand,MATCH($B171,pbp_Batter,0)),""))</f>
        <v/>
      </c>
      <c r="E171" s="42" t="str">
        <f>IF($B171="","",SUMPRODUCT(COUNTIFS(pbp_PlayType,EM_Type,pbp_Batter,$B171)*EM_PA))</f>
        <v/>
      </c>
      <c r="F171" s="42" t="str">
        <f>IF($B171="","",SUMPRODUCT(COUNTIFS(pbp_PlayType,EM_Type,pbp_Batter,$B171)*EM_AB))</f>
        <v/>
      </c>
      <c r="G171" s="42" t="str">
        <f>IF($B171="","",SUMPRODUCT(COUNTIFS(pbp_PlayType,EM_Type,pbp_Batter,$B171)*EM_H))</f>
        <v/>
      </c>
      <c r="H171" s="42" t="str">
        <f>IF($B171="","",SUMPRODUCT(COUNTIFS(pbp_PlayType,EM_Type,pbp_Batter,$B171)*EM_2B))</f>
        <v/>
      </c>
      <c r="I171" s="42" t="str">
        <f>IF($B171="","",SUMPRODUCT(COUNTIFS(pbp_PlayType,EM_Type,pbp_Batter,$B171)*EM_3B))</f>
        <v/>
      </c>
      <c r="J171" s="42" t="str">
        <f>IF($B171="","",SUMPRODUCT(COUNTIFS(pbp_PlayType,EM_Type,pbp_Batter,$B171)*EM_HR))</f>
        <v/>
      </c>
      <c r="K171" s="42" t="str">
        <f>IF($B171="","",SUMPRODUCT(COUNTIFS(pbp_PlayType,EM_Type,pbp_Batter,$B171)*EM_1B))</f>
        <v/>
      </c>
      <c r="L171" s="42" t="str">
        <f>IF($B171="","",SUMPRODUCT(COUNTIFS(pbp_PlayType,EM_Type,pbp_Batter,$B171)*EM_BB))</f>
        <v/>
      </c>
      <c r="M171" s="42" t="str">
        <f>IF($B171="","",SUMPRODUCT(COUNTIFS(pbp_PlayType,EM_Type,pbp_Batter,$B171)*EM_HBP))</f>
        <v/>
      </c>
      <c r="N171" s="42" t="str">
        <f>IF($B171="","",COUNTIFS(pbp_PlayType,"?*",pbp_Desc,"*struck out*",pbp_Batter,$B171))</f>
        <v/>
      </c>
      <c r="O171" s="42" t="str">
        <f>IF($B171="","",SUMPRODUCT(COUNTIFS(pbp_PlayType,EM_Type,pbp_Batter,$B171)*EM_SF))</f>
        <v/>
      </c>
      <c r="P171" s="42" t="str">
        <f>IF($B171="","",SUMIFS(pbp_Runs,pbp_Batter,$B171))</f>
        <v/>
      </c>
      <c r="Q171" s="58" t="str">
        <f t="shared" si="16"/>
        <v/>
      </c>
      <c r="R171" s="58" t="str">
        <f t="shared" si="17"/>
        <v/>
      </c>
      <c r="S171" s="58" t="str">
        <f t="shared" si="18"/>
        <v/>
      </c>
      <c r="T171" s="58" t="str">
        <f t="shared" si="19"/>
        <v/>
      </c>
      <c r="U171" s="58" t="str">
        <f t="shared" si="20"/>
        <v/>
      </c>
      <c r="V171" s="59" t="str">
        <f t="shared" si="21"/>
        <v/>
      </c>
      <c r="W171" s="59" t="str">
        <f t="shared" si="22"/>
        <v/>
      </c>
      <c r="X171" s="60" t="str">
        <f>IF($B171="","",IF((E171)=0,"",(SUMIFS(pbp_Pitches,pbp_Batter,$B171,pbp_PlayType,"?*"))/(E171)))</f>
        <v/>
      </c>
      <c r="Y171" s="42" t="str">
        <f t="shared" si="23"/>
        <v/>
      </c>
      <c r="Z171" s="58" t="str">
        <f>IF($B171="","",IF((SUMPRODUCT(COUNTIFS(pbp_PlayType,EM_Type,pbp_Batter,$B171,pbp_On2B,"?*")*EM_AB)+SUMPRODUCT(COUNTIFS(pbp_PlayType,EM_Type,pbp_Batter,$B171,pbp_On2B,"",pbp_On3B,"?*")*EM_AB))=0,"",(SUMPRODUCT(COUNTIFS(pbp_PlayType,EM_Type,pbp_Batter,$B171,pbp_On2B,"?*")*EM_H)+SUMPRODUCT(COUNTIFS(pbp_PlayType,EM_Type,pbp_Batter,$B171,pbp_On2B,"",pbp_On3B,"?*")*EM_H))/(SUMPRODUCT(COUNTIFS(pbp_PlayType,EM_Type,pbp_Batter,$B171,pbp_On2B,"?*")*EM_AB)+SUMPRODUCT(COUNTIFS(pbp_PlayType,EM_Type,pbp_Batter,$B171,pbp_On2B,"",pbp_On3B,"?*")*EM_AB))))</f>
        <v/>
      </c>
      <c r="AA171" s="62" t="str">
        <f>IF($B171="","",IF(OR(E171&lt;MinPA,T171=""),"",COUNTIFS($E$6:$E$255,"&gt;="&amp;MinPA,$T$6:$T$255,"&gt;"&amp;T171)+COUNTIFS($E$5:E170,"&gt;="&amp;MinPA,$T$5:T170,T171)+1))</f>
        <v/>
      </c>
    </row>
    <row r="172" spans="2:27" x14ac:dyDescent="0.2">
      <c r="B172" s="44" t="str">
        <f t="array" ref="B172">IFERROR(INDEX(pbp_Batter,MATCH(0,COUNTIF($B$5:B171,pbp_Batter)+(pbp_Batter=""),0)),"")</f>
        <v/>
      </c>
      <c r="C172" s="61" t="str">
        <f>IF($B172="","",IFERROR(INDEX(pbp_BatTeam,MATCH($B172,pbp_Batter,0)),""))</f>
        <v/>
      </c>
      <c r="D172" s="61" t="str">
        <f>IF($B172="","",IFERROR(INDEX(pbp_BatHand,MATCH($B172,pbp_Batter,0)),""))</f>
        <v/>
      </c>
      <c r="E172" s="42" t="str">
        <f>IF($B172="","",SUMPRODUCT(COUNTIFS(pbp_PlayType,EM_Type,pbp_Batter,$B172)*EM_PA))</f>
        <v/>
      </c>
      <c r="F172" s="42" t="str">
        <f>IF($B172="","",SUMPRODUCT(COUNTIFS(pbp_PlayType,EM_Type,pbp_Batter,$B172)*EM_AB))</f>
        <v/>
      </c>
      <c r="G172" s="42" t="str">
        <f>IF($B172="","",SUMPRODUCT(COUNTIFS(pbp_PlayType,EM_Type,pbp_Batter,$B172)*EM_H))</f>
        <v/>
      </c>
      <c r="H172" s="42" t="str">
        <f>IF($B172="","",SUMPRODUCT(COUNTIFS(pbp_PlayType,EM_Type,pbp_Batter,$B172)*EM_2B))</f>
        <v/>
      </c>
      <c r="I172" s="42" t="str">
        <f>IF($B172="","",SUMPRODUCT(COUNTIFS(pbp_PlayType,EM_Type,pbp_Batter,$B172)*EM_3B))</f>
        <v/>
      </c>
      <c r="J172" s="42" t="str">
        <f>IF($B172="","",SUMPRODUCT(COUNTIFS(pbp_PlayType,EM_Type,pbp_Batter,$B172)*EM_HR))</f>
        <v/>
      </c>
      <c r="K172" s="42" t="str">
        <f>IF($B172="","",SUMPRODUCT(COUNTIFS(pbp_PlayType,EM_Type,pbp_Batter,$B172)*EM_1B))</f>
        <v/>
      </c>
      <c r="L172" s="42" t="str">
        <f>IF($B172="","",SUMPRODUCT(COUNTIFS(pbp_PlayType,EM_Type,pbp_Batter,$B172)*EM_BB))</f>
        <v/>
      </c>
      <c r="M172" s="42" t="str">
        <f>IF($B172="","",SUMPRODUCT(COUNTIFS(pbp_PlayType,EM_Type,pbp_Batter,$B172)*EM_HBP))</f>
        <v/>
      </c>
      <c r="N172" s="42" t="str">
        <f>IF($B172="","",COUNTIFS(pbp_PlayType,"?*",pbp_Desc,"*struck out*",pbp_Batter,$B172))</f>
        <v/>
      </c>
      <c r="O172" s="42" t="str">
        <f>IF($B172="","",SUMPRODUCT(COUNTIFS(pbp_PlayType,EM_Type,pbp_Batter,$B172)*EM_SF))</f>
        <v/>
      </c>
      <c r="P172" s="42" t="str">
        <f>IF($B172="","",SUMIFS(pbp_Runs,pbp_Batter,$B172))</f>
        <v/>
      </c>
      <c r="Q172" s="58" t="str">
        <f t="shared" si="16"/>
        <v/>
      </c>
      <c r="R172" s="58" t="str">
        <f t="shared" si="17"/>
        <v/>
      </c>
      <c r="S172" s="58" t="str">
        <f t="shared" si="18"/>
        <v/>
      </c>
      <c r="T172" s="58" t="str">
        <f t="shared" si="19"/>
        <v/>
      </c>
      <c r="U172" s="58" t="str">
        <f t="shared" si="20"/>
        <v/>
      </c>
      <c r="V172" s="59" t="str">
        <f t="shared" si="21"/>
        <v/>
      </c>
      <c r="W172" s="59" t="str">
        <f t="shared" si="22"/>
        <v/>
      </c>
      <c r="X172" s="60" t="str">
        <f>IF($B172="","",IF((E172)=0,"",(SUMIFS(pbp_Pitches,pbp_Batter,$B172,pbp_PlayType,"?*"))/(E172)))</f>
        <v/>
      </c>
      <c r="Y172" s="42" t="str">
        <f t="shared" si="23"/>
        <v/>
      </c>
      <c r="Z172" s="58" t="str">
        <f>IF($B172="","",IF((SUMPRODUCT(COUNTIFS(pbp_PlayType,EM_Type,pbp_Batter,$B172,pbp_On2B,"?*")*EM_AB)+SUMPRODUCT(COUNTIFS(pbp_PlayType,EM_Type,pbp_Batter,$B172,pbp_On2B,"",pbp_On3B,"?*")*EM_AB))=0,"",(SUMPRODUCT(COUNTIFS(pbp_PlayType,EM_Type,pbp_Batter,$B172,pbp_On2B,"?*")*EM_H)+SUMPRODUCT(COUNTIFS(pbp_PlayType,EM_Type,pbp_Batter,$B172,pbp_On2B,"",pbp_On3B,"?*")*EM_H))/(SUMPRODUCT(COUNTIFS(pbp_PlayType,EM_Type,pbp_Batter,$B172,pbp_On2B,"?*")*EM_AB)+SUMPRODUCT(COUNTIFS(pbp_PlayType,EM_Type,pbp_Batter,$B172,pbp_On2B,"",pbp_On3B,"?*")*EM_AB))))</f>
        <v/>
      </c>
      <c r="AA172" s="62" t="str">
        <f>IF($B172="","",IF(OR(E172&lt;MinPA,T172=""),"",COUNTIFS($E$6:$E$255,"&gt;="&amp;MinPA,$T$6:$T$255,"&gt;"&amp;T172)+COUNTIFS($E$5:E171,"&gt;="&amp;MinPA,$T$5:T171,T172)+1))</f>
        <v/>
      </c>
    </row>
    <row r="173" spans="2:27" x14ac:dyDescent="0.2">
      <c r="B173" s="44" t="str">
        <f t="array" ref="B173">IFERROR(INDEX(pbp_Batter,MATCH(0,COUNTIF($B$5:B172,pbp_Batter)+(pbp_Batter=""),0)),"")</f>
        <v/>
      </c>
      <c r="C173" s="61" t="str">
        <f>IF($B173="","",IFERROR(INDEX(pbp_BatTeam,MATCH($B173,pbp_Batter,0)),""))</f>
        <v/>
      </c>
      <c r="D173" s="61" t="str">
        <f>IF($B173="","",IFERROR(INDEX(pbp_BatHand,MATCH($B173,pbp_Batter,0)),""))</f>
        <v/>
      </c>
      <c r="E173" s="42" t="str">
        <f>IF($B173="","",SUMPRODUCT(COUNTIFS(pbp_PlayType,EM_Type,pbp_Batter,$B173)*EM_PA))</f>
        <v/>
      </c>
      <c r="F173" s="42" t="str">
        <f>IF($B173="","",SUMPRODUCT(COUNTIFS(pbp_PlayType,EM_Type,pbp_Batter,$B173)*EM_AB))</f>
        <v/>
      </c>
      <c r="G173" s="42" t="str">
        <f>IF($B173="","",SUMPRODUCT(COUNTIFS(pbp_PlayType,EM_Type,pbp_Batter,$B173)*EM_H))</f>
        <v/>
      </c>
      <c r="H173" s="42" t="str">
        <f>IF($B173="","",SUMPRODUCT(COUNTIFS(pbp_PlayType,EM_Type,pbp_Batter,$B173)*EM_2B))</f>
        <v/>
      </c>
      <c r="I173" s="42" t="str">
        <f>IF($B173="","",SUMPRODUCT(COUNTIFS(pbp_PlayType,EM_Type,pbp_Batter,$B173)*EM_3B))</f>
        <v/>
      </c>
      <c r="J173" s="42" t="str">
        <f>IF($B173="","",SUMPRODUCT(COUNTIFS(pbp_PlayType,EM_Type,pbp_Batter,$B173)*EM_HR))</f>
        <v/>
      </c>
      <c r="K173" s="42" t="str">
        <f>IF($B173="","",SUMPRODUCT(COUNTIFS(pbp_PlayType,EM_Type,pbp_Batter,$B173)*EM_1B))</f>
        <v/>
      </c>
      <c r="L173" s="42" t="str">
        <f>IF($B173="","",SUMPRODUCT(COUNTIFS(pbp_PlayType,EM_Type,pbp_Batter,$B173)*EM_BB))</f>
        <v/>
      </c>
      <c r="M173" s="42" t="str">
        <f>IF($B173="","",SUMPRODUCT(COUNTIFS(pbp_PlayType,EM_Type,pbp_Batter,$B173)*EM_HBP))</f>
        <v/>
      </c>
      <c r="N173" s="42" t="str">
        <f>IF($B173="","",COUNTIFS(pbp_PlayType,"?*",pbp_Desc,"*struck out*",pbp_Batter,$B173))</f>
        <v/>
      </c>
      <c r="O173" s="42" t="str">
        <f>IF($B173="","",SUMPRODUCT(COUNTIFS(pbp_PlayType,EM_Type,pbp_Batter,$B173)*EM_SF))</f>
        <v/>
      </c>
      <c r="P173" s="42" t="str">
        <f>IF($B173="","",SUMIFS(pbp_Runs,pbp_Batter,$B173))</f>
        <v/>
      </c>
      <c r="Q173" s="58" t="str">
        <f t="shared" si="16"/>
        <v/>
      </c>
      <c r="R173" s="58" t="str">
        <f t="shared" si="17"/>
        <v/>
      </c>
      <c r="S173" s="58" t="str">
        <f t="shared" si="18"/>
        <v/>
      </c>
      <c r="T173" s="58" t="str">
        <f t="shared" si="19"/>
        <v/>
      </c>
      <c r="U173" s="58" t="str">
        <f t="shared" si="20"/>
        <v/>
      </c>
      <c r="V173" s="59" t="str">
        <f t="shared" si="21"/>
        <v/>
      </c>
      <c r="W173" s="59" t="str">
        <f t="shared" si="22"/>
        <v/>
      </c>
      <c r="X173" s="60" t="str">
        <f>IF($B173="","",IF((E173)=0,"",(SUMIFS(pbp_Pitches,pbp_Batter,$B173,pbp_PlayType,"?*"))/(E173)))</f>
        <v/>
      </c>
      <c r="Y173" s="42" t="str">
        <f t="shared" si="23"/>
        <v/>
      </c>
      <c r="Z173" s="58" t="str">
        <f>IF($B173="","",IF((SUMPRODUCT(COUNTIFS(pbp_PlayType,EM_Type,pbp_Batter,$B173,pbp_On2B,"?*")*EM_AB)+SUMPRODUCT(COUNTIFS(pbp_PlayType,EM_Type,pbp_Batter,$B173,pbp_On2B,"",pbp_On3B,"?*")*EM_AB))=0,"",(SUMPRODUCT(COUNTIFS(pbp_PlayType,EM_Type,pbp_Batter,$B173,pbp_On2B,"?*")*EM_H)+SUMPRODUCT(COUNTIFS(pbp_PlayType,EM_Type,pbp_Batter,$B173,pbp_On2B,"",pbp_On3B,"?*")*EM_H))/(SUMPRODUCT(COUNTIFS(pbp_PlayType,EM_Type,pbp_Batter,$B173,pbp_On2B,"?*")*EM_AB)+SUMPRODUCT(COUNTIFS(pbp_PlayType,EM_Type,pbp_Batter,$B173,pbp_On2B,"",pbp_On3B,"?*")*EM_AB))))</f>
        <v/>
      </c>
      <c r="AA173" s="62" t="str">
        <f>IF($B173="","",IF(OR(E173&lt;MinPA,T173=""),"",COUNTIFS($E$6:$E$255,"&gt;="&amp;MinPA,$T$6:$T$255,"&gt;"&amp;T173)+COUNTIFS($E$5:E172,"&gt;="&amp;MinPA,$T$5:T172,T173)+1))</f>
        <v/>
      </c>
    </row>
    <row r="174" spans="2:27" x14ac:dyDescent="0.2">
      <c r="B174" s="44" t="str">
        <f t="array" ref="B174">IFERROR(INDEX(pbp_Batter,MATCH(0,COUNTIF($B$5:B173,pbp_Batter)+(pbp_Batter=""),0)),"")</f>
        <v/>
      </c>
      <c r="C174" s="61" t="str">
        <f>IF($B174="","",IFERROR(INDEX(pbp_BatTeam,MATCH($B174,pbp_Batter,0)),""))</f>
        <v/>
      </c>
      <c r="D174" s="61" t="str">
        <f>IF($B174="","",IFERROR(INDEX(pbp_BatHand,MATCH($B174,pbp_Batter,0)),""))</f>
        <v/>
      </c>
      <c r="E174" s="42" t="str">
        <f>IF($B174="","",SUMPRODUCT(COUNTIFS(pbp_PlayType,EM_Type,pbp_Batter,$B174)*EM_PA))</f>
        <v/>
      </c>
      <c r="F174" s="42" t="str">
        <f>IF($B174="","",SUMPRODUCT(COUNTIFS(pbp_PlayType,EM_Type,pbp_Batter,$B174)*EM_AB))</f>
        <v/>
      </c>
      <c r="G174" s="42" t="str">
        <f>IF($B174="","",SUMPRODUCT(COUNTIFS(pbp_PlayType,EM_Type,pbp_Batter,$B174)*EM_H))</f>
        <v/>
      </c>
      <c r="H174" s="42" t="str">
        <f>IF($B174="","",SUMPRODUCT(COUNTIFS(pbp_PlayType,EM_Type,pbp_Batter,$B174)*EM_2B))</f>
        <v/>
      </c>
      <c r="I174" s="42" t="str">
        <f>IF($B174="","",SUMPRODUCT(COUNTIFS(pbp_PlayType,EM_Type,pbp_Batter,$B174)*EM_3B))</f>
        <v/>
      </c>
      <c r="J174" s="42" t="str">
        <f>IF($B174="","",SUMPRODUCT(COUNTIFS(pbp_PlayType,EM_Type,pbp_Batter,$B174)*EM_HR))</f>
        <v/>
      </c>
      <c r="K174" s="42" t="str">
        <f>IF($B174="","",SUMPRODUCT(COUNTIFS(pbp_PlayType,EM_Type,pbp_Batter,$B174)*EM_1B))</f>
        <v/>
      </c>
      <c r="L174" s="42" t="str">
        <f>IF($B174="","",SUMPRODUCT(COUNTIFS(pbp_PlayType,EM_Type,pbp_Batter,$B174)*EM_BB))</f>
        <v/>
      </c>
      <c r="M174" s="42" t="str">
        <f>IF($B174="","",SUMPRODUCT(COUNTIFS(pbp_PlayType,EM_Type,pbp_Batter,$B174)*EM_HBP))</f>
        <v/>
      </c>
      <c r="N174" s="42" t="str">
        <f>IF($B174="","",COUNTIFS(pbp_PlayType,"?*",pbp_Desc,"*struck out*",pbp_Batter,$B174))</f>
        <v/>
      </c>
      <c r="O174" s="42" t="str">
        <f>IF($B174="","",SUMPRODUCT(COUNTIFS(pbp_PlayType,EM_Type,pbp_Batter,$B174)*EM_SF))</f>
        <v/>
      </c>
      <c r="P174" s="42" t="str">
        <f>IF($B174="","",SUMIFS(pbp_Runs,pbp_Batter,$B174))</f>
        <v/>
      </c>
      <c r="Q174" s="58" t="str">
        <f t="shared" si="16"/>
        <v/>
      </c>
      <c r="R174" s="58" t="str">
        <f t="shared" si="17"/>
        <v/>
      </c>
      <c r="S174" s="58" t="str">
        <f t="shared" si="18"/>
        <v/>
      </c>
      <c r="T174" s="58" t="str">
        <f t="shared" si="19"/>
        <v/>
      </c>
      <c r="U174" s="58" t="str">
        <f t="shared" si="20"/>
        <v/>
      </c>
      <c r="V174" s="59" t="str">
        <f t="shared" si="21"/>
        <v/>
      </c>
      <c r="W174" s="59" t="str">
        <f t="shared" si="22"/>
        <v/>
      </c>
      <c r="X174" s="60" t="str">
        <f>IF($B174="","",IF((E174)=0,"",(SUMIFS(pbp_Pitches,pbp_Batter,$B174,pbp_PlayType,"?*"))/(E174)))</f>
        <v/>
      </c>
      <c r="Y174" s="42" t="str">
        <f t="shared" si="23"/>
        <v/>
      </c>
      <c r="Z174" s="58" t="str">
        <f>IF($B174="","",IF((SUMPRODUCT(COUNTIFS(pbp_PlayType,EM_Type,pbp_Batter,$B174,pbp_On2B,"?*")*EM_AB)+SUMPRODUCT(COUNTIFS(pbp_PlayType,EM_Type,pbp_Batter,$B174,pbp_On2B,"",pbp_On3B,"?*")*EM_AB))=0,"",(SUMPRODUCT(COUNTIFS(pbp_PlayType,EM_Type,pbp_Batter,$B174,pbp_On2B,"?*")*EM_H)+SUMPRODUCT(COUNTIFS(pbp_PlayType,EM_Type,pbp_Batter,$B174,pbp_On2B,"",pbp_On3B,"?*")*EM_H))/(SUMPRODUCT(COUNTIFS(pbp_PlayType,EM_Type,pbp_Batter,$B174,pbp_On2B,"?*")*EM_AB)+SUMPRODUCT(COUNTIFS(pbp_PlayType,EM_Type,pbp_Batter,$B174,pbp_On2B,"",pbp_On3B,"?*")*EM_AB))))</f>
        <v/>
      </c>
      <c r="AA174" s="62" t="str">
        <f>IF($B174="","",IF(OR(E174&lt;MinPA,T174=""),"",COUNTIFS($E$6:$E$255,"&gt;="&amp;MinPA,$T$6:$T$255,"&gt;"&amp;T174)+COUNTIFS($E$5:E173,"&gt;="&amp;MinPA,$T$5:T173,T174)+1))</f>
        <v/>
      </c>
    </row>
    <row r="175" spans="2:27" x14ac:dyDescent="0.2">
      <c r="B175" s="44" t="str">
        <f t="array" ref="B175">IFERROR(INDEX(pbp_Batter,MATCH(0,COUNTIF($B$5:B174,pbp_Batter)+(pbp_Batter=""),0)),"")</f>
        <v/>
      </c>
      <c r="C175" s="61" t="str">
        <f>IF($B175="","",IFERROR(INDEX(pbp_BatTeam,MATCH($B175,pbp_Batter,0)),""))</f>
        <v/>
      </c>
      <c r="D175" s="61" t="str">
        <f>IF($B175="","",IFERROR(INDEX(pbp_BatHand,MATCH($B175,pbp_Batter,0)),""))</f>
        <v/>
      </c>
      <c r="E175" s="42" t="str">
        <f>IF($B175="","",SUMPRODUCT(COUNTIFS(pbp_PlayType,EM_Type,pbp_Batter,$B175)*EM_PA))</f>
        <v/>
      </c>
      <c r="F175" s="42" t="str">
        <f>IF($B175="","",SUMPRODUCT(COUNTIFS(pbp_PlayType,EM_Type,pbp_Batter,$B175)*EM_AB))</f>
        <v/>
      </c>
      <c r="G175" s="42" t="str">
        <f>IF($B175="","",SUMPRODUCT(COUNTIFS(pbp_PlayType,EM_Type,pbp_Batter,$B175)*EM_H))</f>
        <v/>
      </c>
      <c r="H175" s="42" t="str">
        <f>IF($B175="","",SUMPRODUCT(COUNTIFS(pbp_PlayType,EM_Type,pbp_Batter,$B175)*EM_2B))</f>
        <v/>
      </c>
      <c r="I175" s="42" t="str">
        <f>IF($B175="","",SUMPRODUCT(COUNTIFS(pbp_PlayType,EM_Type,pbp_Batter,$B175)*EM_3B))</f>
        <v/>
      </c>
      <c r="J175" s="42" t="str">
        <f>IF($B175="","",SUMPRODUCT(COUNTIFS(pbp_PlayType,EM_Type,pbp_Batter,$B175)*EM_HR))</f>
        <v/>
      </c>
      <c r="K175" s="42" t="str">
        <f>IF($B175="","",SUMPRODUCT(COUNTIFS(pbp_PlayType,EM_Type,pbp_Batter,$B175)*EM_1B))</f>
        <v/>
      </c>
      <c r="L175" s="42" t="str">
        <f>IF($B175="","",SUMPRODUCT(COUNTIFS(pbp_PlayType,EM_Type,pbp_Batter,$B175)*EM_BB))</f>
        <v/>
      </c>
      <c r="M175" s="42" t="str">
        <f>IF($B175="","",SUMPRODUCT(COUNTIFS(pbp_PlayType,EM_Type,pbp_Batter,$B175)*EM_HBP))</f>
        <v/>
      </c>
      <c r="N175" s="42" t="str">
        <f>IF($B175="","",COUNTIFS(pbp_PlayType,"?*",pbp_Desc,"*struck out*",pbp_Batter,$B175))</f>
        <v/>
      </c>
      <c r="O175" s="42" t="str">
        <f>IF($B175="","",SUMPRODUCT(COUNTIFS(pbp_PlayType,EM_Type,pbp_Batter,$B175)*EM_SF))</f>
        <v/>
      </c>
      <c r="P175" s="42" t="str">
        <f>IF($B175="","",SUMIFS(pbp_Runs,pbp_Batter,$B175))</f>
        <v/>
      </c>
      <c r="Q175" s="58" t="str">
        <f t="shared" si="16"/>
        <v/>
      </c>
      <c r="R175" s="58" t="str">
        <f t="shared" si="17"/>
        <v/>
      </c>
      <c r="S175" s="58" t="str">
        <f t="shared" si="18"/>
        <v/>
      </c>
      <c r="T175" s="58" t="str">
        <f t="shared" si="19"/>
        <v/>
      </c>
      <c r="U175" s="58" t="str">
        <f t="shared" si="20"/>
        <v/>
      </c>
      <c r="V175" s="59" t="str">
        <f t="shared" si="21"/>
        <v/>
      </c>
      <c r="W175" s="59" t="str">
        <f t="shared" si="22"/>
        <v/>
      </c>
      <c r="X175" s="60" t="str">
        <f>IF($B175="","",IF((E175)=0,"",(SUMIFS(pbp_Pitches,pbp_Batter,$B175,pbp_PlayType,"?*"))/(E175)))</f>
        <v/>
      </c>
      <c r="Y175" s="42" t="str">
        <f t="shared" si="23"/>
        <v/>
      </c>
      <c r="Z175" s="58" t="str">
        <f>IF($B175="","",IF((SUMPRODUCT(COUNTIFS(pbp_PlayType,EM_Type,pbp_Batter,$B175,pbp_On2B,"?*")*EM_AB)+SUMPRODUCT(COUNTIFS(pbp_PlayType,EM_Type,pbp_Batter,$B175,pbp_On2B,"",pbp_On3B,"?*")*EM_AB))=0,"",(SUMPRODUCT(COUNTIFS(pbp_PlayType,EM_Type,pbp_Batter,$B175,pbp_On2B,"?*")*EM_H)+SUMPRODUCT(COUNTIFS(pbp_PlayType,EM_Type,pbp_Batter,$B175,pbp_On2B,"",pbp_On3B,"?*")*EM_H))/(SUMPRODUCT(COUNTIFS(pbp_PlayType,EM_Type,pbp_Batter,$B175,pbp_On2B,"?*")*EM_AB)+SUMPRODUCT(COUNTIFS(pbp_PlayType,EM_Type,pbp_Batter,$B175,pbp_On2B,"",pbp_On3B,"?*")*EM_AB))))</f>
        <v/>
      </c>
      <c r="AA175" s="62" t="str">
        <f>IF($B175="","",IF(OR(E175&lt;MinPA,T175=""),"",COUNTIFS($E$6:$E$255,"&gt;="&amp;MinPA,$T$6:$T$255,"&gt;"&amp;T175)+COUNTIFS($E$5:E174,"&gt;="&amp;MinPA,$T$5:T174,T175)+1))</f>
        <v/>
      </c>
    </row>
    <row r="176" spans="2:27" x14ac:dyDescent="0.2">
      <c r="B176" s="44" t="str">
        <f t="array" ref="B176">IFERROR(INDEX(pbp_Batter,MATCH(0,COUNTIF($B$5:B175,pbp_Batter)+(pbp_Batter=""),0)),"")</f>
        <v/>
      </c>
      <c r="C176" s="61" t="str">
        <f>IF($B176="","",IFERROR(INDEX(pbp_BatTeam,MATCH($B176,pbp_Batter,0)),""))</f>
        <v/>
      </c>
      <c r="D176" s="61" t="str">
        <f>IF($B176="","",IFERROR(INDEX(pbp_BatHand,MATCH($B176,pbp_Batter,0)),""))</f>
        <v/>
      </c>
      <c r="E176" s="42" t="str">
        <f>IF($B176="","",SUMPRODUCT(COUNTIFS(pbp_PlayType,EM_Type,pbp_Batter,$B176)*EM_PA))</f>
        <v/>
      </c>
      <c r="F176" s="42" t="str">
        <f>IF($B176="","",SUMPRODUCT(COUNTIFS(pbp_PlayType,EM_Type,pbp_Batter,$B176)*EM_AB))</f>
        <v/>
      </c>
      <c r="G176" s="42" t="str">
        <f>IF($B176="","",SUMPRODUCT(COUNTIFS(pbp_PlayType,EM_Type,pbp_Batter,$B176)*EM_H))</f>
        <v/>
      </c>
      <c r="H176" s="42" t="str">
        <f>IF($B176="","",SUMPRODUCT(COUNTIFS(pbp_PlayType,EM_Type,pbp_Batter,$B176)*EM_2B))</f>
        <v/>
      </c>
      <c r="I176" s="42" t="str">
        <f>IF($B176="","",SUMPRODUCT(COUNTIFS(pbp_PlayType,EM_Type,pbp_Batter,$B176)*EM_3B))</f>
        <v/>
      </c>
      <c r="J176" s="42" t="str">
        <f>IF($B176="","",SUMPRODUCT(COUNTIFS(pbp_PlayType,EM_Type,pbp_Batter,$B176)*EM_HR))</f>
        <v/>
      </c>
      <c r="K176" s="42" t="str">
        <f>IF($B176="","",SUMPRODUCT(COUNTIFS(pbp_PlayType,EM_Type,pbp_Batter,$B176)*EM_1B))</f>
        <v/>
      </c>
      <c r="L176" s="42" t="str">
        <f>IF($B176="","",SUMPRODUCT(COUNTIFS(pbp_PlayType,EM_Type,pbp_Batter,$B176)*EM_BB))</f>
        <v/>
      </c>
      <c r="M176" s="42" t="str">
        <f>IF($B176="","",SUMPRODUCT(COUNTIFS(pbp_PlayType,EM_Type,pbp_Batter,$B176)*EM_HBP))</f>
        <v/>
      </c>
      <c r="N176" s="42" t="str">
        <f>IF($B176="","",COUNTIFS(pbp_PlayType,"?*",pbp_Desc,"*struck out*",pbp_Batter,$B176))</f>
        <v/>
      </c>
      <c r="O176" s="42" t="str">
        <f>IF($B176="","",SUMPRODUCT(COUNTIFS(pbp_PlayType,EM_Type,pbp_Batter,$B176)*EM_SF))</f>
        <v/>
      </c>
      <c r="P176" s="42" t="str">
        <f>IF($B176="","",SUMIFS(pbp_Runs,pbp_Batter,$B176))</f>
        <v/>
      </c>
      <c r="Q176" s="58" t="str">
        <f t="shared" si="16"/>
        <v/>
      </c>
      <c r="R176" s="58" t="str">
        <f t="shared" si="17"/>
        <v/>
      </c>
      <c r="S176" s="58" t="str">
        <f t="shared" si="18"/>
        <v/>
      </c>
      <c r="T176" s="58" t="str">
        <f t="shared" si="19"/>
        <v/>
      </c>
      <c r="U176" s="58" t="str">
        <f t="shared" si="20"/>
        <v/>
      </c>
      <c r="V176" s="59" t="str">
        <f t="shared" si="21"/>
        <v/>
      </c>
      <c r="W176" s="59" t="str">
        <f t="shared" si="22"/>
        <v/>
      </c>
      <c r="X176" s="60" t="str">
        <f>IF($B176="","",IF((E176)=0,"",(SUMIFS(pbp_Pitches,pbp_Batter,$B176,pbp_PlayType,"?*"))/(E176)))</f>
        <v/>
      </c>
      <c r="Y176" s="42" t="str">
        <f t="shared" si="23"/>
        <v/>
      </c>
      <c r="Z176" s="58" t="str">
        <f>IF($B176="","",IF((SUMPRODUCT(COUNTIFS(pbp_PlayType,EM_Type,pbp_Batter,$B176,pbp_On2B,"?*")*EM_AB)+SUMPRODUCT(COUNTIFS(pbp_PlayType,EM_Type,pbp_Batter,$B176,pbp_On2B,"",pbp_On3B,"?*")*EM_AB))=0,"",(SUMPRODUCT(COUNTIFS(pbp_PlayType,EM_Type,pbp_Batter,$B176,pbp_On2B,"?*")*EM_H)+SUMPRODUCT(COUNTIFS(pbp_PlayType,EM_Type,pbp_Batter,$B176,pbp_On2B,"",pbp_On3B,"?*")*EM_H))/(SUMPRODUCT(COUNTIFS(pbp_PlayType,EM_Type,pbp_Batter,$B176,pbp_On2B,"?*")*EM_AB)+SUMPRODUCT(COUNTIFS(pbp_PlayType,EM_Type,pbp_Batter,$B176,pbp_On2B,"",pbp_On3B,"?*")*EM_AB))))</f>
        <v/>
      </c>
      <c r="AA176" s="62" t="str">
        <f>IF($B176="","",IF(OR(E176&lt;MinPA,T176=""),"",COUNTIFS($E$6:$E$255,"&gt;="&amp;MinPA,$T$6:$T$255,"&gt;"&amp;T176)+COUNTIFS($E$5:E175,"&gt;="&amp;MinPA,$T$5:T175,T176)+1))</f>
        <v/>
      </c>
    </row>
    <row r="177" spans="2:27" x14ac:dyDescent="0.2">
      <c r="B177" s="44" t="str">
        <f t="array" ref="B177">IFERROR(INDEX(pbp_Batter,MATCH(0,COUNTIF($B$5:B176,pbp_Batter)+(pbp_Batter=""),0)),"")</f>
        <v/>
      </c>
      <c r="C177" s="61" t="str">
        <f>IF($B177="","",IFERROR(INDEX(pbp_BatTeam,MATCH($B177,pbp_Batter,0)),""))</f>
        <v/>
      </c>
      <c r="D177" s="61" t="str">
        <f>IF($B177="","",IFERROR(INDEX(pbp_BatHand,MATCH($B177,pbp_Batter,0)),""))</f>
        <v/>
      </c>
      <c r="E177" s="42" t="str">
        <f>IF($B177="","",SUMPRODUCT(COUNTIFS(pbp_PlayType,EM_Type,pbp_Batter,$B177)*EM_PA))</f>
        <v/>
      </c>
      <c r="F177" s="42" t="str">
        <f>IF($B177="","",SUMPRODUCT(COUNTIFS(pbp_PlayType,EM_Type,pbp_Batter,$B177)*EM_AB))</f>
        <v/>
      </c>
      <c r="G177" s="42" t="str">
        <f>IF($B177="","",SUMPRODUCT(COUNTIFS(pbp_PlayType,EM_Type,pbp_Batter,$B177)*EM_H))</f>
        <v/>
      </c>
      <c r="H177" s="42" t="str">
        <f>IF($B177="","",SUMPRODUCT(COUNTIFS(pbp_PlayType,EM_Type,pbp_Batter,$B177)*EM_2B))</f>
        <v/>
      </c>
      <c r="I177" s="42" t="str">
        <f>IF($B177="","",SUMPRODUCT(COUNTIFS(pbp_PlayType,EM_Type,pbp_Batter,$B177)*EM_3B))</f>
        <v/>
      </c>
      <c r="J177" s="42" t="str">
        <f>IF($B177="","",SUMPRODUCT(COUNTIFS(pbp_PlayType,EM_Type,pbp_Batter,$B177)*EM_HR))</f>
        <v/>
      </c>
      <c r="K177" s="42" t="str">
        <f>IF($B177="","",SUMPRODUCT(COUNTIFS(pbp_PlayType,EM_Type,pbp_Batter,$B177)*EM_1B))</f>
        <v/>
      </c>
      <c r="L177" s="42" t="str">
        <f>IF($B177="","",SUMPRODUCT(COUNTIFS(pbp_PlayType,EM_Type,pbp_Batter,$B177)*EM_BB))</f>
        <v/>
      </c>
      <c r="M177" s="42" t="str">
        <f>IF($B177="","",SUMPRODUCT(COUNTIFS(pbp_PlayType,EM_Type,pbp_Batter,$B177)*EM_HBP))</f>
        <v/>
      </c>
      <c r="N177" s="42" t="str">
        <f>IF($B177="","",COUNTIFS(pbp_PlayType,"?*",pbp_Desc,"*struck out*",pbp_Batter,$B177))</f>
        <v/>
      </c>
      <c r="O177" s="42" t="str">
        <f>IF($B177="","",SUMPRODUCT(COUNTIFS(pbp_PlayType,EM_Type,pbp_Batter,$B177)*EM_SF))</f>
        <v/>
      </c>
      <c r="P177" s="42" t="str">
        <f>IF($B177="","",SUMIFS(pbp_Runs,pbp_Batter,$B177))</f>
        <v/>
      </c>
      <c r="Q177" s="58" t="str">
        <f t="shared" si="16"/>
        <v/>
      </c>
      <c r="R177" s="58" t="str">
        <f t="shared" si="17"/>
        <v/>
      </c>
      <c r="S177" s="58" t="str">
        <f t="shared" si="18"/>
        <v/>
      </c>
      <c r="T177" s="58" t="str">
        <f t="shared" si="19"/>
        <v/>
      </c>
      <c r="U177" s="58" t="str">
        <f t="shared" si="20"/>
        <v/>
      </c>
      <c r="V177" s="59" t="str">
        <f t="shared" si="21"/>
        <v/>
      </c>
      <c r="W177" s="59" t="str">
        <f t="shared" si="22"/>
        <v/>
      </c>
      <c r="X177" s="60" t="str">
        <f>IF($B177="","",IF((E177)=0,"",(SUMIFS(pbp_Pitches,pbp_Batter,$B177,pbp_PlayType,"?*"))/(E177)))</f>
        <v/>
      </c>
      <c r="Y177" s="42" t="str">
        <f t="shared" si="23"/>
        <v/>
      </c>
      <c r="Z177" s="58" t="str">
        <f>IF($B177="","",IF((SUMPRODUCT(COUNTIFS(pbp_PlayType,EM_Type,pbp_Batter,$B177,pbp_On2B,"?*")*EM_AB)+SUMPRODUCT(COUNTIFS(pbp_PlayType,EM_Type,pbp_Batter,$B177,pbp_On2B,"",pbp_On3B,"?*")*EM_AB))=0,"",(SUMPRODUCT(COUNTIFS(pbp_PlayType,EM_Type,pbp_Batter,$B177,pbp_On2B,"?*")*EM_H)+SUMPRODUCT(COUNTIFS(pbp_PlayType,EM_Type,pbp_Batter,$B177,pbp_On2B,"",pbp_On3B,"?*")*EM_H))/(SUMPRODUCT(COUNTIFS(pbp_PlayType,EM_Type,pbp_Batter,$B177,pbp_On2B,"?*")*EM_AB)+SUMPRODUCT(COUNTIFS(pbp_PlayType,EM_Type,pbp_Batter,$B177,pbp_On2B,"",pbp_On3B,"?*")*EM_AB))))</f>
        <v/>
      </c>
      <c r="AA177" s="62" t="str">
        <f>IF($B177="","",IF(OR(E177&lt;MinPA,T177=""),"",COUNTIFS($E$6:$E$255,"&gt;="&amp;MinPA,$T$6:$T$255,"&gt;"&amp;T177)+COUNTIFS($E$5:E176,"&gt;="&amp;MinPA,$T$5:T176,T177)+1))</f>
        <v/>
      </c>
    </row>
    <row r="178" spans="2:27" x14ac:dyDescent="0.2">
      <c r="B178" s="44" t="str">
        <f t="array" ref="B178">IFERROR(INDEX(pbp_Batter,MATCH(0,COUNTIF($B$5:B177,pbp_Batter)+(pbp_Batter=""),0)),"")</f>
        <v/>
      </c>
      <c r="C178" s="61" t="str">
        <f>IF($B178="","",IFERROR(INDEX(pbp_BatTeam,MATCH($B178,pbp_Batter,0)),""))</f>
        <v/>
      </c>
      <c r="D178" s="61" t="str">
        <f>IF($B178="","",IFERROR(INDEX(pbp_BatHand,MATCH($B178,pbp_Batter,0)),""))</f>
        <v/>
      </c>
      <c r="E178" s="42" t="str">
        <f>IF($B178="","",SUMPRODUCT(COUNTIFS(pbp_PlayType,EM_Type,pbp_Batter,$B178)*EM_PA))</f>
        <v/>
      </c>
      <c r="F178" s="42" t="str">
        <f>IF($B178="","",SUMPRODUCT(COUNTIFS(pbp_PlayType,EM_Type,pbp_Batter,$B178)*EM_AB))</f>
        <v/>
      </c>
      <c r="G178" s="42" t="str">
        <f>IF($B178="","",SUMPRODUCT(COUNTIFS(pbp_PlayType,EM_Type,pbp_Batter,$B178)*EM_H))</f>
        <v/>
      </c>
      <c r="H178" s="42" t="str">
        <f>IF($B178="","",SUMPRODUCT(COUNTIFS(pbp_PlayType,EM_Type,pbp_Batter,$B178)*EM_2B))</f>
        <v/>
      </c>
      <c r="I178" s="42" t="str">
        <f>IF($B178="","",SUMPRODUCT(COUNTIFS(pbp_PlayType,EM_Type,pbp_Batter,$B178)*EM_3B))</f>
        <v/>
      </c>
      <c r="J178" s="42" t="str">
        <f>IF($B178="","",SUMPRODUCT(COUNTIFS(pbp_PlayType,EM_Type,pbp_Batter,$B178)*EM_HR))</f>
        <v/>
      </c>
      <c r="K178" s="42" t="str">
        <f>IF($B178="","",SUMPRODUCT(COUNTIFS(pbp_PlayType,EM_Type,pbp_Batter,$B178)*EM_1B))</f>
        <v/>
      </c>
      <c r="L178" s="42" t="str">
        <f>IF($B178="","",SUMPRODUCT(COUNTIFS(pbp_PlayType,EM_Type,pbp_Batter,$B178)*EM_BB))</f>
        <v/>
      </c>
      <c r="M178" s="42" t="str">
        <f>IF($B178="","",SUMPRODUCT(COUNTIFS(pbp_PlayType,EM_Type,pbp_Batter,$B178)*EM_HBP))</f>
        <v/>
      </c>
      <c r="N178" s="42" t="str">
        <f>IF($B178="","",COUNTIFS(pbp_PlayType,"?*",pbp_Desc,"*struck out*",pbp_Batter,$B178))</f>
        <v/>
      </c>
      <c r="O178" s="42" t="str">
        <f>IF($B178="","",SUMPRODUCT(COUNTIFS(pbp_PlayType,EM_Type,pbp_Batter,$B178)*EM_SF))</f>
        <v/>
      </c>
      <c r="P178" s="42" t="str">
        <f>IF($B178="","",SUMIFS(pbp_Runs,pbp_Batter,$B178))</f>
        <v/>
      </c>
      <c r="Q178" s="58" t="str">
        <f t="shared" si="16"/>
        <v/>
      </c>
      <c r="R178" s="58" t="str">
        <f t="shared" si="17"/>
        <v/>
      </c>
      <c r="S178" s="58" t="str">
        <f t="shared" si="18"/>
        <v/>
      </c>
      <c r="T178" s="58" t="str">
        <f t="shared" si="19"/>
        <v/>
      </c>
      <c r="U178" s="58" t="str">
        <f t="shared" si="20"/>
        <v/>
      </c>
      <c r="V178" s="59" t="str">
        <f t="shared" si="21"/>
        <v/>
      </c>
      <c r="W178" s="59" t="str">
        <f t="shared" si="22"/>
        <v/>
      </c>
      <c r="X178" s="60" t="str">
        <f>IF($B178="","",IF((E178)=0,"",(SUMIFS(pbp_Pitches,pbp_Batter,$B178,pbp_PlayType,"?*"))/(E178)))</f>
        <v/>
      </c>
      <c r="Y178" s="42" t="str">
        <f t="shared" si="23"/>
        <v/>
      </c>
      <c r="Z178" s="58" t="str">
        <f>IF($B178="","",IF((SUMPRODUCT(COUNTIFS(pbp_PlayType,EM_Type,pbp_Batter,$B178,pbp_On2B,"?*")*EM_AB)+SUMPRODUCT(COUNTIFS(pbp_PlayType,EM_Type,pbp_Batter,$B178,pbp_On2B,"",pbp_On3B,"?*")*EM_AB))=0,"",(SUMPRODUCT(COUNTIFS(pbp_PlayType,EM_Type,pbp_Batter,$B178,pbp_On2B,"?*")*EM_H)+SUMPRODUCT(COUNTIFS(pbp_PlayType,EM_Type,pbp_Batter,$B178,pbp_On2B,"",pbp_On3B,"?*")*EM_H))/(SUMPRODUCT(COUNTIFS(pbp_PlayType,EM_Type,pbp_Batter,$B178,pbp_On2B,"?*")*EM_AB)+SUMPRODUCT(COUNTIFS(pbp_PlayType,EM_Type,pbp_Batter,$B178,pbp_On2B,"",pbp_On3B,"?*")*EM_AB))))</f>
        <v/>
      </c>
      <c r="AA178" s="62" t="str">
        <f>IF($B178="","",IF(OR(E178&lt;MinPA,T178=""),"",COUNTIFS($E$6:$E$255,"&gt;="&amp;MinPA,$T$6:$T$255,"&gt;"&amp;T178)+COUNTIFS($E$5:E177,"&gt;="&amp;MinPA,$T$5:T177,T178)+1))</f>
        <v/>
      </c>
    </row>
    <row r="179" spans="2:27" x14ac:dyDescent="0.2">
      <c r="B179" s="44" t="str">
        <f t="array" ref="B179">IFERROR(INDEX(pbp_Batter,MATCH(0,COUNTIF($B$5:B178,pbp_Batter)+(pbp_Batter=""),0)),"")</f>
        <v/>
      </c>
      <c r="C179" s="61" t="str">
        <f>IF($B179="","",IFERROR(INDEX(pbp_BatTeam,MATCH($B179,pbp_Batter,0)),""))</f>
        <v/>
      </c>
      <c r="D179" s="61" t="str">
        <f>IF($B179="","",IFERROR(INDEX(pbp_BatHand,MATCH($B179,pbp_Batter,0)),""))</f>
        <v/>
      </c>
      <c r="E179" s="42" t="str">
        <f>IF($B179="","",SUMPRODUCT(COUNTIFS(pbp_PlayType,EM_Type,pbp_Batter,$B179)*EM_PA))</f>
        <v/>
      </c>
      <c r="F179" s="42" t="str">
        <f>IF($B179="","",SUMPRODUCT(COUNTIFS(pbp_PlayType,EM_Type,pbp_Batter,$B179)*EM_AB))</f>
        <v/>
      </c>
      <c r="G179" s="42" t="str">
        <f>IF($B179="","",SUMPRODUCT(COUNTIFS(pbp_PlayType,EM_Type,pbp_Batter,$B179)*EM_H))</f>
        <v/>
      </c>
      <c r="H179" s="42" t="str">
        <f>IF($B179="","",SUMPRODUCT(COUNTIFS(pbp_PlayType,EM_Type,pbp_Batter,$B179)*EM_2B))</f>
        <v/>
      </c>
      <c r="I179" s="42" t="str">
        <f>IF($B179="","",SUMPRODUCT(COUNTIFS(pbp_PlayType,EM_Type,pbp_Batter,$B179)*EM_3B))</f>
        <v/>
      </c>
      <c r="J179" s="42" t="str">
        <f>IF($B179="","",SUMPRODUCT(COUNTIFS(pbp_PlayType,EM_Type,pbp_Batter,$B179)*EM_HR))</f>
        <v/>
      </c>
      <c r="K179" s="42" t="str">
        <f>IF($B179="","",SUMPRODUCT(COUNTIFS(pbp_PlayType,EM_Type,pbp_Batter,$B179)*EM_1B))</f>
        <v/>
      </c>
      <c r="L179" s="42" t="str">
        <f>IF($B179="","",SUMPRODUCT(COUNTIFS(pbp_PlayType,EM_Type,pbp_Batter,$B179)*EM_BB))</f>
        <v/>
      </c>
      <c r="M179" s="42" t="str">
        <f>IF($B179="","",SUMPRODUCT(COUNTIFS(pbp_PlayType,EM_Type,pbp_Batter,$B179)*EM_HBP))</f>
        <v/>
      </c>
      <c r="N179" s="42" t="str">
        <f>IF($B179="","",COUNTIFS(pbp_PlayType,"?*",pbp_Desc,"*struck out*",pbp_Batter,$B179))</f>
        <v/>
      </c>
      <c r="O179" s="42" t="str">
        <f>IF($B179="","",SUMPRODUCT(COUNTIFS(pbp_PlayType,EM_Type,pbp_Batter,$B179)*EM_SF))</f>
        <v/>
      </c>
      <c r="P179" s="42" t="str">
        <f>IF($B179="","",SUMIFS(pbp_Runs,pbp_Batter,$B179))</f>
        <v/>
      </c>
      <c r="Q179" s="58" t="str">
        <f t="shared" si="16"/>
        <v/>
      </c>
      <c r="R179" s="58" t="str">
        <f t="shared" si="17"/>
        <v/>
      </c>
      <c r="S179" s="58" t="str">
        <f t="shared" si="18"/>
        <v/>
      </c>
      <c r="T179" s="58" t="str">
        <f t="shared" si="19"/>
        <v/>
      </c>
      <c r="U179" s="58" t="str">
        <f t="shared" si="20"/>
        <v/>
      </c>
      <c r="V179" s="59" t="str">
        <f t="shared" si="21"/>
        <v/>
      </c>
      <c r="W179" s="59" t="str">
        <f t="shared" si="22"/>
        <v/>
      </c>
      <c r="X179" s="60" t="str">
        <f>IF($B179="","",IF((E179)=0,"",(SUMIFS(pbp_Pitches,pbp_Batter,$B179,pbp_PlayType,"?*"))/(E179)))</f>
        <v/>
      </c>
      <c r="Y179" s="42" t="str">
        <f t="shared" si="23"/>
        <v/>
      </c>
      <c r="Z179" s="58" t="str">
        <f>IF($B179="","",IF((SUMPRODUCT(COUNTIFS(pbp_PlayType,EM_Type,pbp_Batter,$B179,pbp_On2B,"?*")*EM_AB)+SUMPRODUCT(COUNTIFS(pbp_PlayType,EM_Type,pbp_Batter,$B179,pbp_On2B,"",pbp_On3B,"?*")*EM_AB))=0,"",(SUMPRODUCT(COUNTIFS(pbp_PlayType,EM_Type,pbp_Batter,$B179,pbp_On2B,"?*")*EM_H)+SUMPRODUCT(COUNTIFS(pbp_PlayType,EM_Type,pbp_Batter,$B179,pbp_On2B,"",pbp_On3B,"?*")*EM_H))/(SUMPRODUCT(COUNTIFS(pbp_PlayType,EM_Type,pbp_Batter,$B179,pbp_On2B,"?*")*EM_AB)+SUMPRODUCT(COUNTIFS(pbp_PlayType,EM_Type,pbp_Batter,$B179,pbp_On2B,"",pbp_On3B,"?*")*EM_AB))))</f>
        <v/>
      </c>
      <c r="AA179" s="62" t="str">
        <f>IF($B179="","",IF(OR(E179&lt;MinPA,T179=""),"",COUNTIFS($E$6:$E$255,"&gt;="&amp;MinPA,$T$6:$T$255,"&gt;"&amp;T179)+COUNTIFS($E$5:E178,"&gt;="&amp;MinPA,$T$5:T178,T179)+1))</f>
        <v/>
      </c>
    </row>
    <row r="180" spans="2:27" x14ac:dyDescent="0.2">
      <c r="B180" s="44" t="str">
        <f t="array" ref="B180">IFERROR(INDEX(pbp_Batter,MATCH(0,COUNTIF($B$5:B179,pbp_Batter)+(pbp_Batter=""),0)),"")</f>
        <v/>
      </c>
      <c r="C180" s="61" t="str">
        <f>IF($B180="","",IFERROR(INDEX(pbp_BatTeam,MATCH($B180,pbp_Batter,0)),""))</f>
        <v/>
      </c>
      <c r="D180" s="61" t="str">
        <f>IF($B180="","",IFERROR(INDEX(pbp_BatHand,MATCH($B180,pbp_Batter,0)),""))</f>
        <v/>
      </c>
      <c r="E180" s="42" t="str">
        <f>IF($B180="","",SUMPRODUCT(COUNTIFS(pbp_PlayType,EM_Type,pbp_Batter,$B180)*EM_PA))</f>
        <v/>
      </c>
      <c r="F180" s="42" t="str">
        <f>IF($B180="","",SUMPRODUCT(COUNTIFS(pbp_PlayType,EM_Type,pbp_Batter,$B180)*EM_AB))</f>
        <v/>
      </c>
      <c r="G180" s="42" t="str">
        <f>IF($B180="","",SUMPRODUCT(COUNTIFS(pbp_PlayType,EM_Type,pbp_Batter,$B180)*EM_H))</f>
        <v/>
      </c>
      <c r="H180" s="42" t="str">
        <f>IF($B180="","",SUMPRODUCT(COUNTIFS(pbp_PlayType,EM_Type,pbp_Batter,$B180)*EM_2B))</f>
        <v/>
      </c>
      <c r="I180" s="42" t="str">
        <f>IF($B180="","",SUMPRODUCT(COUNTIFS(pbp_PlayType,EM_Type,pbp_Batter,$B180)*EM_3B))</f>
        <v/>
      </c>
      <c r="J180" s="42" t="str">
        <f>IF($B180="","",SUMPRODUCT(COUNTIFS(pbp_PlayType,EM_Type,pbp_Batter,$B180)*EM_HR))</f>
        <v/>
      </c>
      <c r="K180" s="42" t="str">
        <f>IF($B180="","",SUMPRODUCT(COUNTIFS(pbp_PlayType,EM_Type,pbp_Batter,$B180)*EM_1B))</f>
        <v/>
      </c>
      <c r="L180" s="42" t="str">
        <f>IF($B180="","",SUMPRODUCT(COUNTIFS(pbp_PlayType,EM_Type,pbp_Batter,$B180)*EM_BB))</f>
        <v/>
      </c>
      <c r="M180" s="42" t="str">
        <f>IF($B180="","",SUMPRODUCT(COUNTIFS(pbp_PlayType,EM_Type,pbp_Batter,$B180)*EM_HBP))</f>
        <v/>
      </c>
      <c r="N180" s="42" t="str">
        <f>IF($B180="","",COUNTIFS(pbp_PlayType,"?*",pbp_Desc,"*struck out*",pbp_Batter,$B180))</f>
        <v/>
      </c>
      <c r="O180" s="42" t="str">
        <f>IF($B180="","",SUMPRODUCT(COUNTIFS(pbp_PlayType,EM_Type,pbp_Batter,$B180)*EM_SF))</f>
        <v/>
      </c>
      <c r="P180" s="42" t="str">
        <f>IF($B180="","",SUMIFS(pbp_Runs,pbp_Batter,$B180))</f>
        <v/>
      </c>
      <c r="Q180" s="58" t="str">
        <f t="shared" si="16"/>
        <v/>
      </c>
      <c r="R180" s="58" t="str">
        <f t="shared" si="17"/>
        <v/>
      </c>
      <c r="S180" s="58" t="str">
        <f t="shared" si="18"/>
        <v/>
      </c>
      <c r="T180" s="58" t="str">
        <f t="shared" si="19"/>
        <v/>
      </c>
      <c r="U180" s="58" t="str">
        <f t="shared" si="20"/>
        <v/>
      </c>
      <c r="V180" s="59" t="str">
        <f t="shared" si="21"/>
        <v/>
      </c>
      <c r="W180" s="59" t="str">
        <f t="shared" si="22"/>
        <v/>
      </c>
      <c r="X180" s="60" t="str">
        <f>IF($B180="","",IF((E180)=0,"",(SUMIFS(pbp_Pitches,pbp_Batter,$B180,pbp_PlayType,"?*"))/(E180)))</f>
        <v/>
      </c>
      <c r="Y180" s="42" t="str">
        <f t="shared" si="23"/>
        <v/>
      </c>
      <c r="Z180" s="58" t="str">
        <f>IF($B180="","",IF((SUMPRODUCT(COUNTIFS(pbp_PlayType,EM_Type,pbp_Batter,$B180,pbp_On2B,"?*")*EM_AB)+SUMPRODUCT(COUNTIFS(pbp_PlayType,EM_Type,pbp_Batter,$B180,pbp_On2B,"",pbp_On3B,"?*")*EM_AB))=0,"",(SUMPRODUCT(COUNTIFS(pbp_PlayType,EM_Type,pbp_Batter,$B180,pbp_On2B,"?*")*EM_H)+SUMPRODUCT(COUNTIFS(pbp_PlayType,EM_Type,pbp_Batter,$B180,pbp_On2B,"",pbp_On3B,"?*")*EM_H))/(SUMPRODUCT(COUNTIFS(pbp_PlayType,EM_Type,pbp_Batter,$B180,pbp_On2B,"?*")*EM_AB)+SUMPRODUCT(COUNTIFS(pbp_PlayType,EM_Type,pbp_Batter,$B180,pbp_On2B,"",pbp_On3B,"?*")*EM_AB))))</f>
        <v/>
      </c>
      <c r="AA180" s="62" t="str">
        <f>IF($B180="","",IF(OR(E180&lt;MinPA,T180=""),"",COUNTIFS($E$6:$E$255,"&gt;="&amp;MinPA,$T$6:$T$255,"&gt;"&amp;T180)+COUNTIFS($E$5:E179,"&gt;="&amp;MinPA,$T$5:T179,T180)+1))</f>
        <v/>
      </c>
    </row>
    <row r="181" spans="2:27" x14ac:dyDescent="0.2">
      <c r="B181" s="44" t="str">
        <f t="array" ref="B181">IFERROR(INDEX(pbp_Batter,MATCH(0,COUNTIF($B$5:B180,pbp_Batter)+(pbp_Batter=""),0)),"")</f>
        <v/>
      </c>
      <c r="C181" s="61" t="str">
        <f>IF($B181="","",IFERROR(INDEX(pbp_BatTeam,MATCH($B181,pbp_Batter,0)),""))</f>
        <v/>
      </c>
      <c r="D181" s="61" t="str">
        <f>IF($B181="","",IFERROR(INDEX(pbp_BatHand,MATCH($B181,pbp_Batter,0)),""))</f>
        <v/>
      </c>
      <c r="E181" s="42" t="str">
        <f>IF($B181="","",SUMPRODUCT(COUNTIFS(pbp_PlayType,EM_Type,pbp_Batter,$B181)*EM_PA))</f>
        <v/>
      </c>
      <c r="F181" s="42" t="str">
        <f>IF($B181="","",SUMPRODUCT(COUNTIFS(pbp_PlayType,EM_Type,pbp_Batter,$B181)*EM_AB))</f>
        <v/>
      </c>
      <c r="G181" s="42" t="str">
        <f>IF($B181="","",SUMPRODUCT(COUNTIFS(pbp_PlayType,EM_Type,pbp_Batter,$B181)*EM_H))</f>
        <v/>
      </c>
      <c r="H181" s="42" t="str">
        <f>IF($B181="","",SUMPRODUCT(COUNTIFS(pbp_PlayType,EM_Type,pbp_Batter,$B181)*EM_2B))</f>
        <v/>
      </c>
      <c r="I181" s="42" t="str">
        <f>IF($B181="","",SUMPRODUCT(COUNTIFS(pbp_PlayType,EM_Type,pbp_Batter,$B181)*EM_3B))</f>
        <v/>
      </c>
      <c r="J181" s="42" t="str">
        <f>IF($B181="","",SUMPRODUCT(COUNTIFS(pbp_PlayType,EM_Type,pbp_Batter,$B181)*EM_HR))</f>
        <v/>
      </c>
      <c r="K181" s="42" t="str">
        <f>IF($B181="","",SUMPRODUCT(COUNTIFS(pbp_PlayType,EM_Type,pbp_Batter,$B181)*EM_1B))</f>
        <v/>
      </c>
      <c r="L181" s="42" t="str">
        <f>IF($B181="","",SUMPRODUCT(COUNTIFS(pbp_PlayType,EM_Type,pbp_Batter,$B181)*EM_BB))</f>
        <v/>
      </c>
      <c r="M181" s="42" t="str">
        <f>IF($B181="","",SUMPRODUCT(COUNTIFS(pbp_PlayType,EM_Type,pbp_Batter,$B181)*EM_HBP))</f>
        <v/>
      </c>
      <c r="N181" s="42" t="str">
        <f>IF($B181="","",COUNTIFS(pbp_PlayType,"?*",pbp_Desc,"*struck out*",pbp_Batter,$B181))</f>
        <v/>
      </c>
      <c r="O181" s="42" t="str">
        <f>IF($B181="","",SUMPRODUCT(COUNTIFS(pbp_PlayType,EM_Type,pbp_Batter,$B181)*EM_SF))</f>
        <v/>
      </c>
      <c r="P181" s="42" t="str">
        <f>IF($B181="","",SUMIFS(pbp_Runs,pbp_Batter,$B181))</f>
        <v/>
      </c>
      <c r="Q181" s="58" t="str">
        <f t="shared" si="16"/>
        <v/>
      </c>
      <c r="R181" s="58" t="str">
        <f t="shared" si="17"/>
        <v/>
      </c>
      <c r="S181" s="58" t="str">
        <f t="shared" si="18"/>
        <v/>
      </c>
      <c r="T181" s="58" t="str">
        <f t="shared" si="19"/>
        <v/>
      </c>
      <c r="U181" s="58" t="str">
        <f t="shared" si="20"/>
        <v/>
      </c>
      <c r="V181" s="59" t="str">
        <f t="shared" si="21"/>
        <v/>
      </c>
      <c r="W181" s="59" t="str">
        <f t="shared" si="22"/>
        <v/>
      </c>
      <c r="X181" s="60" t="str">
        <f>IF($B181="","",IF((E181)=0,"",(SUMIFS(pbp_Pitches,pbp_Batter,$B181,pbp_PlayType,"?*"))/(E181)))</f>
        <v/>
      </c>
      <c r="Y181" s="42" t="str">
        <f t="shared" si="23"/>
        <v/>
      </c>
      <c r="Z181" s="58" t="str">
        <f>IF($B181="","",IF((SUMPRODUCT(COUNTIFS(pbp_PlayType,EM_Type,pbp_Batter,$B181,pbp_On2B,"?*")*EM_AB)+SUMPRODUCT(COUNTIFS(pbp_PlayType,EM_Type,pbp_Batter,$B181,pbp_On2B,"",pbp_On3B,"?*")*EM_AB))=0,"",(SUMPRODUCT(COUNTIFS(pbp_PlayType,EM_Type,pbp_Batter,$B181,pbp_On2B,"?*")*EM_H)+SUMPRODUCT(COUNTIFS(pbp_PlayType,EM_Type,pbp_Batter,$B181,pbp_On2B,"",pbp_On3B,"?*")*EM_H))/(SUMPRODUCT(COUNTIFS(pbp_PlayType,EM_Type,pbp_Batter,$B181,pbp_On2B,"?*")*EM_AB)+SUMPRODUCT(COUNTIFS(pbp_PlayType,EM_Type,pbp_Batter,$B181,pbp_On2B,"",pbp_On3B,"?*")*EM_AB))))</f>
        <v/>
      </c>
      <c r="AA181" s="62" t="str">
        <f>IF($B181="","",IF(OR(E181&lt;MinPA,T181=""),"",COUNTIFS($E$6:$E$255,"&gt;="&amp;MinPA,$T$6:$T$255,"&gt;"&amp;T181)+COUNTIFS($E$5:E180,"&gt;="&amp;MinPA,$T$5:T180,T181)+1))</f>
        <v/>
      </c>
    </row>
    <row r="182" spans="2:27" x14ac:dyDescent="0.2">
      <c r="B182" s="44" t="str">
        <f t="array" ref="B182">IFERROR(INDEX(pbp_Batter,MATCH(0,COUNTIF($B$5:B181,pbp_Batter)+(pbp_Batter=""),0)),"")</f>
        <v/>
      </c>
      <c r="C182" s="61" t="str">
        <f>IF($B182="","",IFERROR(INDEX(pbp_BatTeam,MATCH($B182,pbp_Batter,0)),""))</f>
        <v/>
      </c>
      <c r="D182" s="61" t="str">
        <f>IF($B182="","",IFERROR(INDEX(pbp_BatHand,MATCH($B182,pbp_Batter,0)),""))</f>
        <v/>
      </c>
      <c r="E182" s="42" t="str">
        <f>IF($B182="","",SUMPRODUCT(COUNTIFS(pbp_PlayType,EM_Type,pbp_Batter,$B182)*EM_PA))</f>
        <v/>
      </c>
      <c r="F182" s="42" t="str">
        <f>IF($B182="","",SUMPRODUCT(COUNTIFS(pbp_PlayType,EM_Type,pbp_Batter,$B182)*EM_AB))</f>
        <v/>
      </c>
      <c r="G182" s="42" t="str">
        <f>IF($B182="","",SUMPRODUCT(COUNTIFS(pbp_PlayType,EM_Type,pbp_Batter,$B182)*EM_H))</f>
        <v/>
      </c>
      <c r="H182" s="42" t="str">
        <f>IF($B182="","",SUMPRODUCT(COUNTIFS(pbp_PlayType,EM_Type,pbp_Batter,$B182)*EM_2B))</f>
        <v/>
      </c>
      <c r="I182" s="42" t="str">
        <f>IF($B182="","",SUMPRODUCT(COUNTIFS(pbp_PlayType,EM_Type,pbp_Batter,$B182)*EM_3B))</f>
        <v/>
      </c>
      <c r="J182" s="42" t="str">
        <f>IF($B182="","",SUMPRODUCT(COUNTIFS(pbp_PlayType,EM_Type,pbp_Batter,$B182)*EM_HR))</f>
        <v/>
      </c>
      <c r="K182" s="42" t="str">
        <f>IF($B182="","",SUMPRODUCT(COUNTIFS(pbp_PlayType,EM_Type,pbp_Batter,$B182)*EM_1B))</f>
        <v/>
      </c>
      <c r="L182" s="42" t="str">
        <f>IF($B182="","",SUMPRODUCT(COUNTIFS(pbp_PlayType,EM_Type,pbp_Batter,$B182)*EM_BB))</f>
        <v/>
      </c>
      <c r="M182" s="42" t="str">
        <f>IF($B182="","",SUMPRODUCT(COUNTIFS(pbp_PlayType,EM_Type,pbp_Batter,$B182)*EM_HBP))</f>
        <v/>
      </c>
      <c r="N182" s="42" t="str">
        <f>IF($B182="","",COUNTIFS(pbp_PlayType,"?*",pbp_Desc,"*struck out*",pbp_Batter,$B182))</f>
        <v/>
      </c>
      <c r="O182" s="42" t="str">
        <f>IF($B182="","",SUMPRODUCT(COUNTIFS(pbp_PlayType,EM_Type,pbp_Batter,$B182)*EM_SF))</f>
        <v/>
      </c>
      <c r="P182" s="42" t="str">
        <f>IF($B182="","",SUMIFS(pbp_Runs,pbp_Batter,$B182))</f>
        <v/>
      </c>
      <c r="Q182" s="58" t="str">
        <f t="shared" si="16"/>
        <v/>
      </c>
      <c r="R182" s="58" t="str">
        <f t="shared" si="17"/>
        <v/>
      </c>
      <c r="S182" s="58" t="str">
        <f t="shared" si="18"/>
        <v/>
      </c>
      <c r="T182" s="58" t="str">
        <f t="shared" si="19"/>
        <v/>
      </c>
      <c r="U182" s="58" t="str">
        <f t="shared" si="20"/>
        <v/>
      </c>
      <c r="V182" s="59" t="str">
        <f t="shared" si="21"/>
        <v/>
      </c>
      <c r="W182" s="59" t="str">
        <f t="shared" si="22"/>
        <v/>
      </c>
      <c r="X182" s="60" t="str">
        <f>IF($B182="","",IF((E182)=0,"",(SUMIFS(pbp_Pitches,pbp_Batter,$B182,pbp_PlayType,"?*"))/(E182)))</f>
        <v/>
      </c>
      <c r="Y182" s="42" t="str">
        <f t="shared" si="23"/>
        <v/>
      </c>
      <c r="Z182" s="58" t="str">
        <f>IF($B182="","",IF((SUMPRODUCT(COUNTIFS(pbp_PlayType,EM_Type,pbp_Batter,$B182,pbp_On2B,"?*")*EM_AB)+SUMPRODUCT(COUNTIFS(pbp_PlayType,EM_Type,pbp_Batter,$B182,pbp_On2B,"",pbp_On3B,"?*")*EM_AB))=0,"",(SUMPRODUCT(COUNTIFS(pbp_PlayType,EM_Type,pbp_Batter,$B182,pbp_On2B,"?*")*EM_H)+SUMPRODUCT(COUNTIFS(pbp_PlayType,EM_Type,pbp_Batter,$B182,pbp_On2B,"",pbp_On3B,"?*")*EM_H))/(SUMPRODUCT(COUNTIFS(pbp_PlayType,EM_Type,pbp_Batter,$B182,pbp_On2B,"?*")*EM_AB)+SUMPRODUCT(COUNTIFS(pbp_PlayType,EM_Type,pbp_Batter,$B182,pbp_On2B,"",pbp_On3B,"?*")*EM_AB))))</f>
        <v/>
      </c>
      <c r="AA182" s="62" t="str">
        <f>IF($B182="","",IF(OR(E182&lt;MinPA,T182=""),"",COUNTIFS($E$6:$E$255,"&gt;="&amp;MinPA,$T$6:$T$255,"&gt;"&amp;T182)+COUNTIFS($E$5:E181,"&gt;="&amp;MinPA,$T$5:T181,T182)+1))</f>
        <v/>
      </c>
    </row>
    <row r="183" spans="2:27" x14ac:dyDescent="0.2">
      <c r="B183" s="44" t="str">
        <f t="array" ref="B183">IFERROR(INDEX(pbp_Batter,MATCH(0,COUNTIF($B$5:B182,pbp_Batter)+(pbp_Batter=""),0)),"")</f>
        <v/>
      </c>
      <c r="C183" s="61" t="str">
        <f>IF($B183="","",IFERROR(INDEX(pbp_BatTeam,MATCH($B183,pbp_Batter,0)),""))</f>
        <v/>
      </c>
      <c r="D183" s="61" t="str">
        <f>IF($B183="","",IFERROR(INDEX(pbp_BatHand,MATCH($B183,pbp_Batter,0)),""))</f>
        <v/>
      </c>
      <c r="E183" s="42" t="str">
        <f>IF($B183="","",SUMPRODUCT(COUNTIFS(pbp_PlayType,EM_Type,pbp_Batter,$B183)*EM_PA))</f>
        <v/>
      </c>
      <c r="F183" s="42" t="str">
        <f>IF($B183="","",SUMPRODUCT(COUNTIFS(pbp_PlayType,EM_Type,pbp_Batter,$B183)*EM_AB))</f>
        <v/>
      </c>
      <c r="G183" s="42" t="str">
        <f>IF($B183="","",SUMPRODUCT(COUNTIFS(pbp_PlayType,EM_Type,pbp_Batter,$B183)*EM_H))</f>
        <v/>
      </c>
      <c r="H183" s="42" t="str">
        <f>IF($B183="","",SUMPRODUCT(COUNTIFS(pbp_PlayType,EM_Type,pbp_Batter,$B183)*EM_2B))</f>
        <v/>
      </c>
      <c r="I183" s="42" t="str">
        <f>IF($B183="","",SUMPRODUCT(COUNTIFS(pbp_PlayType,EM_Type,pbp_Batter,$B183)*EM_3B))</f>
        <v/>
      </c>
      <c r="J183" s="42" t="str">
        <f>IF($B183="","",SUMPRODUCT(COUNTIFS(pbp_PlayType,EM_Type,pbp_Batter,$B183)*EM_HR))</f>
        <v/>
      </c>
      <c r="K183" s="42" t="str">
        <f>IF($B183="","",SUMPRODUCT(COUNTIFS(pbp_PlayType,EM_Type,pbp_Batter,$B183)*EM_1B))</f>
        <v/>
      </c>
      <c r="L183" s="42" t="str">
        <f>IF($B183="","",SUMPRODUCT(COUNTIFS(pbp_PlayType,EM_Type,pbp_Batter,$B183)*EM_BB))</f>
        <v/>
      </c>
      <c r="M183" s="42" t="str">
        <f>IF($B183="","",SUMPRODUCT(COUNTIFS(pbp_PlayType,EM_Type,pbp_Batter,$B183)*EM_HBP))</f>
        <v/>
      </c>
      <c r="N183" s="42" t="str">
        <f>IF($B183="","",COUNTIFS(pbp_PlayType,"?*",pbp_Desc,"*struck out*",pbp_Batter,$B183))</f>
        <v/>
      </c>
      <c r="O183" s="42" t="str">
        <f>IF($B183="","",SUMPRODUCT(COUNTIFS(pbp_PlayType,EM_Type,pbp_Batter,$B183)*EM_SF))</f>
        <v/>
      </c>
      <c r="P183" s="42" t="str">
        <f>IF($B183="","",SUMIFS(pbp_Runs,pbp_Batter,$B183))</f>
        <v/>
      </c>
      <c r="Q183" s="58" t="str">
        <f t="shared" si="16"/>
        <v/>
      </c>
      <c r="R183" s="58" t="str">
        <f t="shared" si="17"/>
        <v/>
      </c>
      <c r="S183" s="58" t="str">
        <f t="shared" si="18"/>
        <v/>
      </c>
      <c r="T183" s="58" t="str">
        <f t="shared" si="19"/>
        <v/>
      </c>
      <c r="U183" s="58" t="str">
        <f t="shared" si="20"/>
        <v/>
      </c>
      <c r="V183" s="59" t="str">
        <f t="shared" si="21"/>
        <v/>
      </c>
      <c r="W183" s="59" t="str">
        <f t="shared" si="22"/>
        <v/>
      </c>
      <c r="X183" s="60" t="str">
        <f>IF($B183="","",IF((E183)=0,"",(SUMIFS(pbp_Pitches,pbp_Batter,$B183,pbp_PlayType,"?*"))/(E183)))</f>
        <v/>
      </c>
      <c r="Y183" s="42" t="str">
        <f t="shared" si="23"/>
        <v/>
      </c>
      <c r="Z183" s="58" t="str">
        <f>IF($B183="","",IF((SUMPRODUCT(COUNTIFS(pbp_PlayType,EM_Type,pbp_Batter,$B183,pbp_On2B,"?*")*EM_AB)+SUMPRODUCT(COUNTIFS(pbp_PlayType,EM_Type,pbp_Batter,$B183,pbp_On2B,"",pbp_On3B,"?*")*EM_AB))=0,"",(SUMPRODUCT(COUNTIFS(pbp_PlayType,EM_Type,pbp_Batter,$B183,pbp_On2B,"?*")*EM_H)+SUMPRODUCT(COUNTIFS(pbp_PlayType,EM_Type,pbp_Batter,$B183,pbp_On2B,"",pbp_On3B,"?*")*EM_H))/(SUMPRODUCT(COUNTIFS(pbp_PlayType,EM_Type,pbp_Batter,$B183,pbp_On2B,"?*")*EM_AB)+SUMPRODUCT(COUNTIFS(pbp_PlayType,EM_Type,pbp_Batter,$B183,pbp_On2B,"",pbp_On3B,"?*")*EM_AB))))</f>
        <v/>
      </c>
      <c r="AA183" s="62" t="str">
        <f>IF($B183="","",IF(OR(E183&lt;MinPA,T183=""),"",COUNTIFS($E$6:$E$255,"&gt;="&amp;MinPA,$T$6:$T$255,"&gt;"&amp;T183)+COUNTIFS($E$5:E182,"&gt;="&amp;MinPA,$T$5:T182,T183)+1))</f>
        <v/>
      </c>
    </row>
    <row r="184" spans="2:27" x14ac:dyDescent="0.2">
      <c r="B184" s="44" t="str">
        <f t="array" ref="B184">IFERROR(INDEX(pbp_Batter,MATCH(0,COUNTIF($B$5:B183,pbp_Batter)+(pbp_Batter=""),0)),"")</f>
        <v/>
      </c>
      <c r="C184" s="61" t="str">
        <f>IF($B184="","",IFERROR(INDEX(pbp_BatTeam,MATCH($B184,pbp_Batter,0)),""))</f>
        <v/>
      </c>
      <c r="D184" s="61" t="str">
        <f>IF($B184="","",IFERROR(INDEX(pbp_BatHand,MATCH($B184,pbp_Batter,0)),""))</f>
        <v/>
      </c>
      <c r="E184" s="42" t="str">
        <f>IF($B184="","",SUMPRODUCT(COUNTIFS(pbp_PlayType,EM_Type,pbp_Batter,$B184)*EM_PA))</f>
        <v/>
      </c>
      <c r="F184" s="42" t="str">
        <f>IF($B184="","",SUMPRODUCT(COUNTIFS(pbp_PlayType,EM_Type,pbp_Batter,$B184)*EM_AB))</f>
        <v/>
      </c>
      <c r="G184" s="42" t="str">
        <f>IF($B184="","",SUMPRODUCT(COUNTIFS(pbp_PlayType,EM_Type,pbp_Batter,$B184)*EM_H))</f>
        <v/>
      </c>
      <c r="H184" s="42" t="str">
        <f>IF($B184="","",SUMPRODUCT(COUNTIFS(pbp_PlayType,EM_Type,pbp_Batter,$B184)*EM_2B))</f>
        <v/>
      </c>
      <c r="I184" s="42" t="str">
        <f>IF($B184="","",SUMPRODUCT(COUNTIFS(pbp_PlayType,EM_Type,pbp_Batter,$B184)*EM_3B))</f>
        <v/>
      </c>
      <c r="J184" s="42" t="str">
        <f>IF($B184="","",SUMPRODUCT(COUNTIFS(pbp_PlayType,EM_Type,pbp_Batter,$B184)*EM_HR))</f>
        <v/>
      </c>
      <c r="K184" s="42" t="str">
        <f>IF($B184="","",SUMPRODUCT(COUNTIFS(pbp_PlayType,EM_Type,pbp_Batter,$B184)*EM_1B))</f>
        <v/>
      </c>
      <c r="L184" s="42" t="str">
        <f>IF($B184="","",SUMPRODUCT(COUNTIFS(pbp_PlayType,EM_Type,pbp_Batter,$B184)*EM_BB))</f>
        <v/>
      </c>
      <c r="M184" s="42" t="str">
        <f>IF($B184="","",SUMPRODUCT(COUNTIFS(pbp_PlayType,EM_Type,pbp_Batter,$B184)*EM_HBP))</f>
        <v/>
      </c>
      <c r="N184" s="42" t="str">
        <f>IF($B184="","",COUNTIFS(pbp_PlayType,"?*",pbp_Desc,"*struck out*",pbp_Batter,$B184))</f>
        <v/>
      </c>
      <c r="O184" s="42" t="str">
        <f>IF($B184="","",SUMPRODUCT(COUNTIFS(pbp_PlayType,EM_Type,pbp_Batter,$B184)*EM_SF))</f>
        <v/>
      </c>
      <c r="P184" s="42" t="str">
        <f>IF($B184="","",SUMIFS(pbp_Runs,pbp_Batter,$B184))</f>
        <v/>
      </c>
      <c r="Q184" s="58" t="str">
        <f t="shared" si="16"/>
        <v/>
      </c>
      <c r="R184" s="58" t="str">
        <f t="shared" si="17"/>
        <v/>
      </c>
      <c r="S184" s="58" t="str">
        <f t="shared" si="18"/>
        <v/>
      </c>
      <c r="T184" s="58" t="str">
        <f t="shared" si="19"/>
        <v/>
      </c>
      <c r="U184" s="58" t="str">
        <f t="shared" si="20"/>
        <v/>
      </c>
      <c r="V184" s="59" t="str">
        <f t="shared" si="21"/>
        <v/>
      </c>
      <c r="W184" s="59" t="str">
        <f t="shared" si="22"/>
        <v/>
      </c>
      <c r="X184" s="60" t="str">
        <f>IF($B184="","",IF((E184)=0,"",(SUMIFS(pbp_Pitches,pbp_Batter,$B184,pbp_PlayType,"?*"))/(E184)))</f>
        <v/>
      </c>
      <c r="Y184" s="42" t="str">
        <f t="shared" si="23"/>
        <v/>
      </c>
      <c r="Z184" s="58" t="str">
        <f>IF($B184="","",IF((SUMPRODUCT(COUNTIFS(pbp_PlayType,EM_Type,pbp_Batter,$B184,pbp_On2B,"?*")*EM_AB)+SUMPRODUCT(COUNTIFS(pbp_PlayType,EM_Type,pbp_Batter,$B184,pbp_On2B,"",pbp_On3B,"?*")*EM_AB))=0,"",(SUMPRODUCT(COUNTIFS(pbp_PlayType,EM_Type,pbp_Batter,$B184,pbp_On2B,"?*")*EM_H)+SUMPRODUCT(COUNTIFS(pbp_PlayType,EM_Type,pbp_Batter,$B184,pbp_On2B,"",pbp_On3B,"?*")*EM_H))/(SUMPRODUCT(COUNTIFS(pbp_PlayType,EM_Type,pbp_Batter,$B184,pbp_On2B,"?*")*EM_AB)+SUMPRODUCT(COUNTIFS(pbp_PlayType,EM_Type,pbp_Batter,$B184,pbp_On2B,"",pbp_On3B,"?*")*EM_AB))))</f>
        <v/>
      </c>
      <c r="AA184" s="62" t="str">
        <f>IF($B184="","",IF(OR(E184&lt;MinPA,T184=""),"",COUNTIFS($E$6:$E$255,"&gt;="&amp;MinPA,$T$6:$T$255,"&gt;"&amp;T184)+COUNTIFS($E$5:E183,"&gt;="&amp;MinPA,$T$5:T183,T184)+1))</f>
        <v/>
      </c>
    </row>
    <row r="185" spans="2:27" x14ac:dyDescent="0.2">
      <c r="B185" s="44" t="str">
        <f t="array" ref="B185">IFERROR(INDEX(pbp_Batter,MATCH(0,COUNTIF($B$5:B184,pbp_Batter)+(pbp_Batter=""),0)),"")</f>
        <v/>
      </c>
      <c r="C185" s="61" t="str">
        <f>IF($B185="","",IFERROR(INDEX(pbp_BatTeam,MATCH($B185,pbp_Batter,0)),""))</f>
        <v/>
      </c>
      <c r="D185" s="61" t="str">
        <f>IF($B185="","",IFERROR(INDEX(pbp_BatHand,MATCH($B185,pbp_Batter,0)),""))</f>
        <v/>
      </c>
      <c r="E185" s="42" t="str">
        <f>IF($B185="","",SUMPRODUCT(COUNTIFS(pbp_PlayType,EM_Type,pbp_Batter,$B185)*EM_PA))</f>
        <v/>
      </c>
      <c r="F185" s="42" t="str">
        <f>IF($B185="","",SUMPRODUCT(COUNTIFS(pbp_PlayType,EM_Type,pbp_Batter,$B185)*EM_AB))</f>
        <v/>
      </c>
      <c r="G185" s="42" t="str">
        <f>IF($B185="","",SUMPRODUCT(COUNTIFS(pbp_PlayType,EM_Type,pbp_Batter,$B185)*EM_H))</f>
        <v/>
      </c>
      <c r="H185" s="42" t="str">
        <f>IF($B185="","",SUMPRODUCT(COUNTIFS(pbp_PlayType,EM_Type,pbp_Batter,$B185)*EM_2B))</f>
        <v/>
      </c>
      <c r="I185" s="42" t="str">
        <f>IF($B185="","",SUMPRODUCT(COUNTIFS(pbp_PlayType,EM_Type,pbp_Batter,$B185)*EM_3B))</f>
        <v/>
      </c>
      <c r="J185" s="42" t="str">
        <f>IF($B185="","",SUMPRODUCT(COUNTIFS(pbp_PlayType,EM_Type,pbp_Batter,$B185)*EM_HR))</f>
        <v/>
      </c>
      <c r="K185" s="42" t="str">
        <f>IF($B185="","",SUMPRODUCT(COUNTIFS(pbp_PlayType,EM_Type,pbp_Batter,$B185)*EM_1B))</f>
        <v/>
      </c>
      <c r="L185" s="42" t="str">
        <f>IF($B185="","",SUMPRODUCT(COUNTIFS(pbp_PlayType,EM_Type,pbp_Batter,$B185)*EM_BB))</f>
        <v/>
      </c>
      <c r="M185" s="42" t="str">
        <f>IF($B185="","",SUMPRODUCT(COUNTIFS(pbp_PlayType,EM_Type,pbp_Batter,$B185)*EM_HBP))</f>
        <v/>
      </c>
      <c r="N185" s="42" t="str">
        <f>IF($B185="","",COUNTIFS(pbp_PlayType,"?*",pbp_Desc,"*struck out*",pbp_Batter,$B185))</f>
        <v/>
      </c>
      <c r="O185" s="42" t="str">
        <f>IF($B185="","",SUMPRODUCT(COUNTIFS(pbp_PlayType,EM_Type,pbp_Batter,$B185)*EM_SF))</f>
        <v/>
      </c>
      <c r="P185" s="42" t="str">
        <f>IF($B185="","",SUMIFS(pbp_Runs,pbp_Batter,$B185))</f>
        <v/>
      </c>
      <c r="Q185" s="58" t="str">
        <f t="shared" si="16"/>
        <v/>
      </c>
      <c r="R185" s="58" t="str">
        <f t="shared" si="17"/>
        <v/>
      </c>
      <c r="S185" s="58" t="str">
        <f t="shared" si="18"/>
        <v/>
      </c>
      <c r="T185" s="58" t="str">
        <f t="shared" si="19"/>
        <v/>
      </c>
      <c r="U185" s="58" t="str">
        <f t="shared" si="20"/>
        <v/>
      </c>
      <c r="V185" s="59" t="str">
        <f t="shared" si="21"/>
        <v/>
      </c>
      <c r="W185" s="59" t="str">
        <f t="shared" si="22"/>
        <v/>
      </c>
      <c r="X185" s="60" t="str">
        <f>IF($B185="","",IF((E185)=0,"",(SUMIFS(pbp_Pitches,pbp_Batter,$B185,pbp_PlayType,"?*"))/(E185)))</f>
        <v/>
      </c>
      <c r="Y185" s="42" t="str">
        <f t="shared" si="23"/>
        <v/>
      </c>
      <c r="Z185" s="58" t="str">
        <f>IF($B185="","",IF((SUMPRODUCT(COUNTIFS(pbp_PlayType,EM_Type,pbp_Batter,$B185,pbp_On2B,"?*")*EM_AB)+SUMPRODUCT(COUNTIFS(pbp_PlayType,EM_Type,pbp_Batter,$B185,pbp_On2B,"",pbp_On3B,"?*")*EM_AB))=0,"",(SUMPRODUCT(COUNTIFS(pbp_PlayType,EM_Type,pbp_Batter,$B185,pbp_On2B,"?*")*EM_H)+SUMPRODUCT(COUNTIFS(pbp_PlayType,EM_Type,pbp_Batter,$B185,pbp_On2B,"",pbp_On3B,"?*")*EM_H))/(SUMPRODUCT(COUNTIFS(pbp_PlayType,EM_Type,pbp_Batter,$B185,pbp_On2B,"?*")*EM_AB)+SUMPRODUCT(COUNTIFS(pbp_PlayType,EM_Type,pbp_Batter,$B185,pbp_On2B,"",pbp_On3B,"?*")*EM_AB))))</f>
        <v/>
      </c>
      <c r="AA185" s="62" t="str">
        <f>IF($B185="","",IF(OR(E185&lt;MinPA,T185=""),"",COUNTIFS($E$6:$E$255,"&gt;="&amp;MinPA,$T$6:$T$255,"&gt;"&amp;T185)+COUNTIFS($E$5:E184,"&gt;="&amp;MinPA,$T$5:T184,T185)+1))</f>
        <v/>
      </c>
    </row>
    <row r="186" spans="2:27" x14ac:dyDescent="0.2">
      <c r="B186" s="44" t="str">
        <f t="array" ref="B186">IFERROR(INDEX(pbp_Batter,MATCH(0,COUNTIF($B$5:B185,pbp_Batter)+(pbp_Batter=""),0)),"")</f>
        <v/>
      </c>
      <c r="C186" s="61" t="str">
        <f>IF($B186="","",IFERROR(INDEX(pbp_BatTeam,MATCH($B186,pbp_Batter,0)),""))</f>
        <v/>
      </c>
      <c r="D186" s="61" t="str">
        <f>IF($B186="","",IFERROR(INDEX(pbp_BatHand,MATCH($B186,pbp_Batter,0)),""))</f>
        <v/>
      </c>
      <c r="E186" s="42" t="str">
        <f>IF($B186="","",SUMPRODUCT(COUNTIFS(pbp_PlayType,EM_Type,pbp_Batter,$B186)*EM_PA))</f>
        <v/>
      </c>
      <c r="F186" s="42" t="str">
        <f>IF($B186="","",SUMPRODUCT(COUNTIFS(pbp_PlayType,EM_Type,pbp_Batter,$B186)*EM_AB))</f>
        <v/>
      </c>
      <c r="G186" s="42" t="str">
        <f>IF($B186="","",SUMPRODUCT(COUNTIFS(pbp_PlayType,EM_Type,pbp_Batter,$B186)*EM_H))</f>
        <v/>
      </c>
      <c r="H186" s="42" t="str">
        <f>IF($B186="","",SUMPRODUCT(COUNTIFS(pbp_PlayType,EM_Type,pbp_Batter,$B186)*EM_2B))</f>
        <v/>
      </c>
      <c r="I186" s="42" t="str">
        <f>IF($B186="","",SUMPRODUCT(COUNTIFS(pbp_PlayType,EM_Type,pbp_Batter,$B186)*EM_3B))</f>
        <v/>
      </c>
      <c r="J186" s="42" t="str">
        <f>IF($B186="","",SUMPRODUCT(COUNTIFS(pbp_PlayType,EM_Type,pbp_Batter,$B186)*EM_HR))</f>
        <v/>
      </c>
      <c r="K186" s="42" t="str">
        <f>IF($B186="","",SUMPRODUCT(COUNTIFS(pbp_PlayType,EM_Type,pbp_Batter,$B186)*EM_1B))</f>
        <v/>
      </c>
      <c r="L186" s="42" t="str">
        <f>IF($B186="","",SUMPRODUCT(COUNTIFS(pbp_PlayType,EM_Type,pbp_Batter,$B186)*EM_BB))</f>
        <v/>
      </c>
      <c r="M186" s="42" t="str">
        <f>IF($B186="","",SUMPRODUCT(COUNTIFS(pbp_PlayType,EM_Type,pbp_Batter,$B186)*EM_HBP))</f>
        <v/>
      </c>
      <c r="N186" s="42" t="str">
        <f>IF($B186="","",COUNTIFS(pbp_PlayType,"?*",pbp_Desc,"*struck out*",pbp_Batter,$B186))</f>
        <v/>
      </c>
      <c r="O186" s="42" t="str">
        <f>IF($B186="","",SUMPRODUCT(COUNTIFS(pbp_PlayType,EM_Type,pbp_Batter,$B186)*EM_SF))</f>
        <v/>
      </c>
      <c r="P186" s="42" t="str">
        <f>IF($B186="","",SUMIFS(pbp_Runs,pbp_Batter,$B186))</f>
        <v/>
      </c>
      <c r="Q186" s="58" t="str">
        <f t="shared" si="16"/>
        <v/>
      </c>
      <c r="R186" s="58" t="str">
        <f t="shared" si="17"/>
        <v/>
      </c>
      <c r="S186" s="58" t="str">
        <f t="shared" si="18"/>
        <v/>
      </c>
      <c r="T186" s="58" t="str">
        <f t="shared" si="19"/>
        <v/>
      </c>
      <c r="U186" s="58" t="str">
        <f t="shared" si="20"/>
        <v/>
      </c>
      <c r="V186" s="59" t="str">
        <f t="shared" si="21"/>
        <v/>
      </c>
      <c r="W186" s="59" t="str">
        <f t="shared" si="22"/>
        <v/>
      </c>
      <c r="X186" s="60" t="str">
        <f>IF($B186="","",IF((E186)=0,"",(SUMIFS(pbp_Pitches,pbp_Batter,$B186,pbp_PlayType,"?*"))/(E186)))</f>
        <v/>
      </c>
      <c r="Y186" s="42" t="str">
        <f t="shared" si="23"/>
        <v/>
      </c>
      <c r="Z186" s="58" t="str">
        <f>IF($B186="","",IF((SUMPRODUCT(COUNTIFS(pbp_PlayType,EM_Type,pbp_Batter,$B186,pbp_On2B,"?*")*EM_AB)+SUMPRODUCT(COUNTIFS(pbp_PlayType,EM_Type,pbp_Batter,$B186,pbp_On2B,"",pbp_On3B,"?*")*EM_AB))=0,"",(SUMPRODUCT(COUNTIFS(pbp_PlayType,EM_Type,pbp_Batter,$B186,pbp_On2B,"?*")*EM_H)+SUMPRODUCT(COUNTIFS(pbp_PlayType,EM_Type,pbp_Batter,$B186,pbp_On2B,"",pbp_On3B,"?*")*EM_H))/(SUMPRODUCT(COUNTIFS(pbp_PlayType,EM_Type,pbp_Batter,$B186,pbp_On2B,"?*")*EM_AB)+SUMPRODUCT(COUNTIFS(pbp_PlayType,EM_Type,pbp_Batter,$B186,pbp_On2B,"",pbp_On3B,"?*")*EM_AB))))</f>
        <v/>
      </c>
      <c r="AA186" s="62" t="str">
        <f>IF($B186="","",IF(OR(E186&lt;MinPA,T186=""),"",COUNTIFS($E$6:$E$255,"&gt;="&amp;MinPA,$T$6:$T$255,"&gt;"&amp;T186)+COUNTIFS($E$5:E185,"&gt;="&amp;MinPA,$T$5:T185,T186)+1))</f>
        <v/>
      </c>
    </row>
    <row r="187" spans="2:27" x14ac:dyDescent="0.2">
      <c r="B187" s="44" t="str">
        <f t="array" ref="B187">IFERROR(INDEX(pbp_Batter,MATCH(0,COUNTIF($B$5:B186,pbp_Batter)+(pbp_Batter=""),0)),"")</f>
        <v/>
      </c>
      <c r="C187" s="61" t="str">
        <f>IF($B187="","",IFERROR(INDEX(pbp_BatTeam,MATCH($B187,pbp_Batter,0)),""))</f>
        <v/>
      </c>
      <c r="D187" s="61" t="str">
        <f>IF($B187="","",IFERROR(INDEX(pbp_BatHand,MATCH($B187,pbp_Batter,0)),""))</f>
        <v/>
      </c>
      <c r="E187" s="42" t="str">
        <f>IF($B187="","",SUMPRODUCT(COUNTIFS(pbp_PlayType,EM_Type,pbp_Batter,$B187)*EM_PA))</f>
        <v/>
      </c>
      <c r="F187" s="42" t="str">
        <f>IF($B187="","",SUMPRODUCT(COUNTIFS(pbp_PlayType,EM_Type,pbp_Batter,$B187)*EM_AB))</f>
        <v/>
      </c>
      <c r="G187" s="42" t="str">
        <f>IF($B187="","",SUMPRODUCT(COUNTIFS(pbp_PlayType,EM_Type,pbp_Batter,$B187)*EM_H))</f>
        <v/>
      </c>
      <c r="H187" s="42" t="str">
        <f>IF($B187="","",SUMPRODUCT(COUNTIFS(pbp_PlayType,EM_Type,pbp_Batter,$B187)*EM_2B))</f>
        <v/>
      </c>
      <c r="I187" s="42" t="str">
        <f>IF($B187="","",SUMPRODUCT(COUNTIFS(pbp_PlayType,EM_Type,pbp_Batter,$B187)*EM_3B))</f>
        <v/>
      </c>
      <c r="J187" s="42" t="str">
        <f>IF($B187="","",SUMPRODUCT(COUNTIFS(pbp_PlayType,EM_Type,pbp_Batter,$B187)*EM_HR))</f>
        <v/>
      </c>
      <c r="K187" s="42" t="str">
        <f>IF($B187="","",SUMPRODUCT(COUNTIFS(pbp_PlayType,EM_Type,pbp_Batter,$B187)*EM_1B))</f>
        <v/>
      </c>
      <c r="L187" s="42" t="str">
        <f>IF($B187="","",SUMPRODUCT(COUNTIFS(pbp_PlayType,EM_Type,pbp_Batter,$B187)*EM_BB))</f>
        <v/>
      </c>
      <c r="M187" s="42" t="str">
        <f>IF($B187="","",SUMPRODUCT(COUNTIFS(pbp_PlayType,EM_Type,pbp_Batter,$B187)*EM_HBP))</f>
        <v/>
      </c>
      <c r="N187" s="42" t="str">
        <f>IF($B187="","",COUNTIFS(pbp_PlayType,"?*",pbp_Desc,"*struck out*",pbp_Batter,$B187))</f>
        <v/>
      </c>
      <c r="O187" s="42" t="str">
        <f>IF($B187="","",SUMPRODUCT(COUNTIFS(pbp_PlayType,EM_Type,pbp_Batter,$B187)*EM_SF))</f>
        <v/>
      </c>
      <c r="P187" s="42" t="str">
        <f>IF($B187="","",SUMIFS(pbp_Runs,pbp_Batter,$B187))</f>
        <v/>
      </c>
      <c r="Q187" s="58" t="str">
        <f t="shared" si="16"/>
        <v/>
      </c>
      <c r="R187" s="58" t="str">
        <f t="shared" si="17"/>
        <v/>
      </c>
      <c r="S187" s="58" t="str">
        <f t="shared" si="18"/>
        <v/>
      </c>
      <c r="T187" s="58" t="str">
        <f t="shared" si="19"/>
        <v/>
      </c>
      <c r="U187" s="58" t="str">
        <f t="shared" si="20"/>
        <v/>
      </c>
      <c r="V187" s="59" t="str">
        <f t="shared" si="21"/>
        <v/>
      </c>
      <c r="W187" s="59" t="str">
        <f t="shared" si="22"/>
        <v/>
      </c>
      <c r="X187" s="60" t="str">
        <f>IF($B187="","",IF((E187)=0,"",(SUMIFS(pbp_Pitches,pbp_Batter,$B187,pbp_PlayType,"?*"))/(E187)))</f>
        <v/>
      </c>
      <c r="Y187" s="42" t="str">
        <f t="shared" si="23"/>
        <v/>
      </c>
      <c r="Z187" s="58" t="str">
        <f>IF($B187="","",IF((SUMPRODUCT(COUNTIFS(pbp_PlayType,EM_Type,pbp_Batter,$B187,pbp_On2B,"?*")*EM_AB)+SUMPRODUCT(COUNTIFS(pbp_PlayType,EM_Type,pbp_Batter,$B187,pbp_On2B,"",pbp_On3B,"?*")*EM_AB))=0,"",(SUMPRODUCT(COUNTIFS(pbp_PlayType,EM_Type,pbp_Batter,$B187,pbp_On2B,"?*")*EM_H)+SUMPRODUCT(COUNTIFS(pbp_PlayType,EM_Type,pbp_Batter,$B187,pbp_On2B,"",pbp_On3B,"?*")*EM_H))/(SUMPRODUCT(COUNTIFS(pbp_PlayType,EM_Type,pbp_Batter,$B187,pbp_On2B,"?*")*EM_AB)+SUMPRODUCT(COUNTIFS(pbp_PlayType,EM_Type,pbp_Batter,$B187,pbp_On2B,"",pbp_On3B,"?*")*EM_AB))))</f>
        <v/>
      </c>
      <c r="AA187" s="62" t="str">
        <f>IF($B187="","",IF(OR(E187&lt;MinPA,T187=""),"",COUNTIFS($E$6:$E$255,"&gt;="&amp;MinPA,$T$6:$T$255,"&gt;"&amp;T187)+COUNTIFS($E$5:E186,"&gt;="&amp;MinPA,$T$5:T186,T187)+1))</f>
        <v/>
      </c>
    </row>
    <row r="188" spans="2:27" x14ac:dyDescent="0.2">
      <c r="B188" s="44" t="str">
        <f t="array" ref="B188">IFERROR(INDEX(pbp_Batter,MATCH(0,COUNTIF($B$5:B187,pbp_Batter)+(pbp_Batter=""),0)),"")</f>
        <v/>
      </c>
      <c r="C188" s="61" t="str">
        <f>IF($B188="","",IFERROR(INDEX(pbp_BatTeam,MATCH($B188,pbp_Batter,0)),""))</f>
        <v/>
      </c>
      <c r="D188" s="61" t="str">
        <f>IF($B188="","",IFERROR(INDEX(pbp_BatHand,MATCH($B188,pbp_Batter,0)),""))</f>
        <v/>
      </c>
      <c r="E188" s="42" t="str">
        <f>IF($B188="","",SUMPRODUCT(COUNTIFS(pbp_PlayType,EM_Type,pbp_Batter,$B188)*EM_PA))</f>
        <v/>
      </c>
      <c r="F188" s="42" t="str">
        <f>IF($B188="","",SUMPRODUCT(COUNTIFS(pbp_PlayType,EM_Type,pbp_Batter,$B188)*EM_AB))</f>
        <v/>
      </c>
      <c r="G188" s="42" t="str">
        <f>IF($B188="","",SUMPRODUCT(COUNTIFS(pbp_PlayType,EM_Type,pbp_Batter,$B188)*EM_H))</f>
        <v/>
      </c>
      <c r="H188" s="42" t="str">
        <f>IF($B188="","",SUMPRODUCT(COUNTIFS(pbp_PlayType,EM_Type,pbp_Batter,$B188)*EM_2B))</f>
        <v/>
      </c>
      <c r="I188" s="42" t="str">
        <f>IF($B188="","",SUMPRODUCT(COUNTIFS(pbp_PlayType,EM_Type,pbp_Batter,$B188)*EM_3B))</f>
        <v/>
      </c>
      <c r="J188" s="42" t="str">
        <f>IF($B188="","",SUMPRODUCT(COUNTIFS(pbp_PlayType,EM_Type,pbp_Batter,$B188)*EM_HR))</f>
        <v/>
      </c>
      <c r="K188" s="42" t="str">
        <f>IF($B188="","",SUMPRODUCT(COUNTIFS(pbp_PlayType,EM_Type,pbp_Batter,$B188)*EM_1B))</f>
        <v/>
      </c>
      <c r="L188" s="42" t="str">
        <f>IF($B188="","",SUMPRODUCT(COUNTIFS(pbp_PlayType,EM_Type,pbp_Batter,$B188)*EM_BB))</f>
        <v/>
      </c>
      <c r="M188" s="42" t="str">
        <f>IF($B188="","",SUMPRODUCT(COUNTIFS(pbp_PlayType,EM_Type,pbp_Batter,$B188)*EM_HBP))</f>
        <v/>
      </c>
      <c r="N188" s="42" t="str">
        <f>IF($B188="","",COUNTIFS(pbp_PlayType,"?*",pbp_Desc,"*struck out*",pbp_Batter,$B188))</f>
        <v/>
      </c>
      <c r="O188" s="42" t="str">
        <f>IF($B188="","",SUMPRODUCT(COUNTIFS(pbp_PlayType,EM_Type,pbp_Batter,$B188)*EM_SF))</f>
        <v/>
      </c>
      <c r="P188" s="42" t="str">
        <f>IF($B188="","",SUMIFS(pbp_Runs,pbp_Batter,$B188))</f>
        <v/>
      </c>
      <c r="Q188" s="58" t="str">
        <f t="shared" si="16"/>
        <v/>
      </c>
      <c r="R188" s="58" t="str">
        <f t="shared" si="17"/>
        <v/>
      </c>
      <c r="S188" s="58" t="str">
        <f t="shared" si="18"/>
        <v/>
      </c>
      <c r="T188" s="58" t="str">
        <f t="shared" si="19"/>
        <v/>
      </c>
      <c r="U188" s="58" t="str">
        <f t="shared" si="20"/>
        <v/>
      </c>
      <c r="V188" s="59" t="str">
        <f t="shared" si="21"/>
        <v/>
      </c>
      <c r="W188" s="59" t="str">
        <f t="shared" si="22"/>
        <v/>
      </c>
      <c r="X188" s="60" t="str">
        <f>IF($B188="","",IF((E188)=0,"",(SUMIFS(pbp_Pitches,pbp_Batter,$B188,pbp_PlayType,"?*"))/(E188)))</f>
        <v/>
      </c>
      <c r="Y188" s="42" t="str">
        <f t="shared" si="23"/>
        <v/>
      </c>
      <c r="Z188" s="58" t="str">
        <f>IF($B188="","",IF((SUMPRODUCT(COUNTIFS(pbp_PlayType,EM_Type,pbp_Batter,$B188,pbp_On2B,"?*")*EM_AB)+SUMPRODUCT(COUNTIFS(pbp_PlayType,EM_Type,pbp_Batter,$B188,pbp_On2B,"",pbp_On3B,"?*")*EM_AB))=0,"",(SUMPRODUCT(COUNTIFS(pbp_PlayType,EM_Type,pbp_Batter,$B188,pbp_On2B,"?*")*EM_H)+SUMPRODUCT(COUNTIFS(pbp_PlayType,EM_Type,pbp_Batter,$B188,pbp_On2B,"",pbp_On3B,"?*")*EM_H))/(SUMPRODUCT(COUNTIFS(pbp_PlayType,EM_Type,pbp_Batter,$B188,pbp_On2B,"?*")*EM_AB)+SUMPRODUCT(COUNTIFS(pbp_PlayType,EM_Type,pbp_Batter,$B188,pbp_On2B,"",pbp_On3B,"?*")*EM_AB))))</f>
        <v/>
      </c>
      <c r="AA188" s="62" t="str">
        <f>IF($B188="","",IF(OR(E188&lt;MinPA,T188=""),"",COUNTIFS($E$6:$E$255,"&gt;="&amp;MinPA,$T$6:$T$255,"&gt;"&amp;T188)+COUNTIFS($E$5:E187,"&gt;="&amp;MinPA,$T$5:T187,T188)+1))</f>
        <v/>
      </c>
    </row>
    <row r="189" spans="2:27" x14ac:dyDescent="0.2">
      <c r="B189" s="44" t="str">
        <f t="array" ref="B189">IFERROR(INDEX(pbp_Batter,MATCH(0,COUNTIF($B$5:B188,pbp_Batter)+(pbp_Batter=""),0)),"")</f>
        <v/>
      </c>
      <c r="C189" s="61" t="str">
        <f>IF($B189="","",IFERROR(INDEX(pbp_BatTeam,MATCH($B189,pbp_Batter,0)),""))</f>
        <v/>
      </c>
      <c r="D189" s="61" t="str">
        <f>IF($B189="","",IFERROR(INDEX(pbp_BatHand,MATCH($B189,pbp_Batter,0)),""))</f>
        <v/>
      </c>
      <c r="E189" s="42" t="str">
        <f>IF($B189="","",SUMPRODUCT(COUNTIFS(pbp_PlayType,EM_Type,pbp_Batter,$B189)*EM_PA))</f>
        <v/>
      </c>
      <c r="F189" s="42" t="str">
        <f>IF($B189="","",SUMPRODUCT(COUNTIFS(pbp_PlayType,EM_Type,pbp_Batter,$B189)*EM_AB))</f>
        <v/>
      </c>
      <c r="G189" s="42" t="str">
        <f>IF($B189="","",SUMPRODUCT(COUNTIFS(pbp_PlayType,EM_Type,pbp_Batter,$B189)*EM_H))</f>
        <v/>
      </c>
      <c r="H189" s="42" t="str">
        <f>IF($B189="","",SUMPRODUCT(COUNTIFS(pbp_PlayType,EM_Type,pbp_Batter,$B189)*EM_2B))</f>
        <v/>
      </c>
      <c r="I189" s="42" t="str">
        <f>IF($B189="","",SUMPRODUCT(COUNTIFS(pbp_PlayType,EM_Type,pbp_Batter,$B189)*EM_3B))</f>
        <v/>
      </c>
      <c r="J189" s="42" t="str">
        <f>IF($B189="","",SUMPRODUCT(COUNTIFS(pbp_PlayType,EM_Type,pbp_Batter,$B189)*EM_HR))</f>
        <v/>
      </c>
      <c r="K189" s="42" t="str">
        <f>IF($B189="","",SUMPRODUCT(COUNTIFS(pbp_PlayType,EM_Type,pbp_Batter,$B189)*EM_1B))</f>
        <v/>
      </c>
      <c r="L189" s="42" t="str">
        <f>IF($B189="","",SUMPRODUCT(COUNTIFS(pbp_PlayType,EM_Type,pbp_Batter,$B189)*EM_BB))</f>
        <v/>
      </c>
      <c r="M189" s="42" t="str">
        <f>IF($B189="","",SUMPRODUCT(COUNTIFS(pbp_PlayType,EM_Type,pbp_Batter,$B189)*EM_HBP))</f>
        <v/>
      </c>
      <c r="N189" s="42" t="str">
        <f>IF($B189="","",COUNTIFS(pbp_PlayType,"?*",pbp_Desc,"*struck out*",pbp_Batter,$B189))</f>
        <v/>
      </c>
      <c r="O189" s="42" t="str">
        <f>IF($B189="","",SUMPRODUCT(COUNTIFS(pbp_PlayType,EM_Type,pbp_Batter,$B189)*EM_SF))</f>
        <v/>
      </c>
      <c r="P189" s="42" t="str">
        <f>IF($B189="","",SUMIFS(pbp_Runs,pbp_Batter,$B189))</f>
        <v/>
      </c>
      <c r="Q189" s="58" t="str">
        <f t="shared" si="16"/>
        <v/>
      </c>
      <c r="R189" s="58" t="str">
        <f t="shared" si="17"/>
        <v/>
      </c>
      <c r="S189" s="58" t="str">
        <f t="shared" si="18"/>
        <v/>
      </c>
      <c r="T189" s="58" t="str">
        <f t="shared" si="19"/>
        <v/>
      </c>
      <c r="U189" s="58" t="str">
        <f t="shared" si="20"/>
        <v/>
      </c>
      <c r="V189" s="59" t="str">
        <f t="shared" si="21"/>
        <v/>
      </c>
      <c r="W189" s="59" t="str">
        <f t="shared" si="22"/>
        <v/>
      </c>
      <c r="X189" s="60" t="str">
        <f>IF($B189="","",IF((E189)=0,"",(SUMIFS(pbp_Pitches,pbp_Batter,$B189,pbp_PlayType,"?*"))/(E189)))</f>
        <v/>
      </c>
      <c r="Y189" s="42" t="str">
        <f t="shared" si="23"/>
        <v/>
      </c>
      <c r="Z189" s="58" t="str">
        <f>IF($B189="","",IF((SUMPRODUCT(COUNTIFS(pbp_PlayType,EM_Type,pbp_Batter,$B189,pbp_On2B,"?*")*EM_AB)+SUMPRODUCT(COUNTIFS(pbp_PlayType,EM_Type,pbp_Batter,$B189,pbp_On2B,"",pbp_On3B,"?*")*EM_AB))=0,"",(SUMPRODUCT(COUNTIFS(pbp_PlayType,EM_Type,pbp_Batter,$B189,pbp_On2B,"?*")*EM_H)+SUMPRODUCT(COUNTIFS(pbp_PlayType,EM_Type,pbp_Batter,$B189,pbp_On2B,"",pbp_On3B,"?*")*EM_H))/(SUMPRODUCT(COUNTIFS(pbp_PlayType,EM_Type,pbp_Batter,$B189,pbp_On2B,"?*")*EM_AB)+SUMPRODUCT(COUNTIFS(pbp_PlayType,EM_Type,pbp_Batter,$B189,pbp_On2B,"",pbp_On3B,"?*")*EM_AB))))</f>
        <v/>
      </c>
      <c r="AA189" s="62" t="str">
        <f>IF($B189="","",IF(OR(E189&lt;MinPA,T189=""),"",COUNTIFS($E$6:$E$255,"&gt;="&amp;MinPA,$T$6:$T$255,"&gt;"&amp;T189)+COUNTIFS($E$5:E188,"&gt;="&amp;MinPA,$T$5:T188,T189)+1))</f>
        <v/>
      </c>
    </row>
    <row r="190" spans="2:27" x14ac:dyDescent="0.2">
      <c r="B190" s="44" t="str">
        <f t="array" ref="B190">IFERROR(INDEX(pbp_Batter,MATCH(0,COUNTIF($B$5:B189,pbp_Batter)+(pbp_Batter=""),0)),"")</f>
        <v/>
      </c>
      <c r="C190" s="61" t="str">
        <f>IF($B190="","",IFERROR(INDEX(pbp_BatTeam,MATCH($B190,pbp_Batter,0)),""))</f>
        <v/>
      </c>
      <c r="D190" s="61" t="str">
        <f>IF($B190="","",IFERROR(INDEX(pbp_BatHand,MATCH($B190,pbp_Batter,0)),""))</f>
        <v/>
      </c>
      <c r="E190" s="42" t="str">
        <f>IF($B190="","",SUMPRODUCT(COUNTIFS(pbp_PlayType,EM_Type,pbp_Batter,$B190)*EM_PA))</f>
        <v/>
      </c>
      <c r="F190" s="42" t="str">
        <f>IF($B190="","",SUMPRODUCT(COUNTIFS(pbp_PlayType,EM_Type,pbp_Batter,$B190)*EM_AB))</f>
        <v/>
      </c>
      <c r="G190" s="42" t="str">
        <f>IF($B190="","",SUMPRODUCT(COUNTIFS(pbp_PlayType,EM_Type,pbp_Batter,$B190)*EM_H))</f>
        <v/>
      </c>
      <c r="H190" s="42" t="str">
        <f>IF($B190="","",SUMPRODUCT(COUNTIFS(pbp_PlayType,EM_Type,pbp_Batter,$B190)*EM_2B))</f>
        <v/>
      </c>
      <c r="I190" s="42" t="str">
        <f>IF($B190="","",SUMPRODUCT(COUNTIFS(pbp_PlayType,EM_Type,pbp_Batter,$B190)*EM_3B))</f>
        <v/>
      </c>
      <c r="J190" s="42" t="str">
        <f>IF($B190="","",SUMPRODUCT(COUNTIFS(pbp_PlayType,EM_Type,pbp_Batter,$B190)*EM_HR))</f>
        <v/>
      </c>
      <c r="K190" s="42" t="str">
        <f>IF($B190="","",SUMPRODUCT(COUNTIFS(pbp_PlayType,EM_Type,pbp_Batter,$B190)*EM_1B))</f>
        <v/>
      </c>
      <c r="L190" s="42" t="str">
        <f>IF($B190="","",SUMPRODUCT(COUNTIFS(pbp_PlayType,EM_Type,pbp_Batter,$B190)*EM_BB))</f>
        <v/>
      </c>
      <c r="M190" s="42" t="str">
        <f>IF($B190="","",SUMPRODUCT(COUNTIFS(pbp_PlayType,EM_Type,pbp_Batter,$B190)*EM_HBP))</f>
        <v/>
      </c>
      <c r="N190" s="42" t="str">
        <f>IF($B190="","",COUNTIFS(pbp_PlayType,"?*",pbp_Desc,"*struck out*",pbp_Batter,$B190))</f>
        <v/>
      </c>
      <c r="O190" s="42" t="str">
        <f>IF($B190="","",SUMPRODUCT(COUNTIFS(pbp_PlayType,EM_Type,pbp_Batter,$B190)*EM_SF))</f>
        <v/>
      </c>
      <c r="P190" s="42" t="str">
        <f>IF($B190="","",SUMIFS(pbp_Runs,pbp_Batter,$B190))</f>
        <v/>
      </c>
      <c r="Q190" s="58" t="str">
        <f t="shared" si="16"/>
        <v/>
      </c>
      <c r="R190" s="58" t="str">
        <f t="shared" si="17"/>
        <v/>
      </c>
      <c r="S190" s="58" t="str">
        <f t="shared" si="18"/>
        <v/>
      </c>
      <c r="T190" s="58" t="str">
        <f t="shared" si="19"/>
        <v/>
      </c>
      <c r="U190" s="58" t="str">
        <f t="shared" si="20"/>
        <v/>
      </c>
      <c r="V190" s="59" t="str">
        <f t="shared" si="21"/>
        <v/>
      </c>
      <c r="W190" s="59" t="str">
        <f t="shared" si="22"/>
        <v/>
      </c>
      <c r="X190" s="60" t="str">
        <f>IF($B190="","",IF((E190)=0,"",(SUMIFS(pbp_Pitches,pbp_Batter,$B190,pbp_PlayType,"?*"))/(E190)))</f>
        <v/>
      </c>
      <c r="Y190" s="42" t="str">
        <f t="shared" si="23"/>
        <v/>
      </c>
      <c r="Z190" s="58" t="str">
        <f>IF($B190="","",IF((SUMPRODUCT(COUNTIFS(pbp_PlayType,EM_Type,pbp_Batter,$B190,pbp_On2B,"?*")*EM_AB)+SUMPRODUCT(COUNTIFS(pbp_PlayType,EM_Type,pbp_Batter,$B190,pbp_On2B,"",pbp_On3B,"?*")*EM_AB))=0,"",(SUMPRODUCT(COUNTIFS(pbp_PlayType,EM_Type,pbp_Batter,$B190,pbp_On2B,"?*")*EM_H)+SUMPRODUCT(COUNTIFS(pbp_PlayType,EM_Type,pbp_Batter,$B190,pbp_On2B,"",pbp_On3B,"?*")*EM_H))/(SUMPRODUCT(COUNTIFS(pbp_PlayType,EM_Type,pbp_Batter,$B190,pbp_On2B,"?*")*EM_AB)+SUMPRODUCT(COUNTIFS(pbp_PlayType,EM_Type,pbp_Batter,$B190,pbp_On2B,"",pbp_On3B,"?*")*EM_AB))))</f>
        <v/>
      </c>
      <c r="AA190" s="62" t="str">
        <f>IF($B190="","",IF(OR(E190&lt;MinPA,T190=""),"",COUNTIFS($E$6:$E$255,"&gt;="&amp;MinPA,$T$6:$T$255,"&gt;"&amp;T190)+COUNTIFS($E$5:E189,"&gt;="&amp;MinPA,$T$5:T189,T190)+1))</f>
        <v/>
      </c>
    </row>
    <row r="191" spans="2:27" x14ac:dyDescent="0.2">
      <c r="B191" s="44" t="str">
        <f t="array" ref="B191">IFERROR(INDEX(pbp_Batter,MATCH(0,COUNTIF($B$5:B190,pbp_Batter)+(pbp_Batter=""),0)),"")</f>
        <v/>
      </c>
      <c r="C191" s="61" t="str">
        <f>IF($B191="","",IFERROR(INDEX(pbp_BatTeam,MATCH($B191,pbp_Batter,0)),""))</f>
        <v/>
      </c>
      <c r="D191" s="61" t="str">
        <f>IF($B191="","",IFERROR(INDEX(pbp_BatHand,MATCH($B191,pbp_Batter,0)),""))</f>
        <v/>
      </c>
      <c r="E191" s="42" t="str">
        <f>IF($B191="","",SUMPRODUCT(COUNTIFS(pbp_PlayType,EM_Type,pbp_Batter,$B191)*EM_PA))</f>
        <v/>
      </c>
      <c r="F191" s="42" t="str">
        <f>IF($B191="","",SUMPRODUCT(COUNTIFS(pbp_PlayType,EM_Type,pbp_Batter,$B191)*EM_AB))</f>
        <v/>
      </c>
      <c r="G191" s="42" t="str">
        <f>IF($B191="","",SUMPRODUCT(COUNTIFS(pbp_PlayType,EM_Type,pbp_Batter,$B191)*EM_H))</f>
        <v/>
      </c>
      <c r="H191" s="42" t="str">
        <f>IF($B191="","",SUMPRODUCT(COUNTIFS(pbp_PlayType,EM_Type,pbp_Batter,$B191)*EM_2B))</f>
        <v/>
      </c>
      <c r="I191" s="42" t="str">
        <f>IF($B191="","",SUMPRODUCT(COUNTIFS(pbp_PlayType,EM_Type,pbp_Batter,$B191)*EM_3B))</f>
        <v/>
      </c>
      <c r="J191" s="42" t="str">
        <f>IF($B191="","",SUMPRODUCT(COUNTIFS(pbp_PlayType,EM_Type,pbp_Batter,$B191)*EM_HR))</f>
        <v/>
      </c>
      <c r="K191" s="42" t="str">
        <f>IF($B191="","",SUMPRODUCT(COUNTIFS(pbp_PlayType,EM_Type,pbp_Batter,$B191)*EM_1B))</f>
        <v/>
      </c>
      <c r="L191" s="42" t="str">
        <f>IF($B191="","",SUMPRODUCT(COUNTIFS(pbp_PlayType,EM_Type,pbp_Batter,$B191)*EM_BB))</f>
        <v/>
      </c>
      <c r="M191" s="42" t="str">
        <f>IF($B191="","",SUMPRODUCT(COUNTIFS(pbp_PlayType,EM_Type,pbp_Batter,$B191)*EM_HBP))</f>
        <v/>
      </c>
      <c r="N191" s="42" t="str">
        <f>IF($B191="","",COUNTIFS(pbp_PlayType,"?*",pbp_Desc,"*struck out*",pbp_Batter,$B191))</f>
        <v/>
      </c>
      <c r="O191" s="42" t="str">
        <f>IF($B191="","",SUMPRODUCT(COUNTIFS(pbp_PlayType,EM_Type,pbp_Batter,$B191)*EM_SF))</f>
        <v/>
      </c>
      <c r="P191" s="42" t="str">
        <f>IF($B191="","",SUMIFS(pbp_Runs,pbp_Batter,$B191))</f>
        <v/>
      </c>
      <c r="Q191" s="58" t="str">
        <f t="shared" si="16"/>
        <v/>
      </c>
      <c r="R191" s="58" t="str">
        <f t="shared" si="17"/>
        <v/>
      </c>
      <c r="S191" s="58" t="str">
        <f t="shared" si="18"/>
        <v/>
      </c>
      <c r="T191" s="58" t="str">
        <f t="shared" si="19"/>
        <v/>
      </c>
      <c r="U191" s="58" t="str">
        <f t="shared" si="20"/>
        <v/>
      </c>
      <c r="V191" s="59" t="str">
        <f t="shared" si="21"/>
        <v/>
      </c>
      <c r="W191" s="59" t="str">
        <f t="shared" si="22"/>
        <v/>
      </c>
      <c r="X191" s="60" t="str">
        <f>IF($B191="","",IF((E191)=0,"",(SUMIFS(pbp_Pitches,pbp_Batter,$B191,pbp_PlayType,"?*"))/(E191)))</f>
        <v/>
      </c>
      <c r="Y191" s="42" t="str">
        <f t="shared" si="23"/>
        <v/>
      </c>
      <c r="Z191" s="58" t="str">
        <f>IF($B191="","",IF((SUMPRODUCT(COUNTIFS(pbp_PlayType,EM_Type,pbp_Batter,$B191,pbp_On2B,"?*")*EM_AB)+SUMPRODUCT(COUNTIFS(pbp_PlayType,EM_Type,pbp_Batter,$B191,pbp_On2B,"",pbp_On3B,"?*")*EM_AB))=0,"",(SUMPRODUCT(COUNTIFS(pbp_PlayType,EM_Type,pbp_Batter,$B191,pbp_On2B,"?*")*EM_H)+SUMPRODUCT(COUNTIFS(pbp_PlayType,EM_Type,pbp_Batter,$B191,pbp_On2B,"",pbp_On3B,"?*")*EM_H))/(SUMPRODUCT(COUNTIFS(pbp_PlayType,EM_Type,pbp_Batter,$B191,pbp_On2B,"?*")*EM_AB)+SUMPRODUCT(COUNTIFS(pbp_PlayType,EM_Type,pbp_Batter,$B191,pbp_On2B,"",pbp_On3B,"?*")*EM_AB))))</f>
        <v/>
      </c>
      <c r="AA191" s="62" t="str">
        <f>IF($B191="","",IF(OR(E191&lt;MinPA,T191=""),"",COUNTIFS($E$6:$E$255,"&gt;="&amp;MinPA,$T$6:$T$255,"&gt;"&amp;T191)+COUNTIFS($E$5:E190,"&gt;="&amp;MinPA,$T$5:T190,T191)+1))</f>
        <v/>
      </c>
    </row>
    <row r="192" spans="2:27" x14ac:dyDescent="0.2">
      <c r="B192" s="44" t="str">
        <f t="array" ref="B192">IFERROR(INDEX(pbp_Batter,MATCH(0,COUNTIF($B$5:B191,pbp_Batter)+(pbp_Batter=""),0)),"")</f>
        <v/>
      </c>
      <c r="C192" s="61" t="str">
        <f>IF($B192="","",IFERROR(INDEX(pbp_BatTeam,MATCH($B192,pbp_Batter,0)),""))</f>
        <v/>
      </c>
      <c r="D192" s="61" t="str">
        <f>IF($B192="","",IFERROR(INDEX(pbp_BatHand,MATCH($B192,pbp_Batter,0)),""))</f>
        <v/>
      </c>
      <c r="E192" s="42" t="str">
        <f>IF($B192="","",SUMPRODUCT(COUNTIFS(pbp_PlayType,EM_Type,pbp_Batter,$B192)*EM_PA))</f>
        <v/>
      </c>
      <c r="F192" s="42" t="str">
        <f>IF($B192="","",SUMPRODUCT(COUNTIFS(pbp_PlayType,EM_Type,pbp_Batter,$B192)*EM_AB))</f>
        <v/>
      </c>
      <c r="G192" s="42" t="str">
        <f>IF($B192="","",SUMPRODUCT(COUNTIFS(pbp_PlayType,EM_Type,pbp_Batter,$B192)*EM_H))</f>
        <v/>
      </c>
      <c r="H192" s="42" t="str">
        <f>IF($B192="","",SUMPRODUCT(COUNTIFS(pbp_PlayType,EM_Type,pbp_Batter,$B192)*EM_2B))</f>
        <v/>
      </c>
      <c r="I192" s="42" t="str">
        <f>IF($B192="","",SUMPRODUCT(COUNTIFS(pbp_PlayType,EM_Type,pbp_Batter,$B192)*EM_3B))</f>
        <v/>
      </c>
      <c r="J192" s="42" t="str">
        <f>IF($B192="","",SUMPRODUCT(COUNTIFS(pbp_PlayType,EM_Type,pbp_Batter,$B192)*EM_HR))</f>
        <v/>
      </c>
      <c r="K192" s="42" t="str">
        <f>IF($B192="","",SUMPRODUCT(COUNTIFS(pbp_PlayType,EM_Type,pbp_Batter,$B192)*EM_1B))</f>
        <v/>
      </c>
      <c r="L192" s="42" t="str">
        <f>IF($B192="","",SUMPRODUCT(COUNTIFS(pbp_PlayType,EM_Type,pbp_Batter,$B192)*EM_BB))</f>
        <v/>
      </c>
      <c r="M192" s="42" t="str">
        <f>IF($B192="","",SUMPRODUCT(COUNTIFS(pbp_PlayType,EM_Type,pbp_Batter,$B192)*EM_HBP))</f>
        <v/>
      </c>
      <c r="N192" s="42" t="str">
        <f>IF($B192="","",COUNTIFS(pbp_PlayType,"?*",pbp_Desc,"*struck out*",pbp_Batter,$B192))</f>
        <v/>
      </c>
      <c r="O192" s="42" t="str">
        <f>IF($B192="","",SUMPRODUCT(COUNTIFS(pbp_PlayType,EM_Type,pbp_Batter,$B192)*EM_SF))</f>
        <v/>
      </c>
      <c r="P192" s="42" t="str">
        <f>IF($B192="","",SUMIFS(pbp_Runs,pbp_Batter,$B192))</f>
        <v/>
      </c>
      <c r="Q192" s="58" t="str">
        <f t="shared" si="16"/>
        <v/>
      </c>
      <c r="R192" s="58" t="str">
        <f t="shared" si="17"/>
        <v/>
      </c>
      <c r="S192" s="58" t="str">
        <f t="shared" si="18"/>
        <v/>
      </c>
      <c r="T192" s="58" t="str">
        <f t="shared" si="19"/>
        <v/>
      </c>
      <c r="U192" s="58" t="str">
        <f t="shared" si="20"/>
        <v/>
      </c>
      <c r="V192" s="59" t="str">
        <f t="shared" si="21"/>
        <v/>
      </c>
      <c r="W192" s="59" t="str">
        <f t="shared" si="22"/>
        <v/>
      </c>
      <c r="X192" s="60" t="str">
        <f>IF($B192="","",IF((E192)=0,"",(SUMIFS(pbp_Pitches,pbp_Batter,$B192,pbp_PlayType,"?*"))/(E192)))</f>
        <v/>
      </c>
      <c r="Y192" s="42" t="str">
        <f t="shared" si="23"/>
        <v/>
      </c>
      <c r="Z192" s="58" t="str">
        <f>IF($B192="","",IF((SUMPRODUCT(COUNTIFS(pbp_PlayType,EM_Type,pbp_Batter,$B192,pbp_On2B,"?*")*EM_AB)+SUMPRODUCT(COUNTIFS(pbp_PlayType,EM_Type,pbp_Batter,$B192,pbp_On2B,"",pbp_On3B,"?*")*EM_AB))=0,"",(SUMPRODUCT(COUNTIFS(pbp_PlayType,EM_Type,pbp_Batter,$B192,pbp_On2B,"?*")*EM_H)+SUMPRODUCT(COUNTIFS(pbp_PlayType,EM_Type,pbp_Batter,$B192,pbp_On2B,"",pbp_On3B,"?*")*EM_H))/(SUMPRODUCT(COUNTIFS(pbp_PlayType,EM_Type,pbp_Batter,$B192,pbp_On2B,"?*")*EM_AB)+SUMPRODUCT(COUNTIFS(pbp_PlayType,EM_Type,pbp_Batter,$B192,pbp_On2B,"",pbp_On3B,"?*")*EM_AB))))</f>
        <v/>
      </c>
      <c r="AA192" s="62" t="str">
        <f>IF($B192="","",IF(OR(E192&lt;MinPA,T192=""),"",COUNTIFS($E$6:$E$255,"&gt;="&amp;MinPA,$T$6:$T$255,"&gt;"&amp;T192)+COUNTIFS($E$5:E191,"&gt;="&amp;MinPA,$T$5:T191,T192)+1))</f>
        <v/>
      </c>
    </row>
    <row r="193" spans="2:27" x14ac:dyDescent="0.2">
      <c r="B193" s="44" t="str">
        <f t="array" ref="B193">IFERROR(INDEX(pbp_Batter,MATCH(0,COUNTIF($B$5:B192,pbp_Batter)+(pbp_Batter=""),0)),"")</f>
        <v/>
      </c>
      <c r="C193" s="61" t="str">
        <f>IF($B193="","",IFERROR(INDEX(pbp_BatTeam,MATCH($B193,pbp_Batter,0)),""))</f>
        <v/>
      </c>
      <c r="D193" s="61" t="str">
        <f>IF($B193="","",IFERROR(INDEX(pbp_BatHand,MATCH($B193,pbp_Batter,0)),""))</f>
        <v/>
      </c>
      <c r="E193" s="42" t="str">
        <f>IF($B193="","",SUMPRODUCT(COUNTIFS(pbp_PlayType,EM_Type,pbp_Batter,$B193)*EM_PA))</f>
        <v/>
      </c>
      <c r="F193" s="42" t="str">
        <f>IF($B193="","",SUMPRODUCT(COUNTIFS(pbp_PlayType,EM_Type,pbp_Batter,$B193)*EM_AB))</f>
        <v/>
      </c>
      <c r="G193" s="42" t="str">
        <f>IF($B193="","",SUMPRODUCT(COUNTIFS(pbp_PlayType,EM_Type,pbp_Batter,$B193)*EM_H))</f>
        <v/>
      </c>
      <c r="H193" s="42" t="str">
        <f>IF($B193="","",SUMPRODUCT(COUNTIFS(pbp_PlayType,EM_Type,pbp_Batter,$B193)*EM_2B))</f>
        <v/>
      </c>
      <c r="I193" s="42" t="str">
        <f>IF($B193="","",SUMPRODUCT(COUNTIFS(pbp_PlayType,EM_Type,pbp_Batter,$B193)*EM_3B))</f>
        <v/>
      </c>
      <c r="J193" s="42" t="str">
        <f>IF($B193="","",SUMPRODUCT(COUNTIFS(pbp_PlayType,EM_Type,pbp_Batter,$B193)*EM_HR))</f>
        <v/>
      </c>
      <c r="K193" s="42" t="str">
        <f>IF($B193="","",SUMPRODUCT(COUNTIFS(pbp_PlayType,EM_Type,pbp_Batter,$B193)*EM_1B))</f>
        <v/>
      </c>
      <c r="L193" s="42" t="str">
        <f>IF($B193="","",SUMPRODUCT(COUNTIFS(pbp_PlayType,EM_Type,pbp_Batter,$B193)*EM_BB))</f>
        <v/>
      </c>
      <c r="M193" s="42" t="str">
        <f>IF($B193="","",SUMPRODUCT(COUNTIFS(pbp_PlayType,EM_Type,pbp_Batter,$B193)*EM_HBP))</f>
        <v/>
      </c>
      <c r="N193" s="42" t="str">
        <f>IF($B193="","",COUNTIFS(pbp_PlayType,"?*",pbp_Desc,"*struck out*",pbp_Batter,$B193))</f>
        <v/>
      </c>
      <c r="O193" s="42" t="str">
        <f>IF($B193="","",SUMPRODUCT(COUNTIFS(pbp_PlayType,EM_Type,pbp_Batter,$B193)*EM_SF))</f>
        <v/>
      </c>
      <c r="P193" s="42" t="str">
        <f>IF($B193="","",SUMIFS(pbp_Runs,pbp_Batter,$B193))</f>
        <v/>
      </c>
      <c r="Q193" s="58" t="str">
        <f t="shared" si="16"/>
        <v/>
      </c>
      <c r="R193" s="58" t="str">
        <f t="shared" si="17"/>
        <v/>
      </c>
      <c r="S193" s="58" t="str">
        <f t="shared" si="18"/>
        <v/>
      </c>
      <c r="T193" s="58" t="str">
        <f t="shared" si="19"/>
        <v/>
      </c>
      <c r="U193" s="58" t="str">
        <f t="shared" si="20"/>
        <v/>
      </c>
      <c r="V193" s="59" t="str">
        <f t="shared" si="21"/>
        <v/>
      </c>
      <c r="W193" s="59" t="str">
        <f t="shared" si="22"/>
        <v/>
      </c>
      <c r="X193" s="60" t="str">
        <f>IF($B193="","",IF((E193)=0,"",(SUMIFS(pbp_Pitches,pbp_Batter,$B193,pbp_PlayType,"?*"))/(E193)))</f>
        <v/>
      </c>
      <c r="Y193" s="42" t="str">
        <f t="shared" si="23"/>
        <v/>
      </c>
      <c r="Z193" s="58" t="str">
        <f>IF($B193="","",IF((SUMPRODUCT(COUNTIFS(pbp_PlayType,EM_Type,pbp_Batter,$B193,pbp_On2B,"?*")*EM_AB)+SUMPRODUCT(COUNTIFS(pbp_PlayType,EM_Type,pbp_Batter,$B193,pbp_On2B,"",pbp_On3B,"?*")*EM_AB))=0,"",(SUMPRODUCT(COUNTIFS(pbp_PlayType,EM_Type,pbp_Batter,$B193,pbp_On2B,"?*")*EM_H)+SUMPRODUCT(COUNTIFS(pbp_PlayType,EM_Type,pbp_Batter,$B193,pbp_On2B,"",pbp_On3B,"?*")*EM_H))/(SUMPRODUCT(COUNTIFS(pbp_PlayType,EM_Type,pbp_Batter,$B193,pbp_On2B,"?*")*EM_AB)+SUMPRODUCT(COUNTIFS(pbp_PlayType,EM_Type,pbp_Batter,$B193,pbp_On2B,"",pbp_On3B,"?*")*EM_AB))))</f>
        <v/>
      </c>
      <c r="AA193" s="62" t="str">
        <f>IF($B193="","",IF(OR(E193&lt;MinPA,T193=""),"",COUNTIFS($E$6:$E$255,"&gt;="&amp;MinPA,$T$6:$T$255,"&gt;"&amp;T193)+COUNTIFS($E$5:E192,"&gt;="&amp;MinPA,$T$5:T192,T193)+1))</f>
        <v/>
      </c>
    </row>
    <row r="194" spans="2:27" x14ac:dyDescent="0.2">
      <c r="B194" s="44" t="str">
        <f t="array" ref="B194">IFERROR(INDEX(pbp_Batter,MATCH(0,COUNTIF($B$5:B193,pbp_Batter)+(pbp_Batter=""),0)),"")</f>
        <v/>
      </c>
      <c r="C194" s="61" t="str">
        <f>IF($B194="","",IFERROR(INDEX(pbp_BatTeam,MATCH($B194,pbp_Batter,0)),""))</f>
        <v/>
      </c>
      <c r="D194" s="61" t="str">
        <f>IF($B194="","",IFERROR(INDEX(pbp_BatHand,MATCH($B194,pbp_Batter,0)),""))</f>
        <v/>
      </c>
      <c r="E194" s="42" t="str">
        <f>IF($B194="","",SUMPRODUCT(COUNTIFS(pbp_PlayType,EM_Type,pbp_Batter,$B194)*EM_PA))</f>
        <v/>
      </c>
      <c r="F194" s="42" t="str">
        <f>IF($B194="","",SUMPRODUCT(COUNTIFS(pbp_PlayType,EM_Type,pbp_Batter,$B194)*EM_AB))</f>
        <v/>
      </c>
      <c r="G194" s="42" t="str">
        <f>IF($B194="","",SUMPRODUCT(COUNTIFS(pbp_PlayType,EM_Type,pbp_Batter,$B194)*EM_H))</f>
        <v/>
      </c>
      <c r="H194" s="42" t="str">
        <f>IF($B194="","",SUMPRODUCT(COUNTIFS(pbp_PlayType,EM_Type,pbp_Batter,$B194)*EM_2B))</f>
        <v/>
      </c>
      <c r="I194" s="42" t="str">
        <f>IF($B194="","",SUMPRODUCT(COUNTIFS(pbp_PlayType,EM_Type,pbp_Batter,$B194)*EM_3B))</f>
        <v/>
      </c>
      <c r="J194" s="42" t="str">
        <f>IF($B194="","",SUMPRODUCT(COUNTIFS(pbp_PlayType,EM_Type,pbp_Batter,$B194)*EM_HR))</f>
        <v/>
      </c>
      <c r="K194" s="42" t="str">
        <f>IF($B194="","",SUMPRODUCT(COUNTIFS(pbp_PlayType,EM_Type,pbp_Batter,$B194)*EM_1B))</f>
        <v/>
      </c>
      <c r="L194" s="42" t="str">
        <f>IF($B194="","",SUMPRODUCT(COUNTIFS(pbp_PlayType,EM_Type,pbp_Batter,$B194)*EM_BB))</f>
        <v/>
      </c>
      <c r="M194" s="42" t="str">
        <f>IF($B194="","",SUMPRODUCT(COUNTIFS(pbp_PlayType,EM_Type,pbp_Batter,$B194)*EM_HBP))</f>
        <v/>
      </c>
      <c r="N194" s="42" t="str">
        <f>IF($B194="","",COUNTIFS(pbp_PlayType,"?*",pbp_Desc,"*struck out*",pbp_Batter,$B194))</f>
        <v/>
      </c>
      <c r="O194" s="42" t="str">
        <f>IF($B194="","",SUMPRODUCT(COUNTIFS(pbp_PlayType,EM_Type,pbp_Batter,$B194)*EM_SF))</f>
        <v/>
      </c>
      <c r="P194" s="42" t="str">
        <f>IF($B194="","",SUMIFS(pbp_Runs,pbp_Batter,$B194))</f>
        <v/>
      </c>
      <c r="Q194" s="58" t="str">
        <f t="shared" si="16"/>
        <v/>
      </c>
      <c r="R194" s="58" t="str">
        <f t="shared" si="17"/>
        <v/>
      </c>
      <c r="S194" s="58" t="str">
        <f t="shared" si="18"/>
        <v/>
      </c>
      <c r="T194" s="58" t="str">
        <f t="shared" si="19"/>
        <v/>
      </c>
      <c r="U194" s="58" t="str">
        <f t="shared" si="20"/>
        <v/>
      </c>
      <c r="V194" s="59" t="str">
        <f t="shared" si="21"/>
        <v/>
      </c>
      <c r="W194" s="59" t="str">
        <f t="shared" si="22"/>
        <v/>
      </c>
      <c r="X194" s="60" t="str">
        <f>IF($B194="","",IF((E194)=0,"",(SUMIFS(pbp_Pitches,pbp_Batter,$B194,pbp_PlayType,"?*"))/(E194)))</f>
        <v/>
      </c>
      <c r="Y194" s="42" t="str">
        <f t="shared" si="23"/>
        <v/>
      </c>
      <c r="Z194" s="58" t="str">
        <f>IF($B194="","",IF((SUMPRODUCT(COUNTIFS(pbp_PlayType,EM_Type,pbp_Batter,$B194,pbp_On2B,"?*")*EM_AB)+SUMPRODUCT(COUNTIFS(pbp_PlayType,EM_Type,pbp_Batter,$B194,pbp_On2B,"",pbp_On3B,"?*")*EM_AB))=0,"",(SUMPRODUCT(COUNTIFS(pbp_PlayType,EM_Type,pbp_Batter,$B194,pbp_On2B,"?*")*EM_H)+SUMPRODUCT(COUNTIFS(pbp_PlayType,EM_Type,pbp_Batter,$B194,pbp_On2B,"",pbp_On3B,"?*")*EM_H))/(SUMPRODUCT(COUNTIFS(pbp_PlayType,EM_Type,pbp_Batter,$B194,pbp_On2B,"?*")*EM_AB)+SUMPRODUCT(COUNTIFS(pbp_PlayType,EM_Type,pbp_Batter,$B194,pbp_On2B,"",pbp_On3B,"?*")*EM_AB))))</f>
        <v/>
      </c>
      <c r="AA194" s="62" t="str">
        <f>IF($B194="","",IF(OR(E194&lt;MinPA,T194=""),"",COUNTIFS($E$6:$E$255,"&gt;="&amp;MinPA,$T$6:$T$255,"&gt;"&amp;T194)+COUNTIFS($E$5:E193,"&gt;="&amp;MinPA,$T$5:T193,T194)+1))</f>
        <v/>
      </c>
    </row>
    <row r="195" spans="2:27" x14ac:dyDescent="0.2">
      <c r="B195" s="44" t="str">
        <f t="array" ref="B195">IFERROR(INDEX(pbp_Batter,MATCH(0,COUNTIF($B$5:B194,pbp_Batter)+(pbp_Batter=""),0)),"")</f>
        <v/>
      </c>
      <c r="C195" s="61" t="str">
        <f>IF($B195="","",IFERROR(INDEX(pbp_BatTeam,MATCH($B195,pbp_Batter,0)),""))</f>
        <v/>
      </c>
      <c r="D195" s="61" t="str">
        <f>IF($B195="","",IFERROR(INDEX(pbp_BatHand,MATCH($B195,pbp_Batter,0)),""))</f>
        <v/>
      </c>
      <c r="E195" s="42" t="str">
        <f>IF($B195="","",SUMPRODUCT(COUNTIFS(pbp_PlayType,EM_Type,pbp_Batter,$B195)*EM_PA))</f>
        <v/>
      </c>
      <c r="F195" s="42" t="str">
        <f>IF($B195="","",SUMPRODUCT(COUNTIFS(pbp_PlayType,EM_Type,pbp_Batter,$B195)*EM_AB))</f>
        <v/>
      </c>
      <c r="G195" s="42" t="str">
        <f>IF($B195="","",SUMPRODUCT(COUNTIFS(pbp_PlayType,EM_Type,pbp_Batter,$B195)*EM_H))</f>
        <v/>
      </c>
      <c r="H195" s="42" t="str">
        <f>IF($B195="","",SUMPRODUCT(COUNTIFS(pbp_PlayType,EM_Type,pbp_Batter,$B195)*EM_2B))</f>
        <v/>
      </c>
      <c r="I195" s="42" t="str">
        <f>IF($B195="","",SUMPRODUCT(COUNTIFS(pbp_PlayType,EM_Type,pbp_Batter,$B195)*EM_3B))</f>
        <v/>
      </c>
      <c r="J195" s="42" t="str">
        <f>IF($B195="","",SUMPRODUCT(COUNTIFS(pbp_PlayType,EM_Type,pbp_Batter,$B195)*EM_HR))</f>
        <v/>
      </c>
      <c r="K195" s="42" t="str">
        <f>IF($B195="","",SUMPRODUCT(COUNTIFS(pbp_PlayType,EM_Type,pbp_Batter,$B195)*EM_1B))</f>
        <v/>
      </c>
      <c r="L195" s="42" t="str">
        <f>IF($B195="","",SUMPRODUCT(COUNTIFS(pbp_PlayType,EM_Type,pbp_Batter,$B195)*EM_BB))</f>
        <v/>
      </c>
      <c r="M195" s="42" t="str">
        <f>IF($B195="","",SUMPRODUCT(COUNTIFS(pbp_PlayType,EM_Type,pbp_Batter,$B195)*EM_HBP))</f>
        <v/>
      </c>
      <c r="N195" s="42" t="str">
        <f>IF($B195="","",COUNTIFS(pbp_PlayType,"?*",pbp_Desc,"*struck out*",pbp_Batter,$B195))</f>
        <v/>
      </c>
      <c r="O195" s="42" t="str">
        <f>IF($B195="","",SUMPRODUCT(COUNTIFS(pbp_PlayType,EM_Type,pbp_Batter,$B195)*EM_SF))</f>
        <v/>
      </c>
      <c r="P195" s="42" t="str">
        <f>IF($B195="","",SUMIFS(pbp_Runs,pbp_Batter,$B195))</f>
        <v/>
      </c>
      <c r="Q195" s="58" t="str">
        <f t="shared" si="16"/>
        <v/>
      </c>
      <c r="R195" s="58" t="str">
        <f t="shared" si="17"/>
        <v/>
      </c>
      <c r="S195" s="58" t="str">
        <f t="shared" si="18"/>
        <v/>
      </c>
      <c r="T195" s="58" t="str">
        <f t="shared" si="19"/>
        <v/>
      </c>
      <c r="U195" s="58" t="str">
        <f t="shared" si="20"/>
        <v/>
      </c>
      <c r="V195" s="59" t="str">
        <f t="shared" si="21"/>
        <v/>
      </c>
      <c r="W195" s="59" t="str">
        <f t="shared" si="22"/>
        <v/>
      </c>
      <c r="X195" s="60" t="str">
        <f>IF($B195="","",IF((E195)=0,"",(SUMIFS(pbp_Pitches,pbp_Batter,$B195,pbp_PlayType,"?*"))/(E195)))</f>
        <v/>
      </c>
      <c r="Y195" s="42" t="str">
        <f t="shared" si="23"/>
        <v/>
      </c>
      <c r="Z195" s="58" t="str">
        <f>IF($B195="","",IF((SUMPRODUCT(COUNTIFS(pbp_PlayType,EM_Type,pbp_Batter,$B195,pbp_On2B,"?*")*EM_AB)+SUMPRODUCT(COUNTIFS(pbp_PlayType,EM_Type,pbp_Batter,$B195,pbp_On2B,"",pbp_On3B,"?*")*EM_AB))=0,"",(SUMPRODUCT(COUNTIFS(pbp_PlayType,EM_Type,pbp_Batter,$B195,pbp_On2B,"?*")*EM_H)+SUMPRODUCT(COUNTIFS(pbp_PlayType,EM_Type,pbp_Batter,$B195,pbp_On2B,"",pbp_On3B,"?*")*EM_H))/(SUMPRODUCT(COUNTIFS(pbp_PlayType,EM_Type,pbp_Batter,$B195,pbp_On2B,"?*")*EM_AB)+SUMPRODUCT(COUNTIFS(pbp_PlayType,EM_Type,pbp_Batter,$B195,pbp_On2B,"",pbp_On3B,"?*")*EM_AB))))</f>
        <v/>
      </c>
      <c r="AA195" s="62" t="str">
        <f>IF($B195="","",IF(OR(E195&lt;MinPA,T195=""),"",COUNTIFS($E$6:$E$255,"&gt;="&amp;MinPA,$T$6:$T$255,"&gt;"&amp;T195)+COUNTIFS($E$5:E194,"&gt;="&amp;MinPA,$T$5:T194,T195)+1))</f>
        <v/>
      </c>
    </row>
    <row r="196" spans="2:27" x14ac:dyDescent="0.2">
      <c r="B196" s="44" t="str">
        <f t="array" ref="B196">IFERROR(INDEX(pbp_Batter,MATCH(0,COUNTIF($B$5:B195,pbp_Batter)+(pbp_Batter=""),0)),"")</f>
        <v/>
      </c>
      <c r="C196" s="61" t="str">
        <f>IF($B196="","",IFERROR(INDEX(pbp_BatTeam,MATCH($B196,pbp_Batter,0)),""))</f>
        <v/>
      </c>
      <c r="D196" s="61" t="str">
        <f>IF($B196="","",IFERROR(INDEX(pbp_BatHand,MATCH($B196,pbp_Batter,0)),""))</f>
        <v/>
      </c>
      <c r="E196" s="42" t="str">
        <f>IF($B196="","",SUMPRODUCT(COUNTIFS(pbp_PlayType,EM_Type,pbp_Batter,$B196)*EM_PA))</f>
        <v/>
      </c>
      <c r="F196" s="42" t="str">
        <f>IF($B196="","",SUMPRODUCT(COUNTIFS(pbp_PlayType,EM_Type,pbp_Batter,$B196)*EM_AB))</f>
        <v/>
      </c>
      <c r="G196" s="42" t="str">
        <f>IF($B196="","",SUMPRODUCT(COUNTIFS(pbp_PlayType,EM_Type,pbp_Batter,$B196)*EM_H))</f>
        <v/>
      </c>
      <c r="H196" s="42" t="str">
        <f>IF($B196="","",SUMPRODUCT(COUNTIFS(pbp_PlayType,EM_Type,pbp_Batter,$B196)*EM_2B))</f>
        <v/>
      </c>
      <c r="I196" s="42" t="str">
        <f>IF($B196="","",SUMPRODUCT(COUNTIFS(pbp_PlayType,EM_Type,pbp_Batter,$B196)*EM_3B))</f>
        <v/>
      </c>
      <c r="J196" s="42" t="str">
        <f>IF($B196="","",SUMPRODUCT(COUNTIFS(pbp_PlayType,EM_Type,pbp_Batter,$B196)*EM_HR))</f>
        <v/>
      </c>
      <c r="K196" s="42" t="str">
        <f>IF($B196="","",SUMPRODUCT(COUNTIFS(pbp_PlayType,EM_Type,pbp_Batter,$B196)*EM_1B))</f>
        <v/>
      </c>
      <c r="L196" s="42" t="str">
        <f>IF($B196="","",SUMPRODUCT(COUNTIFS(pbp_PlayType,EM_Type,pbp_Batter,$B196)*EM_BB))</f>
        <v/>
      </c>
      <c r="M196" s="42" t="str">
        <f>IF($B196="","",SUMPRODUCT(COUNTIFS(pbp_PlayType,EM_Type,pbp_Batter,$B196)*EM_HBP))</f>
        <v/>
      </c>
      <c r="N196" s="42" t="str">
        <f>IF($B196="","",COUNTIFS(pbp_PlayType,"?*",pbp_Desc,"*struck out*",pbp_Batter,$B196))</f>
        <v/>
      </c>
      <c r="O196" s="42" t="str">
        <f>IF($B196="","",SUMPRODUCT(COUNTIFS(pbp_PlayType,EM_Type,pbp_Batter,$B196)*EM_SF))</f>
        <v/>
      </c>
      <c r="P196" s="42" t="str">
        <f>IF($B196="","",SUMIFS(pbp_Runs,pbp_Batter,$B196))</f>
        <v/>
      </c>
      <c r="Q196" s="58" t="str">
        <f t="shared" si="16"/>
        <v/>
      </c>
      <c r="R196" s="58" t="str">
        <f t="shared" si="17"/>
        <v/>
      </c>
      <c r="S196" s="58" t="str">
        <f t="shared" si="18"/>
        <v/>
      </c>
      <c r="T196" s="58" t="str">
        <f t="shared" si="19"/>
        <v/>
      </c>
      <c r="U196" s="58" t="str">
        <f t="shared" si="20"/>
        <v/>
      </c>
      <c r="V196" s="59" t="str">
        <f t="shared" si="21"/>
        <v/>
      </c>
      <c r="W196" s="59" t="str">
        <f t="shared" si="22"/>
        <v/>
      </c>
      <c r="X196" s="60" t="str">
        <f>IF($B196="","",IF((E196)=0,"",(SUMIFS(pbp_Pitches,pbp_Batter,$B196,pbp_PlayType,"?*"))/(E196)))</f>
        <v/>
      </c>
      <c r="Y196" s="42" t="str">
        <f t="shared" si="23"/>
        <v/>
      </c>
      <c r="Z196" s="58" t="str">
        <f>IF($B196="","",IF((SUMPRODUCT(COUNTIFS(pbp_PlayType,EM_Type,pbp_Batter,$B196,pbp_On2B,"?*")*EM_AB)+SUMPRODUCT(COUNTIFS(pbp_PlayType,EM_Type,pbp_Batter,$B196,pbp_On2B,"",pbp_On3B,"?*")*EM_AB))=0,"",(SUMPRODUCT(COUNTIFS(pbp_PlayType,EM_Type,pbp_Batter,$B196,pbp_On2B,"?*")*EM_H)+SUMPRODUCT(COUNTIFS(pbp_PlayType,EM_Type,pbp_Batter,$B196,pbp_On2B,"",pbp_On3B,"?*")*EM_H))/(SUMPRODUCT(COUNTIFS(pbp_PlayType,EM_Type,pbp_Batter,$B196,pbp_On2B,"?*")*EM_AB)+SUMPRODUCT(COUNTIFS(pbp_PlayType,EM_Type,pbp_Batter,$B196,pbp_On2B,"",pbp_On3B,"?*")*EM_AB))))</f>
        <v/>
      </c>
      <c r="AA196" s="62" t="str">
        <f>IF($B196="","",IF(OR(E196&lt;MinPA,T196=""),"",COUNTIFS($E$6:$E$255,"&gt;="&amp;MinPA,$T$6:$T$255,"&gt;"&amp;T196)+COUNTIFS($E$5:E195,"&gt;="&amp;MinPA,$T$5:T195,T196)+1))</f>
        <v/>
      </c>
    </row>
    <row r="197" spans="2:27" x14ac:dyDescent="0.2">
      <c r="B197" s="44" t="str">
        <f t="array" ref="B197">IFERROR(INDEX(pbp_Batter,MATCH(0,COUNTIF($B$5:B196,pbp_Batter)+(pbp_Batter=""),0)),"")</f>
        <v/>
      </c>
      <c r="C197" s="61" t="str">
        <f>IF($B197="","",IFERROR(INDEX(pbp_BatTeam,MATCH($B197,pbp_Batter,0)),""))</f>
        <v/>
      </c>
      <c r="D197" s="61" t="str">
        <f>IF($B197="","",IFERROR(INDEX(pbp_BatHand,MATCH($B197,pbp_Batter,0)),""))</f>
        <v/>
      </c>
      <c r="E197" s="42" t="str">
        <f>IF($B197="","",SUMPRODUCT(COUNTIFS(pbp_PlayType,EM_Type,pbp_Batter,$B197)*EM_PA))</f>
        <v/>
      </c>
      <c r="F197" s="42" t="str">
        <f>IF($B197="","",SUMPRODUCT(COUNTIFS(pbp_PlayType,EM_Type,pbp_Batter,$B197)*EM_AB))</f>
        <v/>
      </c>
      <c r="G197" s="42" t="str">
        <f>IF($B197="","",SUMPRODUCT(COUNTIFS(pbp_PlayType,EM_Type,pbp_Batter,$B197)*EM_H))</f>
        <v/>
      </c>
      <c r="H197" s="42" t="str">
        <f>IF($B197="","",SUMPRODUCT(COUNTIFS(pbp_PlayType,EM_Type,pbp_Batter,$B197)*EM_2B))</f>
        <v/>
      </c>
      <c r="I197" s="42" t="str">
        <f>IF($B197="","",SUMPRODUCT(COUNTIFS(pbp_PlayType,EM_Type,pbp_Batter,$B197)*EM_3B))</f>
        <v/>
      </c>
      <c r="J197" s="42" t="str">
        <f>IF($B197="","",SUMPRODUCT(COUNTIFS(pbp_PlayType,EM_Type,pbp_Batter,$B197)*EM_HR))</f>
        <v/>
      </c>
      <c r="K197" s="42" t="str">
        <f>IF($B197="","",SUMPRODUCT(COUNTIFS(pbp_PlayType,EM_Type,pbp_Batter,$B197)*EM_1B))</f>
        <v/>
      </c>
      <c r="L197" s="42" t="str">
        <f>IF($B197="","",SUMPRODUCT(COUNTIFS(pbp_PlayType,EM_Type,pbp_Batter,$B197)*EM_BB))</f>
        <v/>
      </c>
      <c r="M197" s="42" t="str">
        <f>IF($B197="","",SUMPRODUCT(COUNTIFS(pbp_PlayType,EM_Type,pbp_Batter,$B197)*EM_HBP))</f>
        <v/>
      </c>
      <c r="N197" s="42" t="str">
        <f>IF($B197="","",COUNTIFS(pbp_PlayType,"?*",pbp_Desc,"*struck out*",pbp_Batter,$B197))</f>
        <v/>
      </c>
      <c r="O197" s="42" t="str">
        <f>IF($B197="","",SUMPRODUCT(COUNTIFS(pbp_PlayType,EM_Type,pbp_Batter,$B197)*EM_SF))</f>
        <v/>
      </c>
      <c r="P197" s="42" t="str">
        <f>IF($B197="","",SUMIFS(pbp_Runs,pbp_Batter,$B197))</f>
        <v/>
      </c>
      <c r="Q197" s="58" t="str">
        <f t="shared" si="16"/>
        <v/>
      </c>
      <c r="R197" s="58" t="str">
        <f t="shared" si="17"/>
        <v/>
      </c>
      <c r="S197" s="58" t="str">
        <f t="shared" si="18"/>
        <v/>
      </c>
      <c r="T197" s="58" t="str">
        <f t="shared" si="19"/>
        <v/>
      </c>
      <c r="U197" s="58" t="str">
        <f t="shared" si="20"/>
        <v/>
      </c>
      <c r="V197" s="59" t="str">
        <f t="shared" si="21"/>
        <v/>
      </c>
      <c r="W197" s="59" t="str">
        <f t="shared" si="22"/>
        <v/>
      </c>
      <c r="X197" s="60" t="str">
        <f>IF($B197="","",IF((E197)=0,"",(SUMIFS(pbp_Pitches,pbp_Batter,$B197,pbp_PlayType,"?*"))/(E197)))</f>
        <v/>
      </c>
      <c r="Y197" s="42" t="str">
        <f t="shared" si="23"/>
        <v/>
      </c>
      <c r="Z197" s="58" t="str">
        <f>IF($B197="","",IF((SUMPRODUCT(COUNTIFS(pbp_PlayType,EM_Type,pbp_Batter,$B197,pbp_On2B,"?*")*EM_AB)+SUMPRODUCT(COUNTIFS(pbp_PlayType,EM_Type,pbp_Batter,$B197,pbp_On2B,"",pbp_On3B,"?*")*EM_AB))=0,"",(SUMPRODUCT(COUNTIFS(pbp_PlayType,EM_Type,pbp_Batter,$B197,pbp_On2B,"?*")*EM_H)+SUMPRODUCT(COUNTIFS(pbp_PlayType,EM_Type,pbp_Batter,$B197,pbp_On2B,"",pbp_On3B,"?*")*EM_H))/(SUMPRODUCT(COUNTIFS(pbp_PlayType,EM_Type,pbp_Batter,$B197,pbp_On2B,"?*")*EM_AB)+SUMPRODUCT(COUNTIFS(pbp_PlayType,EM_Type,pbp_Batter,$B197,pbp_On2B,"",pbp_On3B,"?*")*EM_AB))))</f>
        <v/>
      </c>
      <c r="AA197" s="62" t="str">
        <f>IF($B197="","",IF(OR(E197&lt;MinPA,T197=""),"",COUNTIFS($E$6:$E$255,"&gt;="&amp;MinPA,$T$6:$T$255,"&gt;"&amp;T197)+COUNTIFS($E$5:E196,"&gt;="&amp;MinPA,$T$5:T196,T197)+1))</f>
        <v/>
      </c>
    </row>
    <row r="198" spans="2:27" x14ac:dyDescent="0.2">
      <c r="B198" s="44" t="str">
        <f t="array" ref="B198">IFERROR(INDEX(pbp_Batter,MATCH(0,COUNTIF($B$5:B197,pbp_Batter)+(pbp_Batter=""),0)),"")</f>
        <v/>
      </c>
      <c r="C198" s="61" t="str">
        <f>IF($B198="","",IFERROR(INDEX(pbp_BatTeam,MATCH($B198,pbp_Batter,0)),""))</f>
        <v/>
      </c>
      <c r="D198" s="61" t="str">
        <f>IF($B198="","",IFERROR(INDEX(pbp_BatHand,MATCH($B198,pbp_Batter,0)),""))</f>
        <v/>
      </c>
      <c r="E198" s="42" t="str">
        <f>IF($B198="","",SUMPRODUCT(COUNTIFS(pbp_PlayType,EM_Type,pbp_Batter,$B198)*EM_PA))</f>
        <v/>
      </c>
      <c r="F198" s="42" t="str">
        <f>IF($B198="","",SUMPRODUCT(COUNTIFS(pbp_PlayType,EM_Type,pbp_Batter,$B198)*EM_AB))</f>
        <v/>
      </c>
      <c r="G198" s="42" t="str">
        <f>IF($B198="","",SUMPRODUCT(COUNTIFS(pbp_PlayType,EM_Type,pbp_Batter,$B198)*EM_H))</f>
        <v/>
      </c>
      <c r="H198" s="42" t="str">
        <f>IF($B198="","",SUMPRODUCT(COUNTIFS(pbp_PlayType,EM_Type,pbp_Batter,$B198)*EM_2B))</f>
        <v/>
      </c>
      <c r="I198" s="42" t="str">
        <f>IF($B198="","",SUMPRODUCT(COUNTIFS(pbp_PlayType,EM_Type,pbp_Batter,$B198)*EM_3B))</f>
        <v/>
      </c>
      <c r="J198" s="42" t="str">
        <f>IF($B198="","",SUMPRODUCT(COUNTIFS(pbp_PlayType,EM_Type,pbp_Batter,$B198)*EM_HR))</f>
        <v/>
      </c>
      <c r="K198" s="42" t="str">
        <f>IF($B198="","",SUMPRODUCT(COUNTIFS(pbp_PlayType,EM_Type,pbp_Batter,$B198)*EM_1B))</f>
        <v/>
      </c>
      <c r="L198" s="42" t="str">
        <f>IF($B198="","",SUMPRODUCT(COUNTIFS(pbp_PlayType,EM_Type,pbp_Batter,$B198)*EM_BB))</f>
        <v/>
      </c>
      <c r="M198" s="42" t="str">
        <f>IF($B198="","",SUMPRODUCT(COUNTIFS(pbp_PlayType,EM_Type,pbp_Batter,$B198)*EM_HBP))</f>
        <v/>
      </c>
      <c r="N198" s="42" t="str">
        <f>IF($B198="","",COUNTIFS(pbp_PlayType,"?*",pbp_Desc,"*struck out*",pbp_Batter,$B198))</f>
        <v/>
      </c>
      <c r="O198" s="42" t="str">
        <f>IF($B198="","",SUMPRODUCT(COUNTIFS(pbp_PlayType,EM_Type,pbp_Batter,$B198)*EM_SF))</f>
        <v/>
      </c>
      <c r="P198" s="42" t="str">
        <f>IF($B198="","",SUMIFS(pbp_Runs,pbp_Batter,$B198))</f>
        <v/>
      </c>
      <c r="Q198" s="58" t="str">
        <f t="shared" ref="Q198:Q255" si="24">IF($B198="","",IF((F198)=0,"",(G198)/(F198)))</f>
        <v/>
      </c>
      <c r="R198" s="58" t="str">
        <f t="shared" ref="R198:R255" si="25">IF($B198="","",IF(((F198+L198+M198+O198))=0,"",((G198+L198+M198))/((F198+L198+M198+O198))))</f>
        <v/>
      </c>
      <c r="S198" s="58" t="str">
        <f t="shared" ref="S198:S255" si="26">IF($B198="","",IF((F198)=0,"",((K198+2*H198+3*I198+4*J198))/(F198)))</f>
        <v/>
      </c>
      <c r="T198" s="58" t="str">
        <f t="shared" ref="T198:T255" si="27">IF($B198="","",IF(F198=0,"",R198+S198))</f>
        <v/>
      </c>
      <c r="U198" s="58" t="str">
        <f t="shared" ref="U198:U255" si="28">IF($B198="","",IF(F198=0,"",S198-Q198))</f>
        <v/>
      </c>
      <c r="V198" s="59" t="str">
        <f t="shared" ref="V198:V255" si="29">IF($B198="","",IF((E198)=0,"",(N198)/(E198)))</f>
        <v/>
      </c>
      <c r="W198" s="59" t="str">
        <f t="shared" ref="W198:W255" si="30">IF($B198="","",IF((E198)=0,"",(L198)/(E198)))</f>
        <v/>
      </c>
      <c r="X198" s="60" t="str">
        <f>IF($B198="","",IF((E198)=0,"",(SUMIFS(pbp_Pitches,pbp_Batter,$B198,pbp_PlayType,"?*"))/(E198)))</f>
        <v/>
      </c>
      <c r="Y198" s="42" t="str">
        <f t="shared" ref="Y198:Y255" si="31">IF($B198="","",H198+I198+J198)</f>
        <v/>
      </c>
      <c r="Z198" s="58" t="str">
        <f>IF($B198="","",IF((SUMPRODUCT(COUNTIFS(pbp_PlayType,EM_Type,pbp_Batter,$B198,pbp_On2B,"?*")*EM_AB)+SUMPRODUCT(COUNTIFS(pbp_PlayType,EM_Type,pbp_Batter,$B198,pbp_On2B,"",pbp_On3B,"?*")*EM_AB))=0,"",(SUMPRODUCT(COUNTIFS(pbp_PlayType,EM_Type,pbp_Batter,$B198,pbp_On2B,"?*")*EM_H)+SUMPRODUCT(COUNTIFS(pbp_PlayType,EM_Type,pbp_Batter,$B198,pbp_On2B,"",pbp_On3B,"?*")*EM_H))/(SUMPRODUCT(COUNTIFS(pbp_PlayType,EM_Type,pbp_Batter,$B198,pbp_On2B,"?*")*EM_AB)+SUMPRODUCT(COUNTIFS(pbp_PlayType,EM_Type,pbp_Batter,$B198,pbp_On2B,"",pbp_On3B,"?*")*EM_AB))))</f>
        <v/>
      </c>
      <c r="AA198" s="62" t="str">
        <f>IF($B198="","",IF(OR(E198&lt;MinPA,T198=""),"",COUNTIFS($E$6:$E$255,"&gt;="&amp;MinPA,$T$6:$T$255,"&gt;"&amp;T198)+COUNTIFS($E$5:E197,"&gt;="&amp;MinPA,$T$5:T197,T198)+1))</f>
        <v/>
      </c>
    </row>
    <row r="199" spans="2:27" x14ac:dyDescent="0.2">
      <c r="B199" s="44" t="str">
        <f t="array" ref="B199">IFERROR(INDEX(pbp_Batter,MATCH(0,COUNTIF($B$5:B198,pbp_Batter)+(pbp_Batter=""),0)),"")</f>
        <v/>
      </c>
      <c r="C199" s="61" t="str">
        <f>IF($B199="","",IFERROR(INDEX(pbp_BatTeam,MATCH($B199,pbp_Batter,0)),""))</f>
        <v/>
      </c>
      <c r="D199" s="61" t="str">
        <f>IF($B199="","",IFERROR(INDEX(pbp_BatHand,MATCH($B199,pbp_Batter,0)),""))</f>
        <v/>
      </c>
      <c r="E199" s="42" t="str">
        <f>IF($B199="","",SUMPRODUCT(COUNTIFS(pbp_PlayType,EM_Type,pbp_Batter,$B199)*EM_PA))</f>
        <v/>
      </c>
      <c r="F199" s="42" t="str">
        <f>IF($B199="","",SUMPRODUCT(COUNTIFS(pbp_PlayType,EM_Type,pbp_Batter,$B199)*EM_AB))</f>
        <v/>
      </c>
      <c r="G199" s="42" t="str">
        <f>IF($B199="","",SUMPRODUCT(COUNTIFS(pbp_PlayType,EM_Type,pbp_Batter,$B199)*EM_H))</f>
        <v/>
      </c>
      <c r="H199" s="42" t="str">
        <f>IF($B199="","",SUMPRODUCT(COUNTIFS(pbp_PlayType,EM_Type,pbp_Batter,$B199)*EM_2B))</f>
        <v/>
      </c>
      <c r="I199" s="42" t="str">
        <f>IF($B199="","",SUMPRODUCT(COUNTIFS(pbp_PlayType,EM_Type,pbp_Batter,$B199)*EM_3B))</f>
        <v/>
      </c>
      <c r="J199" s="42" t="str">
        <f>IF($B199="","",SUMPRODUCT(COUNTIFS(pbp_PlayType,EM_Type,pbp_Batter,$B199)*EM_HR))</f>
        <v/>
      </c>
      <c r="K199" s="42" t="str">
        <f>IF($B199="","",SUMPRODUCT(COUNTIFS(pbp_PlayType,EM_Type,pbp_Batter,$B199)*EM_1B))</f>
        <v/>
      </c>
      <c r="L199" s="42" t="str">
        <f>IF($B199="","",SUMPRODUCT(COUNTIFS(pbp_PlayType,EM_Type,pbp_Batter,$B199)*EM_BB))</f>
        <v/>
      </c>
      <c r="M199" s="42" t="str">
        <f>IF($B199="","",SUMPRODUCT(COUNTIFS(pbp_PlayType,EM_Type,pbp_Batter,$B199)*EM_HBP))</f>
        <v/>
      </c>
      <c r="N199" s="42" t="str">
        <f>IF($B199="","",COUNTIFS(pbp_PlayType,"?*",pbp_Desc,"*struck out*",pbp_Batter,$B199))</f>
        <v/>
      </c>
      <c r="O199" s="42" t="str">
        <f>IF($B199="","",SUMPRODUCT(COUNTIFS(pbp_PlayType,EM_Type,pbp_Batter,$B199)*EM_SF))</f>
        <v/>
      </c>
      <c r="P199" s="42" t="str">
        <f>IF($B199="","",SUMIFS(pbp_Runs,pbp_Batter,$B199))</f>
        <v/>
      </c>
      <c r="Q199" s="58" t="str">
        <f t="shared" si="24"/>
        <v/>
      </c>
      <c r="R199" s="58" t="str">
        <f t="shared" si="25"/>
        <v/>
      </c>
      <c r="S199" s="58" t="str">
        <f t="shared" si="26"/>
        <v/>
      </c>
      <c r="T199" s="58" t="str">
        <f t="shared" si="27"/>
        <v/>
      </c>
      <c r="U199" s="58" t="str">
        <f t="shared" si="28"/>
        <v/>
      </c>
      <c r="V199" s="59" t="str">
        <f t="shared" si="29"/>
        <v/>
      </c>
      <c r="W199" s="59" t="str">
        <f t="shared" si="30"/>
        <v/>
      </c>
      <c r="X199" s="60" t="str">
        <f>IF($B199="","",IF((E199)=0,"",(SUMIFS(pbp_Pitches,pbp_Batter,$B199,pbp_PlayType,"?*"))/(E199)))</f>
        <v/>
      </c>
      <c r="Y199" s="42" t="str">
        <f t="shared" si="31"/>
        <v/>
      </c>
      <c r="Z199" s="58" t="str">
        <f>IF($B199="","",IF((SUMPRODUCT(COUNTIFS(pbp_PlayType,EM_Type,pbp_Batter,$B199,pbp_On2B,"?*")*EM_AB)+SUMPRODUCT(COUNTIFS(pbp_PlayType,EM_Type,pbp_Batter,$B199,pbp_On2B,"",pbp_On3B,"?*")*EM_AB))=0,"",(SUMPRODUCT(COUNTIFS(pbp_PlayType,EM_Type,pbp_Batter,$B199,pbp_On2B,"?*")*EM_H)+SUMPRODUCT(COUNTIFS(pbp_PlayType,EM_Type,pbp_Batter,$B199,pbp_On2B,"",pbp_On3B,"?*")*EM_H))/(SUMPRODUCT(COUNTIFS(pbp_PlayType,EM_Type,pbp_Batter,$B199,pbp_On2B,"?*")*EM_AB)+SUMPRODUCT(COUNTIFS(pbp_PlayType,EM_Type,pbp_Batter,$B199,pbp_On2B,"",pbp_On3B,"?*")*EM_AB))))</f>
        <v/>
      </c>
      <c r="AA199" s="62" t="str">
        <f>IF($B199="","",IF(OR(E199&lt;MinPA,T199=""),"",COUNTIFS($E$6:$E$255,"&gt;="&amp;MinPA,$T$6:$T$255,"&gt;"&amp;T199)+COUNTIFS($E$5:E198,"&gt;="&amp;MinPA,$T$5:T198,T199)+1))</f>
        <v/>
      </c>
    </row>
    <row r="200" spans="2:27" x14ac:dyDescent="0.2">
      <c r="B200" s="44" t="str">
        <f t="array" ref="B200">IFERROR(INDEX(pbp_Batter,MATCH(0,COUNTIF($B$5:B199,pbp_Batter)+(pbp_Batter=""),0)),"")</f>
        <v/>
      </c>
      <c r="C200" s="61" t="str">
        <f>IF($B200="","",IFERROR(INDEX(pbp_BatTeam,MATCH($B200,pbp_Batter,0)),""))</f>
        <v/>
      </c>
      <c r="D200" s="61" t="str">
        <f>IF($B200="","",IFERROR(INDEX(pbp_BatHand,MATCH($B200,pbp_Batter,0)),""))</f>
        <v/>
      </c>
      <c r="E200" s="42" t="str">
        <f>IF($B200="","",SUMPRODUCT(COUNTIFS(pbp_PlayType,EM_Type,pbp_Batter,$B200)*EM_PA))</f>
        <v/>
      </c>
      <c r="F200" s="42" t="str">
        <f>IF($B200="","",SUMPRODUCT(COUNTIFS(pbp_PlayType,EM_Type,pbp_Batter,$B200)*EM_AB))</f>
        <v/>
      </c>
      <c r="G200" s="42" t="str">
        <f>IF($B200="","",SUMPRODUCT(COUNTIFS(pbp_PlayType,EM_Type,pbp_Batter,$B200)*EM_H))</f>
        <v/>
      </c>
      <c r="H200" s="42" t="str">
        <f>IF($B200="","",SUMPRODUCT(COUNTIFS(pbp_PlayType,EM_Type,pbp_Batter,$B200)*EM_2B))</f>
        <v/>
      </c>
      <c r="I200" s="42" t="str">
        <f>IF($B200="","",SUMPRODUCT(COUNTIFS(pbp_PlayType,EM_Type,pbp_Batter,$B200)*EM_3B))</f>
        <v/>
      </c>
      <c r="J200" s="42" t="str">
        <f>IF($B200="","",SUMPRODUCT(COUNTIFS(pbp_PlayType,EM_Type,pbp_Batter,$B200)*EM_HR))</f>
        <v/>
      </c>
      <c r="K200" s="42" t="str">
        <f>IF($B200="","",SUMPRODUCT(COUNTIFS(pbp_PlayType,EM_Type,pbp_Batter,$B200)*EM_1B))</f>
        <v/>
      </c>
      <c r="L200" s="42" t="str">
        <f>IF($B200="","",SUMPRODUCT(COUNTIFS(pbp_PlayType,EM_Type,pbp_Batter,$B200)*EM_BB))</f>
        <v/>
      </c>
      <c r="M200" s="42" t="str">
        <f>IF($B200="","",SUMPRODUCT(COUNTIFS(pbp_PlayType,EM_Type,pbp_Batter,$B200)*EM_HBP))</f>
        <v/>
      </c>
      <c r="N200" s="42" t="str">
        <f>IF($B200="","",COUNTIFS(pbp_PlayType,"?*",pbp_Desc,"*struck out*",pbp_Batter,$B200))</f>
        <v/>
      </c>
      <c r="O200" s="42" t="str">
        <f>IF($B200="","",SUMPRODUCT(COUNTIFS(pbp_PlayType,EM_Type,pbp_Batter,$B200)*EM_SF))</f>
        <v/>
      </c>
      <c r="P200" s="42" t="str">
        <f>IF($B200="","",SUMIFS(pbp_Runs,pbp_Batter,$B200))</f>
        <v/>
      </c>
      <c r="Q200" s="58" t="str">
        <f t="shared" si="24"/>
        <v/>
      </c>
      <c r="R200" s="58" t="str">
        <f t="shared" si="25"/>
        <v/>
      </c>
      <c r="S200" s="58" t="str">
        <f t="shared" si="26"/>
        <v/>
      </c>
      <c r="T200" s="58" t="str">
        <f t="shared" si="27"/>
        <v/>
      </c>
      <c r="U200" s="58" t="str">
        <f t="shared" si="28"/>
        <v/>
      </c>
      <c r="V200" s="59" t="str">
        <f t="shared" si="29"/>
        <v/>
      </c>
      <c r="W200" s="59" t="str">
        <f t="shared" si="30"/>
        <v/>
      </c>
      <c r="X200" s="60" t="str">
        <f>IF($B200="","",IF((E200)=0,"",(SUMIFS(pbp_Pitches,pbp_Batter,$B200,pbp_PlayType,"?*"))/(E200)))</f>
        <v/>
      </c>
      <c r="Y200" s="42" t="str">
        <f t="shared" si="31"/>
        <v/>
      </c>
      <c r="Z200" s="58" t="str">
        <f>IF($B200="","",IF((SUMPRODUCT(COUNTIFS(pbp_PlayType,EM_Type,pbp_Batter,$B200,pbp_On2B,"?*")*EM_AB)+SUMPRODUCT(COUNTIFS(pbp_PlayType,EM_Type,pbp_Batter,$B200,pbp_On2B,"",pbp_On3B,"?*")*EM_AB))=0,"",(SUMPRODUCT(COUNTIFS(pbp_PlayType,EM_Type,pbp_Batter,$B200,pbp_On2B,"?*")*EM_H)+SUMPRODUCT(COUNTIFS(pbp_PlayType,EM_Type,pbp_Batter,$B200,pbp_On2B,"",pbp_On3B,"?*")*EM_H))/(SUMPRODUCT(COUNTIFS(pbp_PlayType,EM_Type,pbp_Batter,$B200,pbp_On2B,"?*")*EM_AB)+SUMPRODUCT(COUNTIFS(pbp_PlayType,EM_Type,pbp_Batter,$B200,pbp_On2B,"",pbp_On3B,"?*")*EM_AB))))</f>
        <v/>
      </c>
      <c r="AA200" s="62" t="str">
        <f>IF($B200="","",IF(OR(E200&lt;MinPA,T200=""),"",COUNTIFS($E$6:$E$255,"&gt;="&amp;MinPA,$T$6:$T$255,"&gt;"&amp;T200)+COUNTIFS($E$5:E199,"&gt;="&amp;MinPA,$T$5:T199,T200)+1))</f>
        <v/>
      </c>
    </row>
    <row r="201" spans="2:27" x14ac:dyDescent="0.2">
      <c r="B201" s="44" t="str">
        <f t="array" ref="B201">IFERROR(INDEX(pbp_Batter,MATCH(0,COUNTIF($B$5:B200,pbp_Batter)+(pbp_Batter=""),0)),"")</f>
        <v/>
      </c>
      <c r="C201" s="61" t="str">
        <f>IF($B201="","",IFERROR(INDEX(pbp_BatTeam,MATCH($B201,pbp_Batter,0)),""))</f>
        <v/>
      </c>
      <c r="D201" s="61" t="str">
        <f>IF($B201="","",IFERROR(INDEX(pbp_BatHand,MATCH($B201,pbp_Batter,0)),""))</f>
        <v/>
      </c>
      <c r="E201" s="42" t="str">
        <f>IF($B201="","",SUMPRODUCT(COUNTIFS(pbp_PlayType,EM_Type,pbp_Batter,$B201)*EM_PA))</f>
        <v/>
      </c>
      <c r="F201" s="42" t="str">
        <f>IF($B201="","",SUMPRODUCT(COUNTIFS(pbp_PlayType,EM_Type,pbp_Batter,$B201)*EM_AB))</f>
        <v/>
      </c>
      <c r="G201" s="42" t="str">
        <f>IF($B201="","",SUMPRODUCT(COUNTIFS(pbp_PlayType,EM_Type,pbp_Batter,$B201)*EM_H))</f>
        <v/>
      </c>
      <c r="H201" s="42" t="str">
        <f>IF($B201="","",SUMPRODUCT(COUNTIFS(pbp_PlayType,EM_Type,pbp_Batter,$B201)*EM_2B))</f>
        <v/>
      </c>
      <c r="I201" s="42" t="str">
        <f>IF($B201="","",SUMPRODUCT(COUNTIFS(pbp_PlayType,EM_Type,pbp_Batter,$B201)*EM_3B))</f>
        <v/>
      </c>
      <c r="J201" s="42" t="str">
        <f>IF($B201="","",SUMPRODUCT(COUNTIFS(pbp_PlayType,EM_Type,pbp_Batter,$B201)*EM_HR))</f>
        <v/>
      </c>
      <c r="K201" s="42" t="str">
        <f>IF($B201="","",SUMPRODUCT(COUNTIFS(pbp_PlayType,EM_Type,pbp_Batter,$B201)*EM_1B))</f>
        <v/>
      </c>
      <c r="L201" s="42" t="str">
        <f>IF($B201="","",SUMPRODUCT(COUNTIFS(pbp_PlayType,EM_Type,pbp_Batter,$B201)*EM_BB))</f>
        <v/>
      </c>
      <c r="M201" s="42" t="str">
        <f>IF($B201="","",SUMPRODUCT(COUNTIFS(pbp_PlayType,EM_Type,pbp_Batter,$B201)*EM_HBP))</f>
        <v/>
      </c>
      <c r="N201" s="42" t="str">
        <f>IF($B201="","",COUNTIFS(pbp_PlayType,"?*",pbp_Desc,"*struck out*",pbp_Batter,$B201))</f>
        <v/>
      </c>
      <c r="O201" s="42" t="str">
        <f>IF($B201="","",SUMPRODUCT(COUNTIFS(pbp_PlayType,EM_Type,pbp_Batter,$B201)*EM_SF))</f>
        <v/>
      </c>
      <c r="P201" s="42" t="str">
        <f>IF($B201="","",SUMIFS(pbp_Runs,pbp_Batter,$B201))</f>
        <v/>
      </c>
      <c r="Q201" s="58" t="str">
        <f t="shared" si="24"/>
        <v/>
      </c>
      <c r="R201" s="58" t="str">
        <f t="shared" si="25"/>
        <v/>
      </c>
      <c r="S201" s="58" t="str">
        <f t="shared" si="26"/>
        <v/>
      </c>
      <c r="T201" s="58" t="str">
        <f t="shared" si="27"/>
        <v/>
      </c>
      <c r="U201" s="58" t="str">
        <f t="shared" si="28"/>
        <v/>
      </c>
      <c r="V201" s="59" t="str">
        <f t="shared" si="29"/>
        <v/>
      </c>
      <c r="W201" s="59" t="str">
        <f t="shared" si="30"/>
        <v/>
      </c>
      <c r="X201" s="60" t="str">
        <f>IF($B201="","",IF((E201)=0,"",(SUMIFS(pbp_Pitches,pbp_Batter,$B201,pbp_PlayType,"?*"))/(E201)))</f>
        <v/>
      </c>
      <c r="Y201" s="42" t="str">
        <f t="shared" si="31"/>
        <v/>
      </c>
      <c r="Z201" s="58" t="str">
        <f>IF($B201="","",IF((SUMPRODUCT(COUNTIFS(pbp_PlayType,EM_Type,pbp_Batter,$B201,pbp_On2B,"?*")*EM_AB)+SUMPRODUCT(COUNTIFS(pbp_PlayType,EM_Type,pbp_Batter,$B201,pbp_On2B,"",pbp_On3B,"?*")*EM_AB))=0,"",(SUMPRODUCT(COUNTIFS(pbp_PlayType,EM_Type,pbp_Batter,$B201,pbp_On2B,"?*")*EM_H)+SUMPRODUCT(COUNTIFS(pbp_PlayType,EM_Type,pbp_Batter,$B201,pbp_On2B,"",pbp_On3B,"?*")*EM_H))/(SUMPRODUCT(COUNTIFS(pbp_PlayType,EM_Type,pbp_Batter,$B201,pbp_On2B,"?*")*EM_AB)+SUMPRODUCT(COUNTIFS(pbp_PlayType,EM_Type,pbp_Batter,$B201,pbp_On2B,"",pbp_On3B,"?*")*EM_AB))))</f>
        <v/>
      </c>
      <c r="AA201" s="62" t="str">
        <f>IF($B201="","",IF(OR(E201&lt;MinPA,T201=""),"",COUNTIFS($E$6:$E$255,"&gt;="&amp;MinPA,$T$6:$T$255,"&gt;"&amp;T201)+COUNTIFS($E$5:E200,"&gt;="&amp;MinPA,$T$5:T200,T201)+1))</f>
        <v/>
      </c>
    </row>
    <row r="202" spans="2:27" x14ac:dyDescent="0.2">
      <c r="B202" s="44" t="str">
        <f t="array" ref="B202">IFERROR(INDEX(pbp_Batter,MATCH(0,COUNTIF($B$5:B201,pbp_Batter)+(pbp_Batter=""),0)),"")</f>
        <v/>
      </c>
      <c r="C202" s="61" t="str">
        <f>IF($B202="","",IFERROR(INDEX(pbp_BatTeam,MATCH($B202,pbp_Batter,0)),""))</f>
        <v/>
      </c>
      <c r="D202" s="61" t="str">
        <f>IF($B202="","",IFERROR(INDEX(pbp_BatHand,MATCH($B202,pbp_Batter,0)),""))</f>
        <v/>
      </c>
      <c r="E202" s="42" t="str">
        <f>IF($B202="","",SUMPRODUCT(COUNTIFS(pbp_PlayType,EM_Type,pbp_Batter,$B202)*EM_PA))</f>
        <v/>
      </c>
      <c r="F202" s="42" t="str">
        <f>IF($B202="","",SUMPRODUCT(COUNTIFS(pbp_PlayType,EM_Type,pbp_Batter,$B202)*EM_AB))</f>
        <v/>
      </c>
      <c r="G202" s="42" t="str">
        <f>IF($B202="","",SUMPRODUCT(COUNTIFS(pbp_PlayType,EM_Type,pbp_Batter,$B202)*EM_H))</f>
        <v/>
      </c>
      <c r="H202" s="42" t="str">
        <f>IF($B202="","",SUMPRODUCT(COUNTIFS(pbp_PlayType,EM_Type,pbp_Batter,$B202)*EM_2B))</f>
        <v/>
      </c>
      <c r="I202" s="42" t="str">
        <f>IF($B202="","",SUMPRODUCT(COUNTIFS(pbp_PlayType,EM_Type,pbp_Batter,$B202)*EM_3B))</f>
        <v/>
      </c>
      <c r="J202" s="42" t="str">
        <f>IF($B202="","",SUMPRODUCT(COUNTIFS(pbp_PlayType,EM_Type,pbp_Batter,$B202)*EM_HR))</f>
        <v/>
      </c>
      <c r="K202" s="42" t="str">
        <f>IF($B202="","",SUMPRODUCT(COUNTIFS(pbp_PlayType,EM_Type,pbp_Batter,$B202)*EM_1B))</f>
        <v/>
      </c>
      <c r="L202" s="42" t="str">
        <f>IF($B202="","",SUMPRODUCT(COUNTIFS(pbp_PlayType,EM_Type,pbp_Batter,$B202)*EM_BB))</f>
        <v/>
      </c>
      <c r="M202" s="42" t="str">
        <f>IF($B202="","",SUMPRODUCT(COUNTIFS(pbp_PlayType,EM_Type,pbp_Batter,$B202)*EM_HBP))</f>
        <v/>
      </c>
      <c r="N202" s="42" t="str">
        <f>IF($B202="","",COUNTIFS(pbp_PlayType,"?*",pbp_Desc,"*struck out*",pbp_Batter,$B202))</f>
        <v/>
      </c>
      <c r="O202" s="42" t="str">
        <f>IF($B202="","",SUMPRODUCT(COUNTIFS(pbp_PlayType,EM_Type,pbp_Batter,$B202)*EM_SF))</f>
        <v/>
      </c>
      <c r="P202" s="42" t="str">
        <f>IF($B202="","",SUMIFS(pbp_Runs,pbp_Batter,$B202))</f>
        <v/>
      </c>
      <c r="Q202" s="58" t="str">
        <f t="shared" si="24"/>
        <v/>
      </c>
      <c r="R202" s="58" t="str">
        <f t="shared" si="25"/>
        <v/>
      </c>
      <c r="S202" s="58" t="str">
        <f t="shared" si="26"/>
        <v/>
      </c>
      <c r="T202" s="58" t="str">
        <f t="shared" si="27"/>
        <v/>
      </c>
      <c r="U202" s="58" t="str">
        <f t="shared" si="28"/>
        <v/>
      </c>
      <c r="V202" s="59" t="str">
        <f t="shared" si="29"/>
        <v/>
      </c>
      <c r="W202" s="59" t="str">
        <f t="shared" si="30"/>
        <v/>
      </c>
      <c r="X202" s="60" t="str">
        <f>IF($B202="","",IF((E202)=0,"",(SUMIFS(pbp_Pitches,pbp_Batter,$B202,pbp_PlayType,"?*"))/(E202)))</f>
        <v/>
      </c>
      <c r="Y202" s="42" t="str">
        <f t="shared" si="31"/>
        <v/>
      </c>
      <c r="Z202" s="58" t="str">
        <f>IF($B202="","",IF((SUMPRODUCT(COUNTIFS(pbp_PlayType,EM_Type,pbp_Batter,$B202,pbp_On2B,"?*")*EM_AB)+SUMPRODUCT(COUNTIFS(pbp_PlayType,EM_Type,pbp_Batter,$B202,pbp_On2B,"",pbp_On3B,"?*")*EM_AB))=0,"",(SUMPRODUCT(COUNTIFS(pbp_PlayType,EM_Type,pbp_Batter,$B202,pbp_On2B,"?*")*EM_H)+SUMPRODUCT(COUNTIFS(pbp_PlayType,EM_Type,pbp_Batter,$B202,pbp_On2B,"",pbp_On3B,"?*")*EM_H))/(SUMPRODUCT(COUNTIFS(pbp_PlayType,EM_Type,pbp_Batter,$B202,pbp_On2B,"?*")*EM_AB)+SUMPRODUCT(COUNTIFS(pbp_PlayType,EM_Type,pbp_Batter,$B202,pbp_On2B,"",pbp_On3B,"?*")*EM_AB))))</f>
        <v/>
      </c>
      <c r="AA202" s="62" t="str">
        <f>IF($B202="","",IF(OR(E202&lt;MinPA,T202=""),"",COUNTIFS($E$6:$E$255,"&gt;="&amp;MinPA,$T$6:$T$255,"&gt;"&amp;T202)+COUNTIFS($E$5:E201,"&gt;="&amp;MinPA,$T$5:T201,T202)+1))</f>
        <v/>
      </c>
    </row>
    <row r="203" spans="2:27" x14ac:dyDescent="0.2">
      <c r="B203" s="44" t="str">
        <f t="array" ref="B203">IFERROR(INDEX(pbp_Batter,MATCH(0,COUNTIF($B$5:B202,pbp_Batter)+(pbp_Batter=""),0)),"")</f>
        <v/>
      </c>
      <c r="C203" s="61" t="str">
        <f>IF($B203="","",IFERROR(INDEX(pbp_BatTeam,MATCH($B203,pbp_Batter,0)),""))</f>
        <v/>
      </c>
      <c r="D203" s="61" t="str">
        <f>IF($B203="","",IFERROR(INDEX(pbp_BatHand,MATCH($B203,pbp_Batter,0)),""))</f>
        <v/>
      </c>
      <c r="E203" s="42" t="str">
        <f>IF($B203="","",SUMPRODUCT(COUNTIFS(pbp_PlayType,EM_Type,pbp_Batter,$B203)*EM_PA))</f>
        <v/>
      </c>
      <c r="F203" s="42" t="str">
        <f>IF($B203="","",SUMPRODUCT(COUNTIFS(pbp_PlayType,EM_Type,pbp_Batter,$B203)*EM_AB))</f>
        <v/>
      </c>
      <c r="G203" s="42" t="str">
        <f>IF($B203="","",SUMPRODUCT(COUNTIFS(pbp_PlayType,EM_Type,pbp_Batter,$B203)*EM_H))</f>
        <v/>
      </c>
      <c r="H203" s="42" t="str">
        <f>IF($B203="","",SUMPRODUCT(COUNTIFS(pbp_PlayType,EM_Type,pbp_Batter,$B203)*EM_2B))</f>
        <v/>
      </c>
      <c r="I203" s="42" t="str">
        <f>IF($B203="","",SUMPRODUCT(COUNTIFS(pbp_PlayType,EM_Type,pbp_Batter,$B203)*EM_3B))</f>
        <v/>
      </c>
      <c r="J203" s="42" t="str">
        <f>IF($B203="","",SUMPRODUCT(COUNTIFS(pbp_PlayType,EM_Type,pbp_Batter,$B203)*EM_HR))</f>
        <v/>
      </c>
      <c r="K203" s="42" t="str">
        <f>IF($B203="","",SUMPRODUCT(COUNTIFS(pbp_PlayType,EM_Type,pbp_Batter,$B203)*EM_1B))</f>
        <v/>
      </c>
      <c r="L203" s="42" t="str">
        <f>IF($B203="","",SUMPRODUCT(COUNTIFS(pbp_PlayType,EM_Type,pbp_Batter,$B203)*EM_BB))</f>
        <v/>
      </c>
      <c r="M203" s="42" t="str">
        <f>IF($B203="","",SUMPRODUCT(COUNTIFS(pbp_PlayType,EM_Type,pbp_Batter,$B203)*EM_HBP))</f>
        <v/>
      </c>
      <c r="N203" s="42" t="str">
        <f>IF($B203="","",COUNTIFS(pbp_PlayType,"?*",pbp_Desc,"*struck out*",pbp_Batter,$B203))</f>
        <v/>
      </c>
      <c r="O203" s="42" t="str">
        <f>IF($B203="","",SUMPRODUCT(COUNTIFS(pbp_PlayType,EM_Type,pbp_Batter,$B203)*EM_SF))</f>
        <v/>
      </c>
      <c r="P203" s="42" t="str">
        <f>IF($B203="","",SUMIFS(pbp_Runs,pbp_Batter,$B203))</f>
        <v/>
      </c>
      <c r="Q203" s="58" t="str">
        <f t="shared" si="24"/>
        <v/>
      </c>
      <c r="R203" s="58" t="str">
        <f t="shared" si="25"/>
        <v/>
      </c>
      <c r="S203" s="58" t="str">
        <f t="shared" si="26"/>
        <v/>
      </c>
      <c r="T203" s="58" t="str">
        <f t="shared" si="27"/>
        <v/>
      </c>
      <c r="U203" s="58" t="str">
        <f t="shared" si="28"/>
        <v/>
      </c>
      <c r="V203" s="59" t="str">
        <f t="shared" si="29"/>
        <v/>
      </c>
      <c r="W203" s="59" t="str">
        <f t="shared" si="30"/>
        <v/>
      </c>
      <c r="X203" s="60" t="str">
        <f>IF($B203="","",IF((E203)=0,"",(SUMIFS(pbp_Pitches,pbp_Batter,$B203,pbp_PlayType,"?*"))/(E203)))</f>
        <v/>
      </c>
      <c r="Y203" s="42" t="str">
        <f t="shared" si="31"/>
        <v/>
      </c>
      <c r="Z203" s="58" t="str">
        <f>IF($B203="","",IF((SUMPRODUCT(COUNTIFS(pbp_PlayType,EM_Type,pbp_Batter,$B203,pbp_On2B,"?*")*EM_AB)+SUMPRODUCT(COUNTIFS(pbp_PlayType,EM_Type,pbp_Batter,$B203,pbp_On2B,"",pbp_On3B,"?*")*EM_AB))=0,"",(SUMPRODUCT(COUNTIFS(pbp_PlayType,EM_Type,pbp_Batter,$B203,pbp_On2B,"?*")*EM_H)+SUMPRODUCT(COUNTIFS(pbp_PlayType,EM_Type,pbp_Batter,$B203,pbp_On2B,"",pbp_On3B,"?*")*EM_H))/(SUMPRODUCT(COUNTIFS(pbp_PlayType,EM_Type,pbp_Batter,$B203,pbp_On2B,"?*")*EM_AB)+SUMPRODUCT(COUNTIFS(pbp_PlayType,EM_Type,pbp_Batter,$B203,pbp_On2B,"",pbp_On3B,"?*")*EM_AB))))</f>
        <v/>
      </c>
      <c r="AA203" s="62" t="str">
        <f>IF($B203="","",IF(OR(E203&lt;MinPA,T203=""),"",COUNTIFS($E$6:$E$255,"&gt;="&amp;MinPA,$T$6:$T$255,"&gt;"&amp;T203)+COUNTIFS($E$5:E202,"&gt;="&amp;MinPA,$T$5:T202,T203)+1))</f>
        <v/>
      </c>
    </row>
    <row r="204" spans="2:27" x14ac:dyDescent="0.2">
      <c r="B204" s="44" t="str">
        <f t="array" ref="B204">IFERROR(INDEX(pbp_Batter,MATCH(0,COUNTIF($B$5:B203,pbp_Batter)+(pbp_Batter=""),0)),"")</f>
        <v/>
      </c>
      <c r="C204" s="61" t="str">
        <f>IF($B204="","",IFERROR(INDEX(pbp_BatTeam,MATCH($B204,pbp_Batter,0)),""))</f>
        <v/>
      </c>
      <c r="D204" s="61" t="str">
        <f>IF($B204="","",IFERROR(INDEX(pbp_BatHand,MATCH($B204,pbp_Batter,0)),""))</f>
        <v/>
      </c>
      <c r="E204" s="42" t="str">
        <f>IF($B204="","",SUMPRODUCT(COUNTIFS(pbp_PlayType,EM_Type,pbp_Batter,$B204)*EM_PA))</f>
        <v/>
      </c>
      <c r="F204" s="42" t="str">
        <f>IF($B204="","",SUMPRODUCT(COUNTIFS(pbp_PlayType,EM_Type,pbp_Batter,$B204)*EM_AB))</f>
        <v/>
      </c>
      <c r="G204" s="42" t="str">
        <f>IF($B204="","",SUMPRODUCT(COUNTIFS(pbp_PlayType,EM_Type,pbp_Batter,$B204)*EM_H))</f>
        <v/>
      </c>
      <c r="H204" s="42" t="str">
        <f>IF($B204="","",SUMPRODUCT(COUNTIFS(pbp_PlayType,EM_Type,pbp_Batter,$B204)*EM_2B))</f>
        <v/>
      </c>
      <c r="I204" s="42" t="str">
        <f>IF($B204="","",SUMPRODUCT(COUNTIFS(pbp_PlayType,EM_Type,pbp_Batter,$B204)*EM_3B))</f>
        <v/>
      </c>
      <c r="J204" s="42" t="str">
        <f>IF($B204="","",SUMPRODUCT(COUNTIFS(pbp_PlayType,EM_Type,pbp_Batter,$B204)*EM_HR))</f>
        <v/>
      </c>
      <c r="K204" s="42" t="str">
        <f>IF($B204="","",SUMPRODUCT(COUNTIFS(pbp_PlayType,EM_Type,pbp_Batter,$B204)*EM_1B))</f>
        <v/>
      </c>
      <c r="L204" s="42" t="str">
        <f>IF($B204="","",SUMPRODUCT(COUNTIFS(pbp_PlayType,EM_Type,pbp_Batter,$B204)*EM_BB))</f>
        <v/>
      </c>
      <c r="M204" s="42" t="str">
        <f>IF($B204="","",SUMPRODUCT(COUNTIFS(pbp_PlayType,EM_Type,pbp_Batter,$B204)*EM_HBP))</f>
        <v/>
      </c>
      <c r="N204" s="42" t="str">
        <f>IF($B204="","",COUNTIFS(pbp_PlayType,"?*",pbp_Desc,"*struck out*",pbp_Batter,$B204))</f>
        <v/>
      </c>
      <c r="O204" s="42" t="str">
        <f>IF($B204="","",SUMPRODUCT(COUNTIFS(pbp_PlayType,EM_Type,pbp_Batter,$B204)*EM_SF))</f>
        <v/>
      </c>
      <c r="P204" s="42" t="str">
        <f>IF($B204="","",SUMIFS(pbp_Runs,pbp_Batter,$B204))</f>
        <v/>
      </c>
      <c r="Q204" s="58" t="str">
        <f t="shared" si="24"/>
        <v/>
      </c>
      <c r="R204" s="58" t="str">
        <f t="shared" si="25"/>
        <v/>
      </c>
      <c r="S204" s="58" t="str">
        <f t="shared" si="26"/>
        <v/>
      </c>
      <c r="T204" s="58" t="str">
        <f t="shared" si="27"/>
        <v/>
      </c>
      <c r="U204" s="58" t="str">
        <f t="shared" si="28"/>
        <v/>
      </c>
      <c r="V204" s="59" t="str">
        <f t="shared" si="29"/>
        <v/>
      </c>
      <c r="W204" s="59" t="str">
        <f t="shared" si="30"/>
        <v/>
      </c>
      <c r="X204" s="60" t="str">
        <f>IF($B204="","",IF((E204)=0,"",(SUMIFS(pbp_Pitches,pbp_Batter,$B204,pbp_PlayType,"?*"))/(E204)))</f>
        <v/>
      </c>
      <c r="Y204" s="42" t="str">
        <f t="shared" si="31"/>
        <v/>
      </c>
      <c r="Z204" s="58" t="str">
        <f>IF($B204="","",IF((SUMPRODUCT(COUNTIFS(pbp_PlayType,EM_Type,pbp_Batter,$B204,pbp_On2B,"?*")*EM_AB)+SUMPRODUCT(COUNTIFS(pbp_PlayType,EM_Type,pbp_Batter,$B204,pbp_On2B,"",pbp_On3B,"?*")*EM_AB))=0,"",(SUMPRODUCT(COUNTIFS(pbp_PlayType,EM_Type,pbp_Batter,$B204,pbp_On2B,"?*")*EM_H)+SUMPRODUCT(COUNTIFS(pbp_PlayType,EM_Type,pbp_Batter,$B204,pbp_On2B,"",pbp_On3B,"?*")*EM_H))/(SUMPRODUCT(COUNTIFS(pbp_PlayType,EM_Type,pbp_Batter,$B204,pbp_On2B,"?*")*EM_AB)+SUMPRODUCT(COUNTIFS(pbp_PlayType,EM_Type,pbp_Batter,$B204,pbp_On2B,"",pbp_On3B,"?*")*EM_AB))))</f>
        <v/>
      </c>
      <c r="AA204" s="62" t="str">
        <f>IF($B204="","",IF(OR(E204&lt;MinPA,T204=""),"",COUNTIFS($E$6:$E$255,"&gt;="&amp;MinPA,$T$6:$T$255,"&gt;"&amp;T204)+COUNTIFS($E$5:E203,"&gt;="&amp;MinPA,$T$5:T203,T204)+1))</f>
        <v/>
      </c>
    </row>
    <row r="205" spans="2:27" x14ac:dyDescent="0.2">
      <c r="B205" s="44" t="str">
        <f t="array" ref="B205">IFERROR(INDEX(pbp_Batter,MATCH(0,COUNTIF($B$5:B204,pbp_Batter)+(pbp_Batter=""),0)),"")</f>
        <v/>
      </c>
      <c r="C205" s="61" t="str">
        <f>IF($B205="","",IFERROR(INDEX(pbp_BatTeam,MATCH($B205,pbp_Batter,0)),""))</f>
        <v/>
      </c>
      <c r="D205" s="61" t="str">
        <f>IF($B205="","",IFERROR(INDEX(pbp_BatHand,MATCH($B205,pbp_Batter,0)),""))</f>
        <v/>
      </c>
      <c r="E205" s="42" t="str">
        <f>IF($B205="","",SUMPRODUCT(COUNTIFS(pbp_PlayType,EM_Type,pbp_Batter,$B205)*EM_PA))</f>
        <v/>
      </c>
      <c r="F205" s="42" t="str">
        <f>IF($B205="","",SUMPRODUCT(COUNTIFS(pbp_PlayType,EM_Type,pbp_Batter,$B205)*EM_AB))</f>
        <v/>
      </c>
      <c r="G205" s="42" t="str">
        <f>IF($B205="","",SUMPRODUCT(COUNTIFS(pbp_PlayType,EM_Type,pbp_Batter,$B205)*EM_H))</f>
        <v/>
      </c>
      <c r="H205" s="42" t="str">
        <f>IF($B205="","",SUMPRODUCT(COUNTIFS(pbp_PlayType,EM_Type,pbp_Batter,$B205)*EM_2B))</f>
        <v/>
      </c>
      <c r="I205" s="42" t="str">
        <f>IF($B205="","",SUMPRODUCT(COUNTIFS(pbp_PlayType,EM_Type,pbp_Batter,$B205)*EM_3B))</f>
        <v/>
      </c>
      <c r="J205" s="42" t="str">
        <f>IF($B205="","",SUMPRODUCT(COUNTIFS(pbp_PlayType,EM_Type,pbp_Batter,$B205)*EM_HR))</f>
        <v/>
      </c>
      <c r="K205" s="42" t="str">
        <f>IF($B205="","",SUMPRODUCT(COUNTIFS(pbp_PlayType,EM_Type,pbp_Batter,$B205)*EM_1B))</f>
        <v/>
      </c>
      <c r="L205" s="42" t="str">
        <f>IF($B205="","",SUMPRODUCT(COUNTIFS(pbp_PlayType,EM_Type,pbp_Batter,$B205)*EM_BB))</f>
        <v/>
      </c>
      <c r="M205" s="42" t="str">
        <f>IF($B205="","",SUMPRODUCT(COUNTIFS(pbp_PlayType,EM_Type,pbp_Batter,$B205)*EM_HBP))</f>
        <v/>
      </c>
      <c r="N205" s="42" t="str">
        <f>IF($B205="","",COUNTIFS(pbp_PlayType,"?*",pbp_Desc,"*struck out*",pbp_Batter,$B205))</f>
        <v/>
      </c>
      <c r="O205" s="42" t="str">
        <f>IF($B205="","",SUMPRODUCT(COUNTIFS(pbp_PlayType,EM_Type,pbp_Batter,$B205)*EM_SF))</f>
        <v/>
      </c>
      <c r="P205" s="42" t="str">
        <f>IF($B205="","",SUMIFS(pbp_Runs,pbp_Batter,$B205))</f>
        <v/>
      </c>
      <c r="Q205" s="58" t="str">
        <f t="shared" si="24"/>
        <v/>
      </c>
      <c r="R205" s="58" t="str">
        <f t="shared" si="25"/>
        <v/>
      </c>
      <c r="S205" s="58" t="str">
        <f t="shared" si="26"/>
        <v/>
      </c>
      <c r="T205" s="58" t="str">
        <f t="shared" si="27"/>
        <v/>
      </c>
      <c r="U205" s="58" t="str">
        <f t="shared" si="28"/>
        <v/>
      </c>
      <c r="V205" s="59" t="str">
        <f t="shared" si="29"/>
        <v/>
      </c>
      <c r="W205" s="59" t="str">
        <f t="shared" si="30"/>
        <v/>
      </c>
      <c r="X205" s="60" t="str">
        <f>IF($B205="","",IF((E205)=0,"",(SUMIFS(pbp_Pitches,pbp_Batter,$B205,pbp_PlayType,"?*"))/(E205)))</f>
        <v/>
      </c>
      <c r="Y205" s="42" t="str">
        <f t="shared" si="31"/>
        <v/>
      </c>
      <c r="Z205" s="58" t="str">
        <f>IF($B205="","",IF((SUMPRODUCT(COUNTIFS(pbp_PlayType,EM_Type,pbp_Batter,$B205,pbp_On2B,"?*")*EM_AB)+SUMPRODUCT(COUNTIFS(pbp_PlayType,EM_Type,pbp_Batter,$B205,pbp_On2B,"",pbp_On3B,"?*")*EM_AB))=0,"",(SUMPRODUCT(COUNTIFS(pbp_PlayType,EM_Type,pbp_Batter,$B205,pbp_On2B,"?*")*EM_H)+SUMPRODUCT(COUNTIFS(pbp_PlayType,EM_Type,pbp_Batter,$B205,pbp_On2B,"",pbp_On3B,"?*")*EM_H))/(SUMPRODUCT(COUNTIFS(pbp_PlayType,EM_Type,pbp_Batter,$B205,pbp_On2B,"?*")*EM_AB)+SUMPRODUCT(COUNTIFS(pbp_PlayType,EM_Type,pbp_Batter,$B205,pbp_On2B,"",pbp_On3B,"?*")*EM_AB))))</f>
        <v/>
      </c>
      <c r="AA205" s="62" t="str">
        <f>IF($B205="","",IF(OR(E205&lt;MinPA,T205=""),"",COUNTIFS($E$6:$E$255,"&gt;="&amp;MinPA,$T$6:$T$255,"&gt;"&amp;T205)+COUNTIFS($E$5:E204,"&gt;="&amp;MinPA,$T$5:T204,T205)+1))</f>
        <v/>
      </c>
    </row>
    <row r="206" spans="2:27" x14ac:dyDescent="0.2">
      <c r="B206" s="44" t="str">
        <f t="array" ref="B206">IFERROR(INDEX(pbp_Batter,MATCH(0,COUNTIF($B$5:B205,pbp_Batter)+(pbp_Batter=""),0)),"")</f>
        <v/>
      </c>
      <c r="C206" s="61" t="str">
        <f>IF($B206="","",IFERROR(INDEX(pbp_BatTeam,MATCH($B206,pbp_Batter,0)),""))</f>
        <v/>
      </c>
      <c r="D206" s="61" t="str">
        <f>IF($B206="","",IFERROR(INDEX(pbp_BatHand,MATCH($B206,pbp_Batter,0)),""))</f>
        <v/>
      </c>
      <c r="E206" s="42" t="str">
        <f>IF($B206="","",SUMPRODUCT(COUNTIFS(pbp_PlayType,EM_Type,pbp_Batter,$B206)*EM_PA))</f>
        <v/>
      </c>
      <c r="F206" s="42" t="str">
        <f>IF($B206="","",SUMPRODUCT(COUNTIFS(pbp_PlayType,EM_Type,pbp_Batter,$B206)*EM_AB))</f>
        <v/>
      </c>
      <c r="G206" s="42" t="str">
        <f>IF($B206="","",SUMPRODUCT(COUNTIFS(pbp_PlayType,EM_Type,pbp_Batter,$B206)*EM_H))</f>
        <v/>
      </c>
      <c r="H206" s="42" t="str">
        <f>IF($B206="","",SUMPRODUCT(COUNTIFS(pbp_PlayType,EM_Type,pbp_Batter,$B206)*EM_2B))</f>
        <v/>
      </c>
      <c r="I206" s="42" t="str">
        <f>IF($B206="","",SUMPRODUCT(COUNTIFS(pbp_PlayType,EM_Type,pbp_Batter,$B206)*EM_3B))</f>
        <v/>
      </c>
      <c r="J206" s="42" t="str">
        <f>IF($B206="","",SUMPRODUCT(COUNTIFS(pbp_PlayType,EM_Type,pbp_Batter,$B206)*EM_HR))</f>
        <v/>
      </c>
      <c r="K206" s="42" t="str">
        <f>IF($B206="","",SUMPRODUCT(COUNTIFS(pbp_PlayType,EM_Type,pbp_Batter,$B206)*EM_1B))</f>
        <v/>
      </c>
      <c r="L206" s="42" t="str">
        <f>IF($B206="","",SUMPRODUCT(COUNTIFS(pbp_PlayType,EM_Type,pbp_Batter,$B206)*EM_BB))</f>
        <v/>
      </c>
      <c r="M206" s="42" t="str">
        <f>IF($B206="","",SUMPRODUCT(COUNTIFS(pbp_PlayType,EM_Type,pbp_Batter,$B206)*EM_HBP))</f>
        <v/>
      </c>
      <c r="N206" s="42" t="str">
        <f>IF($B206="","",COUNTIFS(pbp_PlayType,"?*",pbp_Desc,"*struck out*",pbp_Batter,$B206))</f>
        <v/>
      </c>
      <c r="O206" s="42" t="str">
        <f>IF($B206="","",SUMPRODUCT(COUNTIFS(pbp_PlayType,EM_Type,pbp_Batter,$B206)*EM_SF))</f>
        <v/>
      </c>
      <c r="P206" s="42" t="str">
        <f>IF($B206="","",SUMIFS(pbp_Runs,pbp_Batter,$B206))</f>
        <v/>
      </c>
      <c r="Q206" s="58" t="str">
        <f t="shared" si="24"/>
        <v/>
      </c>
      <c r="R206" s="58" t="str">
        <f t="shared" si="25"/>
        <v/>
      </c>
      <c r="S206" s="58" t="str">
        <f t="shared" si="26"/>
        <v/>
      </c>
      <c r="T206" s="58" t="str">
        <f t="shared" si="27"/>
        <v/>
      </c>
      <c r="U206" s="58" t="str">
        <f t="shared" si="28"/>
        <v/>
      </c>
      <c r="V206" s="59" t="str">
        <f t="shared" si="29"/>
        <v/>
      </c>
      <c r="W206" s="59" t="str">
        <f t="shared" si="30"/>
        <v/>
      </c>
      <c r="X206" s="60" t="str">
        <f>IF($B206="","",IF((E206)=0,"",(SUMIFS(pbp_Pitches,pbp_Batter,$B206,pbp_PlayType,"?*"))/(E206)))</f>
        <v/>
      </c>
      <c r="Y206" s="42" t="str">
        <f t="shared" si="31"/>
        <v/>
      </c>
      <c r="Z206" s="58" t="str">
        <f>IF($B206="","",IF((SUMPRODUCT(COUNTIFS(pbp_PlayType,EM_Type,pbp_Batter,$B206,pbp_On2B,"?*")*EM_AB)+SUMPRODUCT(COUNTIFS(pbp_PlayType,EM_Type,pbp_Batter,$B206,pbp_On2B,"",pbp_On3B,"?*")*EM_AB))=0,"",(SUMPRODUCT(COUNTIFS(pbp_PlayType,EM_Type,pbp_Batter,$B206,pbp_On2B,"?*")*EM_H)+SUMPRODUCT(COUNTIFS(pbp_PlayType,EM_Type,pbp_Batter,$B206,pbp_On2B,"",pbp_On3B,"?*")*EM_H))/(SUMPRODUCT(COUNTIFS(pbp_PlayType,EM_Type,pbp_Batter,$B206,pbp_On2B,"?*")*EM_AB)+SUMPRODUCT(COUNTIFS(pbp_PlayType,EM_Type,pbp_Batter,$B206,pbp_On2B,"",pbp_On3B,"?*")*EM_AB))))</f>
        <v/>
      </c>
      <c r="AA206" s="62" t="str">
        <f>IF($B206="","",IF(OR(E206&lt;MinPA,T206=""),"",COUNTIFS($E$6:$E$255,"&gt;="&amp;MinPA,$T$6:$T$255,"&gt;"&amp;T206)+COUNTIFS($E$5:E205,"&gt;="&amp;MinPA,$T$5:T205,T206)+1))</f>
        <v/>
      </c>
    </row>
    <row r="207" spans="2:27" x14ac:dyDescent="0.2">
      <c r="B207" s="44" t="str">
        <f t="array" ref="B207">IFERROR(INDEX(pbp_Batter,MATCH(0,COUNTIF($B$5:B206,pbp_Batter)+(pbp_Batter=""),0)),"")</f>
        <v/>
      </c>
      <c r="C207" s="61" t="str">
        <f>IF($B207="","",IFERROR(INDEX(pbp_BatTeam,MATCH($B207,pbp_Batter,0)),""))</f>
        <v/>
      </c>
      <c r="D207" s="61" t="str">
        <f>IF($B207="","",IFERROR(INDEX(pbp_BatHand,MATCH($B207,pbp_Batter,0)),""))</f>
        <v/>
      </c>
      <c r="E207" s="42" t="str">
        <f>IF($B207="","",SUMPRODUCT(COUNTIFS(pbp_PlayType,EM_Type,pbp_Batter,$B207)*EM_PA))</f>
        <v/>
      </c>
      <c r="F207" s="42" t="str">
        <f>IF($B207="","",SUMPRODUCT(COUNTIFS(pbp_PlayType,EM_Type,pbp_Batter,$B207)*EM_AB))</f>
        <v/>
      </c>
      <c r="G207" s="42" t="str">
        <f>IF($B207="","",SUMPRODUCT(COUNTIFS(pbp_PlayType,EM_Type,pbp_Batter,$B207)*EM_H))</f>
        <v/>
      </c>
      <c r="H207" s="42" t="str">
        <f>IF($B207="","",SUMPRODUCT(COUNTIFS(pbp_PlayType,EM_Type,pbp_Batter,$B207)*EM_2B))</f>
        <v/>
      </c>
      <c r="I207" s="42" t="str">
        <f>IF($B207="","",SUMPRODUCT(COUNTIFS(pbp_PlayType,EM_Type,pbp_Batter,$B207)*EM_3B))</f>
        <v/>
      </c>
      <c r="J207" s="42" t="str">
        <f>IF($B207="","",SUMPRODUCT(COUNTIFS(pbp_PlayType,EM_Type,pbp_Batter,$B207)*EM_HR))</f>
        <v/>
      </c>
      <c r="K207" s="42" t="str">
        <f>IF($B207="","",SUMPRODUCT(COUNTIFS(pbp_PlayType,EM_Type,pbp_Batter,$B207)*EM_1B))</f>
        <v/>
      </c>
      <c r="L207" s="42" t="str">
        <f>IF($B207="","",SUMPRODUCT(COUNTIFS(pbp_PlayType,EM_Type,pbp_Batter,$B207)*EM_BB))</f>
        <v/>
      </c>
      <c r="M207" s="42" t="str">
        <f>IF($B207="","",SUMPRODUCT(COUNTIFS(pbp_PlayType,EM_Type,pbp_Batter,$B207)*EM_HBP))</f>
        <v/>
      </c>
      <c r="N207" s="42" t="str">
        <f>IF($B207="","",COUNTIFS(pbp_PlayType,"?*",pbp_Desc,"*struck out*",pbp_Batter,$B207))</f>
        <v/>
      </c>
      <c r="O207" s="42" t="str">
        <f>IF($B207="","",SUMPRODUCT(COUNTIFS(pbp_PlayType,EM_Type,pbp_Batter,$B207)*EM_SF))</f>
        <v/>
      </c>
      <c r="P207" s="42" t="str">
        <f>IF($B207="","",SUMIFS(pbp_Runs,pbp_Batter,$B207))</f>
        <v/>
      </c>
      <c r="Q207" s="58" t="str">
        <f t="shared" si="24"/>
        <v/>
      </c>
      <c r="R207" s="58" t="str">
        <f t="shared" si="25"/>
        <v/>
      </c>
      <c r="S207" s="58" t="str">
        <f t="shared" si="26"/>
        <v/>
      </c>
      <c r="T207" s="58" t="str">
        <f t="shared" si="27"/>
        <v/>
      </c>
      <c r="U207" s="58" t="str">
        <f t="shared" si="28"/>
        <v/>
      </c>
      <c r="V207" s="59" t="str">
        <f t="shared" si="29"/>
        <v/>
      </c>
      <c r="W207" s="59" t="str">
        <f t="shared" si="30"/>
        <v/>
      </c>
      <c r="X207" s="60" t="str">
        <f>IF($B207="","",IF((E207)=0,"",(SUMIFS(pbp_Pitches,pbp_Batter,$B207,pbp_PlayType,"?*"))/(E207)))</f>
        <v/>
      </c>
      <c r="Y207" s="42" t="str">
        <f t="shared" si="31"/>
        <v/>
      </c>
      <c r="Z207" s="58" t="str">
        <f>IF($B207="","",IF((SUMPRODUCT(COUNTIFS(pbp_PlayType,EM_Type,pbp_Batter,$B207,pbp_On2B,"?*")*EM_AB)+SUMPRODUCT(COUNTIFS(pbp_PlayType,EM_Type,pbp_Batter,$B207,pbp_On2B,"",pbp_On3B,"?*")*EM_AB))=0,"",(SUMPRODUCT(COUNTIFS(pbp_PlayType,EM_Type,pbp_Batter,$B207,pbp_On2B,"?*")*EM_H)+SUMPRODUCT(COUNTIFS(pbp_PlayType,EM_Type,pbp_Batter,$B207,pbp_On2B,"",pbp_On3B,"?*")*EM_H))/(SUMPRODUCT(COUNTIFS(pbp_PlayType,EM_Type,pbp_Batter,$B207,pbp_On2B,"?*")*EM_AB)+SUMPRODUCT(COUNTIFS(pbp_PlayType,EM_Type,pbp_Batter,$B207,pbp_On2B,"",pbp_On3B,"?*")*EM_AB))))</f>
        <v/>
      </c>
      <c r="AA207" s="62" t="str">
        <f>IF($B207="","",IF(OR(E207&lt;MinPA,T207=""),"",COUNTIFS($E$6:$E$255,"&gt;="&amp;MinPA,$T$6:$T$255,"&gt;"&amp;T207)+COUNTIFS($E$5:E206,"&gt;="&amp;MinPA,$T$5:T206,T207)+1))</f>
        <v/>
      </c>
    </row>
    <row r="208" spans="2:27" x14ac:dyDescent="0.2">
      <c r="B208" s="44" t="str">
        <f t="array" ref="B208">IFERROR(INDEX(pbp_Batter,MATCH(0,COUNTIF($B$5:B207,pbp_Batter)+(pbp_Batter=""),0)),"")</f>
        <v/>
      </c>
      <c r="C208" s="61" t="str">
        <f>IF($B208="","",IFERROR(INDEX(pbp_BatTeam,MATCH($B208,pbp_Batter,0)),""))</f>
        <v/>
      </c>
      <c r="D208" s="61" t="str">
        <f>IF($B208="","",IFERROR(INDEX(pbp_BatHand,MATCH($B208,pbp_Batter,0)),""))</f>
        <v/>
      </c>
      <c r="E208" s="42" t="str">
        <f>IF($B208="","",SUMPRODUCT(COUNTIFS(pbp_PlayType,EM_Type,pbp_Batter,$B208)*EM_PA))</f>
        <v/>
      </c>
      <c r="F208" s="42" t="str">
        <f>IF($B208="","",SUMPRODUCT(COUNTIFS(pbp_PlayType,EM_Type,pbp_Batter,$B208)*EM_AB))</f>
        <v/>
      </c>
      <c r="G208" s="42" t="str">
        <f>IF($B208="","",SUMPRODUCT(COUNTIFS(pbp_PlayType,EM_Type,pbp_Batter,$B208)*EM_H))</f>
        <v/>
      </c>
      <c r="H208" s="42" t="str">
        <f>IF($B208="","",SUMPRODUCT(COUNTIFS(pbp_PlayType,EM_Type,pbp_Batter,$B208)*EM_2B))</f>
        <v/>
      </c>
      <c r="I208" s="42" t="str">
        <f>IF($B208="","",SUMPRODUCT(COUNTIFS(pbp_PlayType,EM_Type,pbp_Batter,$B208)*EM_3B))</f>
        <v/>
      </c>
      <c r="J208" s="42" t="str">
        <f>IF($B208="","",SUMPRODUCT(COUNTIFS(pbp_PlayType,EM_Type,pbp_Batter,$B208)*EM_HR))</f>
        <v/>
      </c>
      <c r="K208" s="42" t="str">
        <f>IF($B208="","",SUMPRODUCT(COUNTIFS(pbp_PlayType,EM_Type,pbp_Batter,$B208)*EM_1B))</f>
        <v/>
      </c>
      <c r="L208" s="42" t="str">
        <f>IF($B208="","",SUMPRODUCT(COUNTIFS(pbp_PlayType,EM_Type,pbp_Batter,$B208)*EM_BB))</f>
        <v/>
      </c>
      <c r="M208" s="42" t="str">
        <f>IF($B208="","",SUMPRODUCT(COUNTIFS(pbp_PlayType,EM_Type,pbp_Batter,$B208)*EM_HBP))</f>
        <v/>
      </c>
      <c r="N208" s="42" t="str">
        <f>IF($B208="","",COUNTIFS(pbp_PlayType,"?*",pbp_Desc,"*struck out*",pbp_Batter,$B208))</f>
        <v/>
      </c>
      <c r="O208" s="42" t="str">
        <f>IF($B208="","",SUMPRODUCT(COUNTIFS(pbp_PlayType,EM_Type,pbp_Batter,$B208)*EM_SF))</f>
        <v/>
      </c>
      <c r="P208" s="42" t="str">
        <f>IF($B208="","",SUMIFS(pbp_Runs,pbp_Batter,$B208))</f>
        <v/>
      </c>
      <c r="Q208" s="58" t="str">
        <f t="shared" si="24"/>
        <v/>
      </c>
      <c r="R208" s="58" t="str">
        <f t="shared" si="25"/>
        <v/>
      </c>
      <c r="S208" s="58" t="str">
        <f t="shared" si="26"/>
        <v/>
      </c>
      <c r="T208" s="58" t="str">
        <f t="shared" si="27"/>
        <v/>
      </c>
      <c r="U208" s="58" t="str">
        <f t="shared" si="28"/>
        <v/>
      </c>
      <c r="V208" s="59" t="str">
        <f t="shared" si="29"/>
        <v/>
      </c>
      <c r="W208" s="59" t="str">
        <f t="shared" si="30"/>
        <v/>
      </c>
      <c r="X208" s="60" t="str">
        <f>IF($B208="","",IF((E208)=0,"",(SUMIFS(pbp_Pitches,pbp_Batter,$B208,pbp_PlayType,"?*"))/(E208)))</f>
        <v/>
      </c>
      <c r="Y208" s="42" t="str">
        <f t="shared" si="31"/>
        <v/>
      </c>
      <c r="Z208" s="58" t="str">
        <f>IF($B208="","",IF((SUMPRODUCT(COUNTIFS(pbp_PlayType,EM_Type,pbp_Batter,$B208,pbp_On2B,"?*")*EM_AB)+SUMPRODUCT(COUNTIFS(pbp_PlayType,EM_Type,pbp_Batter,$B208,pbp_On2B,"",pbp_On3B,"?*")*EM_AB))=0,"",(SUMPRODUCT(COUNTIFS(pbp_PlayType,EM_Type,pbp_Batter,$B208,pbp_On2B,"?*")*EM_H)+SUMPRODUCT(COUNTIFS(pbp_PlayType,EM_Type,pbp_Batter,$B208,pbp_On2B,"",pbp_On3B,"?*")*EM_H))/(SUMPRODUCT(COUNTIFS(pbp_PlayType,EM_Type,pbp_Batter,$B208,pbp_On2B,"?*")*EM_AB)+SUMPRODUCT(COUNTIFS(pbp_PlayType,EM_Type,pbp_Batter,$B208,pbp_On2B,"",pbp_On3B,"?*")*EM_AB))))</f>
        <v/>
      </c>
      <c r="AA208" s="62" t="str">
        <f>IF($B208="","",IF(OR(E208&lt;MinPA,T208=""),"",COUNTIFS($E$6:$E$255,"&gt;="&amp;MinPA,$T$6:$T$255,"&gt;"&amp;T208)+COUNTIFS($E$5:E207,"&gt;="&amp;MinPA,$T$5:T207,T208)+1))</f>
        <v/>
      </c>
    </row>
    <row r="209" spans="2:27" x14ac:dyDescent="0.2">
      <c r="B209" s="44" t="str">
        <f t="array" ref="B209">IFERROR(INDEX(pbp_Batter,MATCH(0,COUNTIF($B$5:B208,pbp_Batter)+(pbp_Batter=""),0)),"")</f>
        <v/>
      </c>
      <c r="C209" s="61" t="str">
        <f>IF($B209="","",IFERROR(INDEX(pbp_BatTeam,MATCH($B209,pbp_Batter,0)),""))</f>
        <v/>
      </c>
      <c r="D209" s="61" t="str">
        <f>IF($B209="","",IFERROR(INDEX(pbp_BatHand,MATCH($B209,pbp_Batter,0)),""))</f>
        <v/>
      </c>
      <c r="E209" s="42" t="str">
        <f>IF($B209="","",SUMPRODUCT(COUNTIFS(pbp_PlayType,EM_Type,pbp_Batter,$B209)*EM_PA))</f>
        <v/>
      </c>
      <c r="F209" s="42" t="str">
        <f>IF($B209="","",SUMPRODUCT(COUNTIFS(pbp_PlayType,EM_Type,pbp_Batter,$B209)*EM_AB))</f>
        <v/>
      </c>
      <c r="G209" s="42" t="str">
        <f>IF($B209="","",SUMPRODUCT(COUNTIFS(pbp_PlayType,EM_Type,pbp_Batter,$B209)*EM_H))</f>
        <v/>
      </c>
      <c r="H209" s="42" t="str">
        <f>IF($B209="","",SUMPRODUCT(COUNTIFS(pbp_PlayType,EM_Type,pbp_Batter,$B209)*EM_2B))</f>
        <v/>
      </c>
      <c r="I209" s="42" t="str">
        <f>IF($B209="","",SUMPRODUCT(COUNTIFS(pbp_PlayType,EM_Type,pbp_Batter,$B209)*EM_3B))</f>
        <v/>
      </c>
      <c r="J209" s="42" t="str">
        <f>IF($B209="","",SUMPRODUCT(COUNTIFS(pbp_PlayType,EM_Type,pbp_Batter,$B209)*EM_HR))</f>
        <v/>
      </c>
      <c r="K209" s="42" t="str">
        <f>IF($B209="","",SUMPRODUCT(COUNTIFS(pbp_PlayType,EM_Type,pbp_Batter,$B209)*EM_1B))</f>
        <v/>
      </c>
      <c r="L209" s="42" t="str">
        <f>IF($B209="","",SUMPRODUCT(COUNTIFS(pbp_PlayType,EM_Type,pbp_Batter,$B209)*EM_BB))</f>
        <v/>
      </c>
      <c r="M209" s="42" t="str">
        <f>IF($B209="","",SUMPRODUCT(COUNTIFS(pbp_PlayType,EM_Type,pbp_Batter,$B209)*EM_HBP))</f>
        <v/>
      </c>
      <c r="N209" s="42" t="str">
        <f>IF($B209="","",COUNTIFS(pbp_PlayType,"?*",pbp_Desc,"*struck out*",pbp_Batter,$B209))</f>
        <v/>
      </c>
      <c r="O209" s="42" t="str">
        <f>IF($B209="","",SUMPRODUCT(COUNTIFS(pbp_PlayType,EM_Type,pbp_Batter,$B209)*EM_SF))</f>
        <v/>
      </c>
      <c r="P209" s="42" t="str">
        <f>IF($B209="","",SUMIFS(pbp_Runs,pbp_Batter,$B209))</f>
        <v/>
      </c>
      <c r="Q209" s="58" t="str">
        <f t="shared" si="24"/>
        <v/>
      </c>
      <c r="R209" s="58" t="str">
        <f t="shared" si="25"/>
        <v/>
      </c>
      <c r="S209" s="58" t="str">
        <f t="shared" si="26"/>
        <v/>
      </c>
      <c r="T209" s="58" t="str">
        <f t="shared" si="27"/>
        <v/>
      </c>
      <c r="U209" s="58" t="str">
        <f t="shared" si="28"/>
        <v/>
      </c>
      <c r="V209" s="59" t="str">
        <f t="shared" si="29"/>
        <v/>
      </c>
      <c r="W209" s="59" t="str">
        <f t="shared" si="30"/>
        <v/>
      </c>
      <c r="X209" s="60" t="str">
        <f>IF($B209="","",IF((E209)=0,"",(SUMIFS(pbp_Pitches,pbp_Batter,$B209,pbp_PlayType,"?*"))/(E209)))</f>
        <v/>
      </c>
      <c r="Y209" s="42" t="str">
        <f t="shared" si="31"/>
        <v/>
      </c>
      <c r="Z209" s="58" t="str">
        <f>IF($B209="","",IF((SUMPRODUCT(COUNTIFS(pbp_PlayType,EM_Type,pbp_Batter,$B209,pbp_On2B,"?*")*EM_AB)+SUMPRODUCT(COUNTIFS(pbp_PlayType,EM_Type,pbp_Batter,$B209,pbp_On2B,"",pbp_On3B,"?*")*EM_AB))=0,"",(SUMPRODUCT(COUNTIFS(pbp_PlayType,EM_Type,pbp_Batter,$B209,pbp_On2B,"?*")*EM_H)+SUMPRODUCT(COUNTIFS(pbp_PlayType,EM_Type,pbp_Batter,$B209,pbp_On2B,"",pbp_On3B,"?*")*EM_H))/(SUMPRODUCT(COUNTIFS(pbp_PlayType,EM_Type,pbp_Batter,$B209,pbp_On2B,"?*")*EM_AB)+SUMPRODUCT(COUNTIFS(pbp_PlayType,EM_Type,pbp_Batter,$B209,pbp_On2B,"",pbp_On3B,"?*")*EM_AB))))</f>
        <v/>
      </c>
      <c r="AA209" s="62" t="str">
        <f>IF($B209="","",IF(OR(E209&lt;MinPA,T209=""),"",COUNTIFS($E$6:$E$255,"&gt;="&amp;MinPA,$T$6:$T$255,"&gt;"&amp;T209)+COUNTIFS($E$5:E208,"&gt;="&amp;MinPA,$T$5:T208,T209)+1))</f>
        <v/>
      </c>
    </row>
    <row r="210" spans="2:27" x14ac:dyDescent="0.2">
      <c r="B210" s="44" t="str">
        <f t="array" ref="B210">IFERROR(INDEX(pbp_Batter,MATCH(0,COUNTIF($B$5:B209,pbp_Batter)+(pbp_Batter=""),0)),"")</f>
        <v/>
      </c>
      <c r="C210" s="61" t="str">
        <f>IF($B210="","",IFERROR(INDEX(pbp_BatTeam,MATCH($B210,pbp_Batter,0)),""))</f>
        <v/>
      </c>
      <c r="D210" s="61" t="str">
        <f>IF($B210="","",IFERROR(INDEX(pbp_BatHand,MATCH($B210,pbp_Batter,0)),""))</f>
        <v/>
      </c>
      <c r="E210" s="42" t="str">
        <f>IF($B210="","",SUMPRODUCT(COUNTIFS(pbp_PlayType,EM_Type,pbp_Batter,$B210)*EM_PA))</f>
        <v/>
      </c>
      <c r="F210" s="42" t="str">
        <f>IF($B210="","",SUMPRODUCT(COUNTIFS(pbp_PlayType,EM_Type,pbp_Batter,$B210)*EM_AB))</f>
        <v/>
      </c>
      <c r="G210" s="42" t="str">
        <f>IF($B210="","",SUMPRODUCT(COUNTIFS(pbp_PlayType,EM_Type,pbp_Batter,$B210)*EM_H))</f>
        <v/>
      </c>
      <c r="H210" s="42" t="str">
        <f>IF($B210="","",SUMPRODUCT(COUNTIFS(pbp_PlayType,EM_Type,pbp_Batter,$B210)*EM_2B))</f>
        <v/>
      </c>
      <c r="I210" s="42" t="str">
        <f>IF($B210="","",SUMPRODUCT(COUNTIFS(pbp_PlayType,EM_Type,pbp_Batter,$B210)*EM_3B))</f>
        <v/>
      </c>
      <c r="J210" s="42" t="str">
        <f>IF($B210="","",SUMPRODUCT(COUNTIFS(pbp_PlayType,EM_Type,pbp_Batter,$B210)*EM_HR))</f>
        <v/>
      </c>
      <c r="K210" s="42" t="str">
        <f>IF($B210="","",SUMPRODUCT(COUNTIFS(pbp_PlayType,EM_Type,pbp_Batter,$B210)*EM_1B))</f>
        <v/>
      </c>
      <c r="L210" s="42" t="str">
        <f>IF($B210="","",SUMPRODUCT(COUNTIFS(pbp_PlayType,EM_Type,pbp_Batter,$B210)*EM_BB))</f>
        <v/>
      </c>
      <c r="M210" s="42" t="str">
        <f>IF($B210="","",SUMPRODUCT(COUNTIFS(pbp_PlayType,EM_Type,pbp_Batter,$B210)*EM_HBP))</f>
        <v/>
      </c>
      <c r="N210" s="42" t="str">
        <f>IF($B210="","",COUNTIFS(pbp_PlayType,"?*",pbp_Desc,"*struck out*",pbp_Batter,$B210))</f>
        <v/>
      </c>
      <c r="O210" s="42" t="str">
        <f>IF($B210="","",SUMPRODUCT(COUNTIFS(pbp_PlayType,EM_Type,pbp_Batter,$B210)*EM_SF))</f>
        <v/>
      </c>
      <c r="P210" s="42" t="str">
        <f>IF($B210="","",SUMIFS(pbp_Runs,pbp_Batter,$B210))</f>
        <v/>
      </c>
      <c r="Q210" s="58" t="str">
        <f t="shared" si="24"/>
        <v/>
      </c>
      <c r="R210" s="58" t="str">
        <f t="shared" si="25"/>
        <v/>
      </c>
      <c r="S210" s="58" t="str">
        <f t="shared" si="26"/>
        <v/>
      </c>
      <c r="T210" s="58" t="str">
        <f t="shared" si="27"/>
        <v/>
      </c>
      <c r="U210" s="58" t="str">
        <f t="shared" si="28"/>
        <v/>
      </c>
      <c r="V210" s="59" t="str">
        <f t="shared" si="29"/>
        <v/>
      </c>
      <c r="W210" s="59" t="str">
        <f t="shared" si="30"/>
        <v/>
      </c>
      <c r="X210" s="60" t="str">
        <f>IF($B210="","",IF((E210)=0,"",(SUMIFS(pbp_Pitches,pbp_Batter,$B210,pbp_PlayType,"?*"))/(E210)))</f>
        <v/>
      </c>
      <c r="Y210" s="42" t="str">
        <f t="shared" si="31"/>
        <v/>
      </c>
      <c r="Z210" s="58" t="str">
        <f>IF($B210="","",IF((SUMPRODUCT(COUNTIFS(pbp_PlayType,EM_Type,pbp_Batter,$B210,pbp_On2B,"?*")*EM_AB)+SUMPRODUCT(COUNTIFS(pbp_PlayType,EM_Type,pbp_Batter,$B210,pbp_On2B,"",pbp_On3B,"?*")*EM_AB))=0,"",(SUMPRODUCT(COUNTIFS(pbp_PlayType,EM_Type,pbp_Batter,$B210,pbp_On2B,"?*")*EM_H)+SUMPRODUCT(COUNTIFS(pbp_PlayType,EM_Type,pbp_Batter,$B210,pbp_On2B,"",pbp_On3B,"?*")*EM_H))/(SUMPRODUCT(COUNTIFS(pbp_PlayType,EM_Type,pbp_Batter,$B210,pbp_On2B,"?*")*EM_AB)+SUMPRODUCT(COUNTIFS(pbp_PlayType,EM_Type,pbp_Batter,$B210,pbp_On2B,"",pbp_On3B,"?*")*EM_AB))))</f>
        <v/>
      </c>
      <c r="AA210" s="62" t="str">
        <f>IF($B210="","",IF(OR(E210&lt;MinPA,T210=""),"",COUNTIFS($E$6:$E$255,"&gt;="&amp;MinPA,$T$6:$T$255,"&gt;"&amp;T210)+COUNTIFS($E$5:E209,"&gt;="&amp;MinPA,$T$5:T209,T210)+1))</f>
        <v/>
      </c>
    </row>
    <row r="211" spans="2:27" x14ac:dyDescent="0.2">
      <c r="B211" s="44" t="str">
        <f t="array" ref="B211">IFERROR(INDEX(pbp_Batter,MATCH(0,COUNTIF($B$5:B210,pbp_Batter)+(pbp_Batter=""),0)),"")</f>
        <v/>
      </c>
      <c r="C211" s="61" t="str">
        <f>IF($B211="","",IFERROR(INDEX(pbp_BatTeam,MATCH($B211,pbp_Batter,0)),""))</f>
        <v/>
      </c>
      <c r="D211" s="61" t="str">
        <f>IF($B211="","",IFERROR(INDEX(pbp_BatHand,MATCH($B211,pbp_Batter,0)),""))</f>
        <v/>
      </c>
      <c r="E211" s="42" t="str">
        <f>IF($B211="","",SUMPRODUCT(COUNTIFS(pbp_PlayType,EM_Type,pbp_Batter,$B211)*EM_PA))</f>
        <v/>
      </c>
      <c r="F211" s="42" t="str">
        <f>IF($B211="","",SUMPRODUCT(COUNTIFS(pbp_PlayType,EM_Type,pbp_Batter,$B211)*EM_AB))</f>
        <v/>
      </c>
      <c r="G211" s="42" t="str">
        <f>IF($B211="","",SUMPRODUCT(COUNTIFS(pbp_PlayType,EM_Type,pbp_Batter,$B211)*EM_H))</f>
        <v/>
      </c>
      <c r="H211" s="42" t="str">
        <f>IF($B211="","",SUMPRODUCT(COUNTIFS(pbp_PlayType,EM_Type,pbp_Batter,$B211)*EM_2B))</f>
        <v/>
      </c>
      <c r="I211" s="42" t="str">
        <f>IF($B211="","",SUMPRODUCT(COUNTIFS(pbp_PlayType,EM_Type,pbp_Batter,$B211)*EM_3B))</f>
        <v/>
      </c>
      <c r="J211" s="42" t="str">
        <f>IF($B211="","",SUMPRODUCT(COUNTIFS(pbp_PlayType,EM_Type,pbp_Batter,$B211)*EM_HR))</f>
        <v/>
      </c>
      <c r="K211" s="42" t="str">
        <f>IF($B211="","",SUMPRODUCT(COUNTIFS(pbp_PlayType,EM_Type,pbp_Batter,$B211)*EM_1B))</f>
        <v/>
      </c>
      <c r="L211" s="42" t="str">
        <f>IF($B211="","",SUMPRODUCT(COUNTIFS(pbp_PlayType,EM_Type,pbp_Batter,$B211)*EM_BB))</f>
        <v/>
      </c>
      <c r="M211" s="42" t="str">
        <f>IF($B211="","",SUMPRODUCT(COUNTIFS(pbp_PlayType,EM_Type,pbp_Batter,$B211)*EM_HBP))</f>
        <v/>
      </c>
      <c r="N211" s="42" t="str">
        <f>IF($B211="","",COUNTIFS(pbp_PlayType,"?*",pbp_Desc,"*struck out*",pbp_Batter,$B211))</f>
        <v/>
      </c>
      <c r="O211" s="42" t="str">
        <f>IF($B211="","",SUMPRODUCT(COUNTIFS(pbp_PlayType,EM_Type,pbp_Batter,$B211)*EM_SF))</f>
        <v/>
      </c>
      <c r="P211" s="42" t="str">
        <f>IF($B211="","",SUMIFS(pbp_Runs,pbp_Batter,$B211))</f>
        <v/>
      </c>
      <c r="Q211" s="58" t="str">
        <f t="shared" si="24"/>
        <v/>
      </c>
      <c r="R211" s="58" t="str">
        <f t="shared" si="25"/>
        <v/>
      </c>
      <c r="S211" s="58" t="str">
        <f t="shared" si="26"/>
        <v/>
      </c>
      <c r="T211" s="58" t="str">
        <f t="shared" si="27"/>
        <v/>
      </c>
      <c r="U211" s="58" t="str">
        <f t="shared" si="28"/>
        <v/>
      </c>
      <c r="V211" s="59" t="str">
        <f t="shared" si="29"/>
        <v/>
      </c>
      <c r="W211" s="59" t="str">
        <f t="shared" si="30"/>
        <v/>
      </c>
      <c r="X211" s="60" t="str">
        <f>IF($B211="","",IF((E211)=0,"",(SUMIFS(pbp_Pitches,pbp_Batter,$B211,pbp_PlayType,"?*"))/(E211)))</f>
        <v/>
      </c>
      <c r="Y211" s="42" t="str">
        <f t="shared" si="31"/>
        <v/>
      </c>
      <c r="Z211" s="58" t="str">
        <f>IF($B211="","",IF((SUMPRODUCT(COUNTIFS(pbp_PlayType,EM_Type,pbp_Batter,$B211,pbp_On2B,"?*")*EM_AB)+SUMPRODUCT(COUNTIFS(pbp_PlayType,EM_Type,pbp_Batter,$B211,pbp_On2B,"",pbp_On3B,"?*")*EM_AB))=0,"",(SUMPRODUCT(COUNTIFS(pbp_PlayType,EM_Type,pbp_Batter,$B211,pbp_On2B,"?*")*EM_H)+SUMPRODUCT(COUNTIFS(pbp_PlayType,EM_Type,pbp_Batter,$B211,pbp_On2B,"",pbp_On3B,"?*")*EM_H))/(SUMPRODUCT(COUNTIFS(pbp_PlayType,EM_Type,pbp_Batter,$B211,pbp_On2B,"?*")*EM_AB)+SUMPRODUCT(COUNTIFS(pbp_PlayType,EM_Type,pbp_Batter,$B211,pbp_On2B,"",pbp_On3B,"?*")*EM_AB))))</f>
        <v/>
      </c>
      <c r="AA211" s="62" t="str">
        <f>IF($B211="","",IF(OR(E211&lt;MinPA,T211=""),"",COUNTIFS($E$6:$E$255,"&gt;="&amp;MinPA,$T$6:$T$255,"&gt;"&amp;T211)+COUNTIFS($E$5:E210,"&gt;="&amp;MinPA,$T$5:T210,T211)+1))</f>
        <v/>
      </c>
    </row>
    <row r="212" spans="2:27" x14ac:dyDescent="0.2">
      <c r="B212" s="44" t="str">
        <f t="array" ref="B212">IFERROR(INDEX(pbp_Batter,MATCH(0,COUNTIF($B$5:B211,pbp_Batter)+(pbp_Batter=""),0)),"")</f>
        <v/>
      </c>
      <c r="C212" s="61" t="str">
        <f>IF($B212="","",IFERROR(INDEX(pbp_BatTeam,MATCH($B212,pbp_Batter,0)),""))</f>
        <v/>
      </c>
      <c r="D212" s="61" t="str">
        <f>IF($B212="","",IFERROR(INDEX(pbp_BatHand,MATCH($B212,pbp_Batter,0)),""))</f>
        <v/>
      </c>
      <c r="E212" s="42" t="str">
        <f>IF($B212="","",SUMPRODUCT(COUNTIFS(pbp_PlayType,EM_Type,pbp_Batter,$B212)*EM_PA))</f>
        <v/>
      </c>
      <c r="F212" s="42" t="str">
        <f>IF($B212="","",SUMPRODUCT(COUNTIFS(pbp_PlayType,EM_Type,pbp_Batter,$B212)*EM_AB))</f>
        <v/>
      </c>
      <c r="G212" s="42" t="str">
        <f>IF($B212="","",SUMPRODUCT(COUNTIFS(pbp_PlayType,EM_Type,pbp_Batter,$B212)*EM_H))</f>
        <v/>
      </c>
      <c r="H212" s="42" t="str">
        <f>IF($B212="","",SUMPRODUCT(COUNTIFS(pbp_PlayType,EM_Type,pbp_Batter,$B212)*EM_2B))</f>
        <v/>
      </c>
      <c r="I212" s="42" t="str">
        <f>IF($B212="","",SUMPRODUCT(COUNTIFS(pbp_PlayType,EM_Type,pbp_Batter,$B212)*EM_3B))</f>
        <v/>
      </c>
      <c r="J212" s="42" t="str">
        <f>IF($B212="","",SUMPRODUCT(COUNTIFS(pbp_PlayType,EM_Type,pbp_Batter,$B212)*EM_HR))</f>
        <v/>
      </c>
      <c r="K212" s="42" t="str">
        <f>IF($B212="","",SUMPRODUCT(COUNTIFS(pbp_PlayType,EM_Type,pbp_Batter,$B212)*EM_1B))</f>
        <v/>
      </c>
      <c r="L212" s="42" t="str">
        <f>IF($B212="","",SUMPRODUCT(COUNTIFS(pbp_PlayType,EM_Type,pbp_Batter,$B212)*EM_BB))</f>
        <v/>
      </c>
      <c r="M212" s="42" t="str">
        <f>IF($B212="","",SUMPRODUCT(COUNTIFS(pbp_PlayType,EM_Type,pbp_Batter,$B212)*EM_HBP))</f>
        <v/>
      </c>
      <c r="N212" s="42" t="str">
        <f>IF($B212="","",COUNTIFS(pbp_PlayType,"?*",pbp_Desc,"*struck out*",pbp_Batter,$B212))</f>
        <v/>
      </c>
      <c r="O212" s="42" t="str">
        <f>IF($B212="","",SUMPRODUCT(COUNTIFS(pbp_PlayType,EM_Type,pbp_Batter,$B212)*EM_SF))</f>
        <v/>
      </c>
      <c r="P212" s="42" t="str">
        <f>IF($B212="","",SUMIFS(pbp_Runs,pbp_Batter,$B212))</f>
        <v/>
      </c>
      <c r="Q212" s="58" t="str">
        <f t="shared" si="24"/>
        <v/>
      </c>
      <c r="R212" s="58" t="str">
        <f t="shared" si="25"/>
        <v/>
      </c>
      <c r="S212" s="58" t="str">
        <f t="shared" si="26"/>
        <v/>
      </c>
      <c r="T212" s="58" t="str">
        <f t="shared" si="27"/>
        <v/>
      </c>
      <c r="U212" s="58" t="str">
        <f t="shared" si="28"/>
        <v/>
      </c>
      <c r="V212" s="59" t="str">
        <f t="shared" si="29"/>
        <v/>
      </c>
      <c r="W212" s="59" t="str">
        <f t="shared" si="30"/>
        <v/>
      </c>
      <c r="X212" s="60" t="str">
        <f>IF($B212="","",IF((E212)=0,"",(SUMIFS(pbp_Pitches,pbp_Batter,$B212,pbp_PlayType,"?*"))/(E212)))</f>
        <v/>
      </c>
      <c r="Y212" s="42" t="str">
        <f t="shared" si="31"/>
        <v/>
      </c>
      <c r="Z212" s="58" t="str">
        <f>IF($B212="","",IF((SUMPRODUCT(COUNTIFS(pbp_PlayType,EM_Type,pbp_Batter,$B212,pbp_On2B,"?*")*EM_AB)+SUMPRODUCT(COUNTIFS(pbp_PlayType,EM_Type,pbp_Batter,$B212,pbp_On2B,"",pbp_On3B,"?*")*EM_AB))=0,"",(SUMPRODUCT(COUNTIFS(pbp_PlayType,EM_Type,pbp_Batter,$B212,pbp_On2B,"?*")*EM_H)+SUMPRODUCT(COUNTIFS(pbp_PlayType,EM_Type,pbp_Batter,$B212,pbp_On2B,"",pbp_On3B,"?*")*EM_H))/(SUMPRODUCT(COUNTIFS(pbp_PlayType,EM_Type,pbp_Batter,$B212,pbp_On2B,"?*")*EM_AB)+SUMPRODUCT(COUNTIFS(pbp_PlayType,EM_Type,pbp_Batter,$B212,pbp_On2B,"",pbp_On3B,"?*")*EM_AB))))</f>
        <v/>
      </c>
      <c r="AA212" s="62" t="str">
        <f>IF($B212="","",IF(OR(E212&lt;MinPA,T212=""),"",COUNTIFS($E$6:$E$255,"&gt;="&amp;MinPA,$T$6:$T$255,"&gt;"&amp;T212)+COUNTIFS($E$5:E211,"&gt;="&amp;MinPA,$T$5:T211,T212)+1))</f>
        <v/>
      </c>
    </row>
    <row r="213" spans="2:27" x14ac:dyDescent="0.2">
      <c r="B213" s="44" t="str">
        <f t="array" ref="B213">IFERROR(INDEX(pbp_Batter,MATCH(0,COUNTIF($B$5:B212,pbp_Batter)+(pbp_Batter=""),0)),"")</f>
        <v/>
      </c>
      <c r="C213" s="61" t="str">
        <f>IF($B213="","",IFERROR(INDEX(pbp_BatTeam,MATCH($B213,pbp_Batter,0)),""))</f>
        <v/>
      </c>
      <c r="D213" s="61" t="str">
        <f>IF($B213="","",IFERROR(INDEX(pbp_BatHand,MATCH($B213,pbp_Batter,0)),""))</f>
        <v/>
      </c>
      <c r="E213" s="42" t="str">
        <f>IF($B213="","",SUMPRODUCT(COUNTIFS(pbp_PlayType,EM_Type,pbp_Batter,$B213)*EM_PA))</f>
        <v/>
      </c>
      <c r="F213" s="42" t="str">
        <f>IF($B213="","",SUMPRODUCT(COUNTIFS(pbp_PlayType,EM_Type,pbp_Batter,$B213)*EM_AB))</f>
        <v/>
      </c>
      <c r="G213" s="42" t="str">
        <f>IF($B213="","",SUMPRODUCT(COUNTIFS(pbp_PlayType,EM_Type,pbp_Batter,$B213)*EM_H))</f>
        <v/>
      </c>
      <c r="H213" s="42" t="str">
        <f>IF($B213="","",SUMPRODUCT(COUNTIFS(pbp_PlayType,EM_Type,pbp_Batter,$B213)*EM_2B))</f>
        <v/>
      </c>
      <c r="I213" s="42" t="str">
        <f>IF($B213="","",SUMPRODUCT(COUNTIFS(pbp_PlayType,EM_Type,pbp_Batter,$B213)*EM_3B))</f>
        <v/>
      </c>
      <c r="J213" s="42" t="str">
        <f>IF($B213="","",SUMPRODUCT(COUNTIFS(pbp_PlayType,EM_Type,pbp_Batter,$B213)*EM_HR))</f>
        <v/>
      </c>
      <c r="K213" s="42" t="str">
        <f>IF($B213="","",SUMPRODUCT(COUNTIFS(pbp_PlayType,EM_Type,pbp_Batter,$B213)*EM_1B))</f>
        <v/>
      </c>
      <c r="L213" s="42" t="str">
        <f>IF($B213="","",SUMPRODUCT(COUNTIFS(pbp_PlayType,EM_Type,pbp_Batter,$B213)*EM_BB))</f>
        <v/>
      </c>
      <c r="M213" s="42" t="str">
        <f>IF($B213="","",SUMPRODUCT(COUNTIFS(pbp_PlayType,EM_Type,pbp_Batter,$B213)*EM_HBP))</f>
        <v/>
      </c>
      <c r="N213" s="42" t="str">
        <f>IF($B213="","",COUNTIFS(pbp_PlayType,"?*",pbp_Desc,"*struck out*",pbp_Batter,$B213))</f>
        <v/>
      </c>
      <c r="O213" s="42" t="str">
        <f>IF($B213="","",SUMPRODUCT(COUNTIFS(pbp_PlayType,EM_Type,pbp_Batter,$B213)*EM_SF))</f>
        <v/>
      </c>
      <c r="P213" s="42" t="str">
        <f>IF($B213="","",SUMIFS(pbp_Runs,pbp_Batter,$B213))</f>
        <v/>
      </c>
      <c r="Q213" s="58" t="str">
        <f t="shared" si="24"/>
        <v/>
      </c>
      <c r="R213" s="58" t="str">
        <f t="shared" si="25"/>
        <v/>
      </c>
      <c r="S213" s="58" t="str">
        <f t="shared" si="26"/>
        <v/>
      </c>
      <c r="T213" s="58" t="str">
        <f t="shared" si="27"/>
        <v/>
      </c>
      <c r="U213" s="58" t="str">
        <f t="shared" si="28"/>
        <v/>
      </c>
      <c r="V213" s="59" t="str">
        <f t="shared" si="29"/>
        <v/>
      </c>
      <c r="W213" s="59" t="str">
        <f t="shared" si="30"/>
        <v/>
      </c>
      <c r="X213" s="60" t="str">
        <f>IF($B213="","",IF((E213)=0,"",(SUMIFS(pbp_Pitches,pbp_Batter,$B213,pbp_PlayType,"?*"))/(E213)))</f>
        <v/>
      </c>
      <c r="Y213" s="42" t="str">
        <f t="shared" si="31"/>
        <v/>
      </c>
      <c r="Z213" s="58" t="str">
        <f>IF($B213="","",IF((SUMPRODUCT(COUNTIFS(pbp_PlayType,EM_Type,pbp_Batter,$B213,pbp_On2B,"?*")*EM_AB)+SUMPRODUCT(COUNTIFS(pbp_PlayType,EM_Type,pbp_Batter,$B213,pbp_On2B,"",pbp_On3B,"?*")*EM_AB))=0,"",(SUMPRODUCT(COUNTIFS(pbp_PlayType,EM_Type,pbp_Batter,$B213,pbp_On2B,"?*")*EM_H)+SUMPRODUCT(COUNTIFS(pbp_PlayType,EM_Type,pbp_Batter,$B213,pbp_On2B,"",pbp_On3B,"?*")*EM_H))/(SUMPRODUCT(COUNTIFS(pbp_PlayType,EM_Type,pbp_Batter,$B213,pbp_On2B,"?*")*EM_AB)+SUMPRODUCT(COUNTIFS(pbp_PlayType,EM_Type,pbp_Batter,$B213,pbp_On2B,"",pbp_On3B,"?*")*EM_AB))))</f>
        <v/>
      </c>
      <c r="AA213" s="62" t="str">
        <f>IF($B213="","",IF(OR(E213&lt;MinPA,T213=""),"",COUNTIFS($E$6:$E$255,"&gt;="&amp;MinPA,$T$6:$T$255,"&gt;"&amp;T213)+COUNTIFS($E$5:E212,"&gt;="&amp;MinPA,$T$5:T212,T213)+1))</f>
        <v/>
      </c>
    </row>
    <row r="214" spans="2:27" x14ac:dyDescent="0.2">
      <c r="B214" s="44" t="str">
        <f t="array" ref="B214">IFERROR(INDEX(pbp_Batter,MATCH(0,COUNTIF($B$5:B213,pbp_Batter)+(pbp_Batter=""),0)),"")</f>
        <v/>
      </c>
      <c r="C214" s="61" t="str">
        <f>IF($B214="","",IFERROR(INDEX(pbp_BatTeam,MATCH($B214,pbp_Batter,0)),""))</f>
        <v/>
      </c>
      <c r="D214" s="61" t="str">
        <f>IF($B214="","",IFERROR(INDEX(pbp_BatHand,MATCH($B214,pbp_Batter,0)),""))</f>
        <v/>
      </c>
      <c r="E214" s="42" t="str">
        <f>IF($B214="","",SUMPRODUCT(COUNTIFS(pbp_PlayType,EM_Type,pbp_Batter,$B214)*EM_PA))</f>
        <v/>
      </c>
      <c r="F214" s="42" t="str">
        <f>IF($B214="","",SUMPRODUCT(COUNTIFS(pbp_PlayType,EM_Type,pbp_Batter,$B214)*EM_AB))</f>
        <v/>
      </c>
      <c r="G214" s="42" t="str">
        <f>IF($B214="","",SUMPRODUCT(COUNTIFS(pbp_PlayType,EM_Type,pbp_Batter,$B214)*EM_H))</f>
        <v/>
      </c>
      <c r="H214" s="42" t="str">
        <f>IF($B214="","",SUMPRODUCT(COUNTIFS(pbp_PlayType,EM_Type,pbp_Batter,$B214)*EM_2B))</f>
        <v/>
      </c>
      <c r="I214" s="42" t="str">
        <f>IF($B214="","",SUMPRODUCT(COUNTIFS(pbp_PlayType,EM_Type,pbp_Batter,$B214)*EM_3B))</f>
        <v/>
      </c>
      <c r="J214" s="42" t="str">
        <f>IF($B214="","",SUMPRODUCT(COUNTIFS(pbp_PlayType,EM_Type,pbp_Batter,$B214)*EM_HR))</f>
        <v/>
      </c>
      <c r="K214" s="42" t="str">
        <f>IF($B214="","",SUMPRODUCT(COUNTIFS(pbp_PlayType,EM_Type,pbp_Batter,$B214)*EM_1B))</f>
        <v/>
      </c>
      <c r="L214" s="42" t="str">
        <f>IF($B214="","",SUMPRODUCT(COUNTIFS(pbp_PlayType,EM_Type,pbp_Batter,$B214)*EM_BB))</f>
        <v/>
      </c>
      <c r="M214" s="42" t="str">
        <f>IF($B214="","",SUMPRODUCT(COUNTIFS(pbp_PlayType,EM_Type,pbp_Batter,$B214)*EM_HBP))</f>
        <v/>
      </c>
      <c r="N214" s="42" t="str">
        <f>IF($B214="","",COUNTIFS(pbp_PlayType,"?*",pbp_Desc,"*struck out*",pbp_Batter,$B214))</f>
        <v/>
      </c>
      <c r="O214" s="42" t="str">
        <f>IF($B214="","",SUMPRODUCT(COUNTIFS(pbp_PlayType,EM_Type,pbp_Batter,$B214)*EM_SF))</f>
        <v/>
      </c>
      <c r="P214" s="42" t="str">
        <f>IF($B214="","",SUMIFS(pbp_Runs,pbp_Batter,$B214))</f>
        <v/>
      </c>
      <c r="Q214" s="58" t="str">
        <f t="shared" si="24"/>
        <v/>
      </c>
      <c r="R214" s="58" t="str">
        <f t="shared" si="25"/>
        <v/>
      </c>
      <c r="S214" s="58" t="str">
        <f t="shared" si="26"/>
        <v/>
      </c>
      <c r="T214" s="58" t="str">
        <f t="shared" si="27"/>
        <v/>
      </c>
      <c r="U214" s="58" t="str">
        <f t="shared" si="28"/>
        <v/>
      </c>
      <c r="V214" s="59" t="str">
        <f t="shared" si="29"/>
        <v/>
      </c>
      <c r="W214" s="59" t="str">
        <f t="shared" si="30"/>
        <v/>
      </c>
      <c r="X214" s="60" t="str">
        <f>IF($B214="","",IF((E214)=0,"",(SUMIFS(pbp_Pitches,pbp_Batter,$B214,pbp_PlayType,"?*"))/(E214)))</f>
        <v/>
      </c>
      <c r="Y214" s="42" t="str">
        <f t="shared" si="31"/>
        <v/>
      </c>
      <c r="Z214" s="58" t="str">
        <f>IF($B214="","",IF((SUMPRODUCT(COUNTIFS(pbp_PlayType,EM_Type,pbp_Batter,$B214,pbp_On2B,"?*")*EM_AB)+SUMPRODUCT(COUNTIFS(pbp_PlayType,EM_Type,pbp_Batter,$B214,pbp_On2B,"",pbp_On3B,"?*")*EM_AB))=0,"",(SUMPRODUCT(COUNTIFS(pbp_PlayType,EM_Type,pbp_Batter,$B214,pbp_On2B,"?*")*EM_H)+SUMPRODUCT(COUNTIFS(pbp_PlayType,EM_Type,pbp_Batter,$B214,pbp_On2B,"",pbp_On3B,"?*")*EM_H))/(SUMPRODUCT(COUNTIFS(pbp_PlayType,EM_Type,pbp_Batter,$B214,pbp_On2B,"?*")*EM_AB)+SUMPRODUCT(COUNTIFS(pbp_PlayType,EM_Type,pbp_Batter,$B214,pbp_On2B,"",pbp_On3B,"?*")*EM_AB))))</f>
        <v/>
      </c>
      <c r="AA214" s="62" t="str">
        <f>IF($B214="","",IF(OR(E214&lt;MinPA,T214=""),"",COUNTIFS($E$6:$E$255,"&gt;="&amp;MinPA,$T$6:$T$255,"&gt;"&amp;T214)+COUNTIFS($E$5:E213,"&gt;="&amp;MinPA,$T$5:T213,T214)+1))</f>
        <v/>
      </c>
    </row>
    <row r="215" spans="2:27" x14ac:dyDescent="0.2">
      <c r="B215" s="44" t="str">
        <f t="array" ref="B215">IFERROR(INDEX(pbp_Batter,MATCH(0,COUNTIF($B$5:B214,pbp_Batter)+(pbp_Batter=""),0)),"")</f>
        <v/>
      </c>
      <c r="C215" s="61" t="str">
        <f>IF($B215="","",IFERROR(INDEX(pbp_BatTeam,MATCH($B215,pbp_Batter,0)),""))</f>
        <v/>
      </c>
      <c r="D215" s="61" t="str">
        <f>IF($B215="","",IFERROR(INDEX(pbp_BatHand,MATCH($B215,pbp_Batter,0)),""))</f>
        <v/>
      </c>
      <c r="E215" s="42" t="str">
        <f>IF($B215="","",SUMPRODUCT(COUNTIFS(pbp_PlayType,EM_Type,pbp_Batter,$B215)*EM_PA))</f>
        <v/>
      </c>
      <c r="F215" s="42" t="str">
        <f>IF($B215="","",SUMPRODUCT(COUNTIFS(pbp_PlayType,EM_Type,pbp_Batter,$B215)*EM_AB))</f>
        <v/>
      </c>
      <c r="G215" s="42" t="str">
        <f>IF($B215="","",SUMPRODUCT(COUNTIFS(pbp_PlayType,EM_Type,pbp_Batter,$B215)*EM_H))</f>
        <v/>
      </c>
      <c r="H215" s="42" t="str">
        <f>IF($B215="","",SUMPRODUCT(COUNTIFS(pbp_PlayType,EM_Type,pbp_Batter,$B215)*EM_2B))</f>
        <v/>
      </c>
      <c r="I215" s="42" t="str">
        <f>IF($B215="","",SUMPRODUCT(COUNTIFS(pbp_PlayType,EM_Type,pbp_Batter,$B215)*EM_3B))</f>
        <v/>
      </c>
      <c r="J215" s="42" t="str">
        <f>IF($B215="","",SUMPRODUCT(COUNTIFS(pbp_PlayType,EM_Type,pbp_Batter,$B215)*EM_HR))</f>
        <v/>
      </c>
      <c r="K215" s="42" t="str">
        <f>IF($B215="","",SUMPRODUCT(COUNTIFS(pbp_PlayType,EM_Type,pbp_Batter,$B215)*EM_1B))</f>
        <v/>
      </c>
      <c r="L215" s="42" t="str">
        <f>IF($B215="","",SUMPRODUCT(COUNTIFS(pbp_PlayType,EM_Type,pbp_Batter,$B215)*EM_BB))</f>
        <v/>
      </c>
      <c r="M215" s="42" t="str">
        <f>IF($B215="","",SUMPRODUCT(COUNTIFS(pbp_PlayType,EM_Type,pbp_Batter,$B215)*EM_HBP))</f>
        <v/>
      </c>
      <c r="N215" s="42" t="str">
        <f>IF($B215="","",COUNTIFS(pbp_PlayType,"?*",pbp_Desc,"*struck out*",pbp_Batter,$B215))</f>
        <v/>
      </c>
      <c r="O215" s="42" t="str">
        <f>IF($B215="","",SUMPRODUCT(COUNTIFS(pbp_PlayType,EM_Type,pbp_Batter,$B215)*EM_SF))</f>
        <v/>
      </c>
      <c r="P215" s="42" t="str">
        <f>IF($B215="","",SUMIFS(pbp_Runs,pbp_Batter,$B215))</f>
        <v/>
      </c>
      <c r="Q215" s="58" t="str">
        <f t="shared" si="24"/>
        <v/>
      </c>
      <c r="R215" s="58" t="str">
        <f t="shared" si="25"/>
        <v/>
      </c>
      <c r="S215" s="58" t="str">
        <f t="shared" si="26"/>
        <v/>
      </c>
      <c r="T215" s="58" t="str">
        <f t="shared" si="27"/>
        <v/>
      </c>
      <c r="U215" s="58" t="str">
        <f t="shared" si="28"/>
        <v/>
      </c>
      <c r="V215" s="59" t="str">
        <f t="shared" si="29"/>
        <v/>
      </c>
      <c r="W215" s="59" t="str">
        <f t="shared" si="30"/>
        <v/>
      </c>
      <c r="X215" s="60" t="str">
        <f>IF($B215="","",IF((E215)=0,"",(SUMIFS(pbp_Pitches,pbp_Batter,$B215,pbp_PlayType,"?*"))/(E215)))</f>
        <v/>
      </c>
      <c r="Y215" s="42" t="str">
        <f t="shared" si="31"/>
        <v/>
      </c>
      <c r="Z215" s="58" t="str">
        <f>IF($B215="","",IF((SUMPRODUCT(COUNTIFS(pbp_PlayType,EM_Type,pbp_Batter,$B215,pbp_On2B,"?*")*EM_AB)+SUMPRODUCT(COUNTIFS(pbp_PlayType,EM_Type,pbp_Batter,$B215,pbp_On2B,"",pbp_On3B,"?*")*EM_AB))=0,"",(SUMPRODUCT(COUNTIFS(pbp_PlayType,EM_Type,pbp_Batter,$B215,pbp_On2B,"?*")*EM_H)+SUMPRODUCT(COUNTIFS(pbp_PlayType,EM_Type,pbp_Batter,$B215,pbp_On2B,"",pbp_On3B,"?*")*EM_H))/(SUMPRODUCT(COUNTIFS(pbp_PlayType,EM_Type,pbp_Batter,$B215,pbp_On2B,"?*")*EM_AB)+SUMPRODUCT(COUNTIFS(pbp_PlayType,EM_Type,pbp_Batter,$B215,pbp_On2B,"",pbp_On3B,"?*")*EM_AB))))</f>
        <v/>
      </c>
      <c r="AA215" s="62" t="str">
        <f>IF($B215="","",IF(OR(E215&lt;MinPA,T215=""),"",COUNTIFS($E$6:$E$255,"&gt;="&amp;MinPA,$T$6:$T$255,"&gt;"&amp;T215)+COUNTIFS($E$5:E214,"&gt;="&amp;MinPA,$T$5:T214,T215)+1))</f>
        <v/>
      </c>
    </row>
    <row r="216" spans="2:27" x14ac:dyDescent="0.2">
      <c r="B216" s="44" t="str">
        <f t="array" ref="B216">IFERROR(INDEX(pbp_Batter,MATCH(0,COUNTIF($B$5:B215,pbp_Batter)+(pbp_Batter=""),0)),"")</f>
        <v/>
      </c>
      <c r="C216" s="61" t="str">
        <f>IF($B216="","",IFERROR(INDEX(pbp_BatTeam,MATCH($B216,pbp_Batter,0)),""))</f>
        <v/>
      </c>
      <c r="D216" s="61" t="str">
        <f>IF($B216="","",IFERROR(INDEX(pbp_BatHand,MATCH($B216,pbp_Batter,0)),""))</f>
        <v/>
      </c>
      <c r="E216" s="42" t="str">
        <f>IF($B216="","",SUMPRODUCT(COUNTIFS(pbp_PlayType,EM_Type,pbp_Batter,$B216)*EM_PA))</f>
        <v/>
      </c>
      <c r="F216" s="42" t="str">
        <f>IF($B216="","",SUMPRODUCT(COUNTIFS(pbp_PlayType,EM_Type,pbp_Batter,$B216)*EM_AB))</f>
        <v/>
      </c>
      <c r="G216" s="42" t="str">
        <f>IF($B216="","",SUMPRODUCT(COUNTIFS(pbp_PlayType,EM_Type,pbp_Batter,$B216)*EM_H))</f>
        <v/>
      </c>
      <c r="H216" s="42" t="str">
        <f>IF($B216="","",SUMPRODUCT(COUNTIFS(pbp_PlayType,EM_Type,pbp_Batter,$B216)*EM_2B))</f>
        <v/>
      </c>
      <c r="I216" s="42" t="str">
        <f>IF($B216="","",SUMPRODUCT(COUNTIFS(pbp_PlayType,EM_Type,pbp_Batter,$B216)*EM_3B))</f>
        <v/>
      </c>
      <c r="J216" s="42" t="str">
        <f>IF($B216="","",SUMPRODUCT(COUNTIFS(pbp_PlayType,EM_Type,pbp_Batter,$B216)*EM_HR))</f>
        <v/>
      </c>
      <c r="K216" s="42" t="str">
        <f>IF($B216="","",SUMPRODUCT(COUNTIFS(pbp_PlayType,EM_Type,pbp_Batter,$B216)*EM_1B))</f>
        <v/>
      </c>
      <c r="L216" s="42" t="str">
        <f>IF($B216="","",SUMPRODUCT(COUNTIFS(pbp_PlayType,EM_Type,pbp_Batter,$B216)*EM_BB))</f>
        <v/>
      </c>
      <c r="M216" s="42" t="str">
        <f>IF($B216="","",SUMPRODUCT(COUNTIFS(pbp_PlayType,EM_Type,pbp_Batter,$B216)*EM_HBP))</f>
        <v/>
      </c>
      <c r="N216" s="42" t="str">
        <f>IF($B216="","",COUNTIFS(pbp_PlayType,"?*",pbp_Desc,"*struck out*",pbp_Batter,$B216))</f>
        <v/>
      </c>
      <c r="O216" s="42" t="str">
        <f>IF($B216="","",SUMPRODUCT(COUNTIFS(pbp_PlayType,EM_Type,pbp_Batter,$B216)*EM_SF))</f>
        <v/>
      </c>
      <c r="P216" s="42" t="str">
        <f>IF($B216="","",SUMIFS(pbp_Runs,pbp_Batter,$B216))</f>
        <v/>
      </c>
      <c r="Q216" s="58" t="str">
        <f t="shared" si="24"/>
        <v/>
      </c>
      <c r="R216" s="58" t="str">
        <f t="shared" si="25"/>
        <v/>
      </c>
      <c r="S216" s="58" t="str">
        <f t="shared" si="26"/>
        <v/>
      </c>
      <c r="T216" s="58" t="str">
        <f t="shared" si="27"/>
        <v/>
      </c>
      <c r="U216" s="58" t="str">
        <f t="shared" si="28"/>
        <v/>
      </c>
      <c r="V216" s="59" t="str">
        <f t="shared" si="29"/>
        <v/>
      </c>
      <c r="W216" s="59" t="str">
        <f t="shared" si="30"/>
        <v/>
      </c>
      <c r="X216" s="60" t="str">
        <f>IF($B216="","",IF((E216)=0,"",(SUMIFS(pbp_Pitches,pbp_Batter,$B216,pbp_PlayType,"?*"))/(E216)))</f>
        <v/>
      </c>
      <c r="Y216" s="42" t="str">
        <f t="shared" si="31"/>
        <v/>
      </c>
      <c r="Z216" s="58" t="str">
        <f>IF($B216="","",IF((SUMPRODUCT(COUNTIFS(pbp_PlayType,EM_Type,pbp_Batter,$B216,pbp_On2B,"?*")*EM_AB)+SUMPRODUCT(COUNTIFS(pbp_PlayType,EM_Type,pbp_Batter,$B216,pbp_On2B,"",pbp_On3B,"?*")*EM_AB))=0,"",(SUMPRODUCT(COUNTIFS(pbp_PlayType,EM_Type,pbp_Batter,$B216,pbp_On2B,"?*")*EM_H)+SUMPRODUCT(COUNTIFS(pbp_PlayType,EM_Type,pbp_Batter,$B216,pbp_On2B,"",pbp_On3B,"?*")*EM_H))/(SUMPRODUCT(COUNTIFS(pbp_PlayType,EM_Type,pbp_Batter,$B216,pbp_On2B,"?*")*EM_AB)+SUMPRODUCT(COUNTIFS(pbp_PlayType,EM_Type,pbp_Batter,$B216,pbp_On2B,"",pbp_On3B,"?*")*EM_AB))))</f>
        <v/>
      </c>
      <c r="AA216" s="62" t="str">
        <f>IF($B216="","",IF(OR(E216&lt;MinPA,T216=""),"",COUNTIFS($E$6:$E$255,"&gt;="&amp;MinPA,$T$6:$T$255,"&gt;"&amp;T216)+COUNTIFS($E$5:E215,"&gt;="&amp;MinPA,$T$5:T215,T216)+1))</f>
        <v/>
      </c>
    </row>
    <row r="217" spans="2:27" x14ac:dyDescent="0.2">
      <c r="B217" s="44" t="str">
        <f t="array" ref="B217">IFERROR(INDEX(pbp_Batter,MATCH(0,COUNTIF($B$5:B216,pbp_Batter)+(pbp_Batter=""),0)),"")</f>
        <v/>
      </c>
      <c r="C217" s="61" t="str">
        <f>IF($B217="","",IFERROR(INDEX(pbp_BatTeam,MATCH($B217,pbp_Batter,0)),""))</f>
        <v/>
      </c>
      <c r="D217" s="61" t="str">
        <f>IF($B217="","",IFERROR(INDEX(pbp_BatHand,MATCH($B217,pbp_Batter,0)),""))</f>
        <v/>
      </c>
      <c r="E217" s="42" t="str">
        <f>IF($B217="","",SUMPRODUCT(COUNTIFS(pbp_PlayType,EM_Type,pbp_Batter,$B217)*EM_PA))</f>
        <v/>
      </c>
      <c r="F217" s="42" t="str">
        <f>IF($B217="","",SUMPRODUCT(COUNTIFS(pbp_PlayType,EM_Type,pbp_Batter,$B217)*EM_AB))</f>
        <v/>
      </c>
      <c r="G217" s="42" t="str">
        <f>IF($B217="","",SUMPRODUCT(COUNTIFS(pbp_PlayType,EM_Type,pbp_Batter,$B217)*EM_H))</f>
        <v/>
      </c>
      <c r="H217" s="42" t="str">
        <f>IF($B217="","",SUMPRODUCT(COUNTIFS(pbp_PlayType,EM_Type,pbp_Batter,$B217)*EM_2B))</f>
        <v/>
      </c>
      <c r="I217" s="42" t="str">
        <f>IF($B217="","",SUMPRODUCT(COUNTIFS(pbp_PlayType,EM_Type,pbp_Batter,$B217)*EM_3B))</f>
        <v/>
      </c>
      <c r="J217" s="42" t="str">
        <f>IF($B217="","",SUMPRODUCT(COUNTIFS(pbp_PlayType,EM_Type,pbp_Batter,$B217)*EM_HR))</f>
        <v/>
      </c>
      <c r="K217" s="42" t="str">
        <f>IF($B217="","",SUMPRODUCT(COUNTIFS(pbp_PlayType,EM_Type,pbp_Batter,$B217)*EM_1B))</f>
        <v/>
      </c>
      <c r="L217" s="42" t="str">
        <f>IF($B217="","",SUMPRODUCT(COUNTIFS(pbp_PlayType,EM_Type,pbp_Batter,$B217)*EM_BB))</f>
        <v/>
      </c>
      <c r="M217" s="42" t="str">
        <f>IF($B217="","",SUMPRODUCT(COUNTIFS(pbp_PlayType,EM_Type,pbp_Batter,$B217)*EM_HBP))</f>
        <v/>
      </c>
      <c r="N217" s="42" t="str">
        <f>IF($B217="","",COUNTIFS(pbp_PlayType,"?*",pbp_Desc,"*struck out*",pbp_Batter,$B217))</f>
        <v/>
      </c>
      <c r="O217" s="42" t="str">
        <f>IF($B217="","",SUMPRODUCT(COUNTIFS(pbp_PlayType,EM_Type,pbp_Batter,$B217)*EM_SF))</f>
        <v/>
      </c>
      <c r="P217" s="42" t="str">
        <f>IF($B217="","",SUMIFS(pbp_Runs,pbp_Batter,$B217))</f>
        <v/>
      </c>
      <c r="Q217" s="58" t="str">
        <f t="shared" si="24"/>
        <v/>
      </c>
      <c r="R217" s="58" t="str">
        <f t="shared" si="25"/>
        <v/>
      </c>
      <c r="S217" s="58" t="str">
        <f t="shared" si="26"/>
        <v/>
      </c>
      <c r="T217" s="58" t="str">
        <f t="shared" si="27"/>
        <v/>
      </c>
      <c r="U217" s="58" t="str">
        <f t="shared" si="28"/>
        <v/>
      </c>
      <c r="V217" s="59" t="str">
        <f t="shared" si="29"/>
        <v/>
      </c>
      <c r="W217" s="59" t="str">
        <f t="shared" si="30"/>
        <v/>
      </c>
      <c r="X217" s="60" t="str">
        <f>IF($B217="","",IF((E217)=0,"",(SUMIFS(pbp_Pitches,pbp_Batter,$B217,pbp_PlayType,"?*"))/(E217)))</f>
        <v/>
      </c>
      <c r="Y217" s="42" t="str">
        <f t="shared" si="31"/>
        <v/>
      </c>
      <c r="Z217" s="58" t="str">
        <f>IF($B217="","",IF((SUMPRODUCT(COUNTIFS(pbp_PlayType,EM_Type,pbp_Batter,$B217,pbp_On2B,"?*")*EM_AB)+SUMPRODUCT(COUNTIFS(pbp_PlayType,EM_Type,pbp_Batter,$B217,pbp_On2B,"",pbp_On3B,"?*")*EM_AB))=0,"",(SUMPRODUCT(COUNTIFS(pbp_PlayType,EM_Type,pbp_Batter,$B217,pbp_On2B,"?*")*EM_H)+SUMPRODUCT(COUNTIFS(pbp_PlayType,EM_Type,pbp_Batter,$B217,pbp_On2B,"",pbp_On3B,"?*")*EM_H))/(SUMPRODUCT(COUNTIFS(pbp_PlayType,EM_Type,pbp_Batter,$B217,pbp_On2B,"?*")*EM_AB)+SUMPRODUCT(COUNTIFS(pbp_PlayType,EM_Type,pbp_Batter,$B217,pbp_On2B,"",pbp_On3B,"?*")*EM_AB))))</f>
        <v/>
      </c>
      <c r="AA217" s="62" t="str">
        <f>IF($B217="","",IF(OR(E217&lt;MinPA,T217=""),"",COUNTIFS($E$6:$E$255,"&gt;="&amp;MinPA,$T$6:$T$255,"&gt;"&amp;T217)+COUNTIFS($E$5:E216,"&gt;="&amp;MinPA,$T$5:T216,T217)+1))</f>
        <v/>
      </c>
    </row>
    <row r="218" spans="2:27" x14ac:dyDescent="0.2">
      <c r="B218" s="44" t="str">
        <f t="array" ref="B218">IFERROR(INDEX(pbp_Batter,MATCH(0,COUNTIF($B$5:B217,pbp_Batter)+(pbp_Batter=""),0)),"")</f>
        <v/>
      </c>
      <c r="C218" s="61" t="str">
        <f>IF($B218="","",IFERROR(INDEX(pbp_BatTeam,MATCH($B218,pbp_Batter,0)),""))</f>
        <v/>
      </c>
      <c r="D218" s="61" t="str">
        <f>IF($B218="","",IFERROR(INDEX(pbp_BatHand,MATCH($B218,pbp_Batter,0)),""))</f>
        <v/>
      </c>
      <c r="E218" s="42" t="str">
        <f>IF($B218="","",SUMPRODUCT(COUNTIFS(pbp_PlayType,EM_Type,pbp_Batter,$B218)*EM_PA))</f>
        <v/>
      </c>
      <c r="F218" s="42" t="str">
        <f>IF($B218="","",SUMPRODUCT(COUNTIFS(pbp_PlayType,EM_Type,pbp_Batter,$B218)*EM_AB))</f>
        <v/>
      </c>
      <c r="G218" s="42" t="str">
        <f>IF($B218="","",SUMPRODUCT(COUNTIFS(pbp_PlayType,EM_Type,pbp_Batter,$B218)*EM_H))</f>
        <v/>
      </c>
      <c r="H218" s="42" t="str">
        <f>IF($B218="","",SUMPRODUCT(COUNTIFS(pbp_PlayType,EM_Type,pbp_Batter,$B218)*EM_2B))</f>
        <v/>
      </c>
      <c r="I218" s="42" t="str">
        <f>IF($B218="","",SUMPRODUCT(COUNTIFS(pbp_PlayType,EM_Type,pbp_Batter,$B218)*EM_3B))</f>
        <v/>
      </c>
      <c r="J218" s="42" t="str">
        <f>IF($B218="","",SUMPRODUCT(COUNTIFS(pbp_PlayType,EM_Type,pbp_Batter,$B218)*EM_HR))</f>
        <v/>
      </c>
      <c r="K218" s="42" t="str">
        <f>IF($B218="","",SUMPRODUCT(COUNTIFS(pbp_PlayType,EM_Type,pbp_Batter,$B218)*EM_1B))</f>
        <v/>
      </c>
      <c r="L218" s="42" t="str">
        <f>IF($B218="","",SUMPRODUCT(COUNTIFS(pbp_PlayType,EM_Type,pbp_Batter,$B218)*EM_BB))</f>
        <v/>
      </c>
      <c r="M218" s="42" t="str">
        <f>IF($B218="","",SUMPRODUCT(COUNTIFS(pbp_PlayType,EM_Type,pbp_Batter,$B218)*EM_HBP))</f>
        <v/>
      </c>
      <c r="N218" s="42" t="str">
        <f>IF($B218="","",COUNTIFS(pbp_PlayType,"?*",pbp_Desc,"*struck out*",pbp_Batter,$B218))</f>
        <v/>
      </c>
      <c r="O218" s="42" t="str">
        <f>IF($B218="","",SUMPRODUCT(COUNTIFS(pbp_PlayType,EM_Type,pbp_Batter,$B218)*EM_SF))</f>
        <v/>
      </c>
      <c r="P218" s="42" t="str">
        <f>IF($B218="","",SUMIFS(pbp_Runs,pbp_Batter,$B218))</f>
        <v/>
      </c>
      <c r="Q218" s="58" t="str">
        <f t="shared" si="24"/>
        <v/>
      </c>
      <c r="R218" s="58" t="str">
        <f t="shared" si="25"/>
        <v/>
      </c>
      <c r="S218" s="58" t="str">
        <f t="shared" si="26"/>
        <v/>
      </c>
      <c r="T218" s="58" t="str">
        <f t="shared" si="27"/>
        <v/>
      </c>
      <c r="U218" s="58" t="str">
        <f t="shared" si="28"/>
        <v/>
      </c>
      <c r="V218" s="59" t="str">
        <f t="shared" si="29"/>
        <v/>
      </c>
      <c r="W218" s="59" t="str">
        <f t="shared" si="30"/>
        <v/>
      </c>
      <c r="X218" s="60" t="str">
        <f>IF($B218="","",IF((E218)=0,"",(SUMIFS(pbp_Pitches,pbp_Batter,$B218,pbp_PlayType,"?*"))/(E218)))</f>
        <v/>
      </c>
      <c r="Y218" s="42" t="str">
        <f t="shared" si="31"/>
        <v/>
      </c>
      <c r="Z218" s="58" t="str">
        <f>IF($B218="","",IF((SUMPRODUCT(COUNTIFS(pbp_PlayType,EM_Type,pbp_Batter,$B218,pbp_On2B,"?*")*EM_AB)+SUMPRODUCT(COUNTIFS(pbp_PlayType,EM_Type,pbp_Batter,$B218,pbp_On2B,"",pbp_On3B,"?*")*EM_AB))=0,"",(SUMPRODUCT(COUNTIFS(pbp_PlayType,EM_Type,pbp_Batter,$B218,pbp_On2B,"?*")*EM_H)+SUMPRODUCT(COUNTIFS(pbp_PlayType,EM_Type,pbp_Batter,$B218,pbp_On2B,"",pbp_On3B,"?*")*EM_H))/(SUMPRODUCT(COUNTIFS(pbp_PlayType,EM_Type,pbp_Batter,$B218,pbp_On2B,"?*")*EM_AB)+SUMPRODUCT(COUNTIFS(pbp_PlayType,EM_Type,pbp_Batter,$B218,pbp_On2B,"",pbp_On3B,"?*")*EM_AB))))</f>
        <v/>
      </c>
      <c r="AA218" s="62" t="str">
        <f>IF($B218="","",IF(OR(E218&lt;MinPA,T218=""),"",COUNTIFS($E$6:$E$255,"&gt;="&amp;MinPA,$T$6:$T$255,"&gt;"&amp;T218)+COUNTIFS($E$5:E217,"&gt;="&amp;MinPA,$T$5:T217,T218)+1))</f>
        <v/>
      </c>
    </row>
    <row r="219" spans="2:27" x14ac:dyDescent="0.2">
      <c r="B219" s="44" t="str">
        <f t="array" ref="B219">IFERROR(INDEX(pbp_Batter,MATCH(0,COUNTIF($B$5:B218,pbp_Batter)+(pbp_Batter=""),0)),"")</f>
        <v/>
      </c>
      <c r="C219" s="61" t="str">
        <f>IF($B219="","",IFERROR(INDEX(pbp_BatTeam,MATCH($B219,pbp_Batter,0)),""))</f>
        <v/>
      </c>
      <c r="D219" s="61" t="str">
        <f>IF($B219="","",IFERROR(INDEX(pbp_BatHand,MATCH($B219,pbp_Batter,0)),""))</f>
        <v/>
      </c>
      <c r="E219" s="42" t="str">
        <f>IF($B219="","",SUMPRODUCT(COUNTIFS(pbp_PlayType,EM_Type,pbp_Batter,$B219)*EM_PA))</f>
        <v/>
      </c>
      <c r="F219" s="42" t="str">
        <f>IF($B219="","",SUMPRODUCT(COUNTIFS(pbp_PlayType,EM_Type,pbp_Batter,$B219)*EM_AB))</f>
        <v/>
      </c>
      <c r="G219" s="42" t="str">
        <f>IF($B219="","",SUMPRODUCT(COUNTIFS(pbp_PlayType,EM_Type,pbp_Batter,$B219)*EM_H))</f>
        <v/>
      </c>
      <c r="H219" s="42" t="str">
        <f>IF($B219="","",SUMPRODUCT(COUNTIFS(pbp_PlayType,EM_Type,pbp_Batter,$B219)*EM_2B))</f>
        <v/>
      </c>
      <c r="I219" s="42" t="str">
        <f>IF($B219="","",SUMPRODUCT(COUNTIFS(pbp_PlayType,EM_Type,pbp_Batter,$B219)*EM_3B))</f>
        <v/>
      </c>
      <c r="J219" s="42" t="str">
        <f>IF($B219="","",SUMPRODUCT(COUNTIFS(pbp_PlayType,EM_Type,pbp_Batter,$B219)*EM_HR))</f>
        <v/>
      </c>
      <c r="K219" s="42" t="str">
        <f>IF($B219="","",SUMPRODUCT(COUNTIFS(pbp_PlayType,EM_Type,pbp_Batter,$B219)*EM_1B))</f>
        <v/>
      </c>
      <c r="L219" s="42" t="str">
        <f>IF($B219="","",SUMPRODUCT(COUNTIFS(pbp_PlayType,EM_Type,pbp_Batter,$B219)*EM_BB))</f>
        <v/>
      </c>
      <c r="M219" s="42" t="str">
        <f>IF($B219="","",SUMPRODUCT(COUNTIFS(pbp_PlayType,EM_Type,pbp_Batter,$B219)*EM_HBP))</f>
        <v/>
      </c>
      <c r="N219" s="42" t="str">
        <f>IF($B219="","",COUNTIFS(pbp_PlayType,"?*",pbp_Desc,"*struck out*",pbp_Batter,$B219))</f>
        <v/>
      </c>
      <c r="O219" s="42" t="str">
        <f>IF($B219="","",SUMPRODUCT(COUNTIFS(pbp_PlayType,EM_Type,pbp_Batter,$B219)*EM_SF))</f>
        <v/>
      </c>
      <c r="P219" s="42" t="str">
        <f>IF($B219="","",SUMIFS(pbp_Runs,pbp_Batter,$B219))</f>
        <v/>
      </c>
      <c r="Q219" s="58" t="str">
        <f t="shared" si="24"/>
        <v/>
      </c>
      <c r="R219" s="58" t="str">
        <f t="shared" si="25"/>
        <v/>
      </c>
      <c r="S219" s="58" t="str">
        <f t="shared" si="26"/>
        <v/>
      </c>
      <c r="T219" s="58" t="str">
        <f t="shared" si="27"/>
        <v/>
      </c>
      <c r="U219" s="58" t="str">
        <f t="shared" si="28"/>
        <v/>
      </c>
      <c r="V219" s="59" t="str">
        <f t="shared" si="29"/>
        <v/>
      </c>
      <c r="W219" s="59" t="str">
        <f t="shared" si="30"/>
        <v/>
      </c>
      <c r="X219" s="60" t="str">
        <f>IF($B219="","",IF((E219)=0,"",(SUMIFS(pbp_Pitches,pbp_Batter,$B219,pbp_PlayType,"?*"))/(E219)))</f>
        <v/>
      </c>
      <c r="Y219" s="42" t="str">
        <f t="shared" si="31"/>
        <v/>
      </c>
      <c r="Z219" s="58" t="str">
        <f>IF($B219="","",IF((SUMPRODUCT(COUNTIFS(pbp_PlayType,EM_Type,pbp_Batter,$B219,pbp_On2B,"?*")*EM_AB)+SUMPRODUCT(COUNTIFS(pbp_PlayType,EM_Type,pbp_Batter,$B219,pbp_On2B,"",pbp_On3B,"?*")*EM_AB))=0,"",(SUMPRODUCT(COUNTIFS(pbp_PlayType,EM_Type,pbp_Batter,$B219,pbp_On2B,"?*")*EM_H)+SUMPRODUCT(COUNTIFS(pbp_PlayType,EM_Type,pbp_Batter,$B219,pbp_On2B,"",pbp_On3B,"?*")*EM_H))/(SUMPRODUCT(COUNTIFS(pbp_PlayType,EM_Type,pbp_Batter,$B219,pbp_On2B,"?*")*EM_AB)+SUMPRODUCT(COUNTIFS(pbp_PlayType,EM_Type,pbp_Batter,$B219,pbp_On2B,"",pbp_On3B,"?*")*EM_AB))))</f>
        <v/>
      </c>
      <c r="AA219" s="62" t="str">
        <f>IF($B219="","",IF(OR(E219&lt;MinPA,T219=""),"",COUNTIFS($E$6:$E$255,"&gt;="&amp;MinPA,$T$6:$T$255,"&gt;"&amp;T219)+COUNTIFS($E$5:E218,"&gt;="&amp;MinPA,$T$5:T218,T219)+1))</f>
        <v/>
      </c>
    </row>
    <row r="220" spans="2:27" x14ac:dyDescent="0.2">
      <c r="B220" s="44" t="str">
        <f t="array" ref="B220">IFERROR(INDEX(pbp_Batter,MATCH(0,COUNTIF($B$5:B219,pbp_Batter)+(pbp_Batter=""),0)),"")</f>
        <v/>
      </c>
      <c r="C220" s="61" t="str">
        <f>IF($B220="","",IFERROR(INDEX(pbp_BatTeam,MATCH($B220,pbp_Batter,0)),""))</f>
        <v/>
      </c>
      <c r="D220" s="61" t="str">
        <f>IF($B220="","",IFERROR(INDEX(pbp_BatHand,MATCH($B220,pbp_Batter,0)),""))</f>
        <v/>
      </c>
      <c r="E220" s="42" t="str">
        <f>IF($B220="","",SUMPRODUCT(COUNTIFS(pbp_PlayType,EM_Type,pbp_Batter,$B220)*EM_PA))</f>
        <v/>
      </c>
      <c r="F220" s="42" t="str">
        <f>IF($B220="","",SUMPRODUCT(COUNTIFS(pbp_PlayType,EM_Type,pbp_Batter,$B220)*EM_AB))</f>
        <v/>
      </c>
      <c r="G220" s="42" t="str">
        <f>IF($B220="","",SUMPRODUCT(COUNTIFS(pbp_PlayType,EM_Type,pbp_Batter,$B220)*EM_H))</f>
        <v/>
      </c>
      <c r="H220" s="42" t="str">
        <f>IF($B220="","",SUMPRODUCT(COUNTIFS(pbp_PlayType,EM_Type,pbp_Batter,$B220)*EM_2B))</f>
        <v/>
      </c>
      <c r="I220" s="42" t="str">
        <f>IF($B220="","",SUMPRODUCT(COUNTIFS(pbp_PlayType,EM_Type,pbp_Batter,$B220)*EM_3B))</f>
        <v/>
      </c>
      <c r="J220" s="42" t="str">
        <f>IF($B220="","",SUMPRODUCT(COUNTIFS(pbp_PlayType,EM_Type,pbp_Batter,$B220)*EM_HR))</f>
        <v/>
      </c>
      <c r="K220" s="42" t="str">
        <f>IF($B220="","",SUMPRODUCT(COUNTIFS(pbp_PlayType,EM_Type,pbp_Batter,$B220)*EM_1B))</f>
        <v/>
      </c>
      <c r="L220" s="42" t="str">
        <f>IF($B220="","",SUMPRODUCT(COUNTIFS(pbp_PlayType,EM_Type,pbp_Batter,$B220)*EM_BB))</f>
        <v/>
      </c>
      <c r="M220" s="42" t="str">
        <f>IF($B220="","",SUMPRODUCT(COUNTIFS(pbp_PlayType,EM_Type,pbp_Batter,$B220)*EM_HBP))</f>
        <v/>
      </c>
      <c r="N220" s="42" t="str">
        <f>IF($B220="","",COUNTIFS(pbp_PlayType,"?*",pbp_Desc,"*struck out*",pbp_Batter,$B220))</f>
        <v/>
      </c>
      <c r="O220" s="42" t="str">
        <f>IF($B220="","",SUMPRODUCT(COUNTIFS(pbp_PlayType,EM_Type,pbp_Batter,$B220)*EM_SF))</f>
        <v/>
      </c>
      <c r="P220" s="42" t="str">
        <f>IF($B220="","",SUMIFS(pbp_Runs,pbp_Batter,$B220))</f>
        <v/>
      </c>
      <c r="Q220" s="58" t="str">
        <f t="shared" si="24"/>
        <v/>
      </c>
      <c r="R220" s="58" t="str">
        <f t="shared" si="25"/>
        <v/>
      </c>
      <c r="S220" s="58" t="str">
        <f t="shared" si="26"/>
        <v/>
      </c>
      <c r="T220" s="58" t="str">
        <f t="shared" si="27"/>
        <v/>
      </c>
      <c r="U220" s="58" t="str">
        <f t="shared" si="28"/>
        <v/>
      </c>
      <c r="V220" s="59" t="str">
        <f t="shared" si="29"/>
        <v/>
      </c>
      <c r="W220" s="59" t="str">
        <f t="shared" si="30"/>
        <v/>
      </c>
      <c r="X220" s="60" t="str">
        <f>IF($B220="","",IF((E220)=0,"",(SUMIFS(pbp_Pitches,pbp_Batter,$B220,pbp_PlayType,"?*"))/(E220)))</f>
        <v/>
      </c>
      <c r="Y220" s="42" t="str">
        <f t="shared" si="31"/>
        <v/>
      </c>
      <c r="Z220" s="58" t="str">
        <f>IF($B220="","",IF((SUMPRODUCT(COUNTIFS(pbp_PlayType,EM_Type,pbp_Batter,$B220,pbp_On2B,"?*")*EM_AB)+SUMPRODUCT(COUNTIFS(pbp_PlayType,EM_Type,pbp_Batter,$B220,pbp_On2B,"",pbp_On3B,"?*")*EM_AB))=0,"",(SUMPRODUCT(COUNTIFS(pbp_PlayType,EM_Type,pbp_Batter,$B220,pbp_On2B,"?*")*EM_H)+SUMPRODUCT(COUNTIFS(pbp_PlayType,EM_Type,pbp_Batter,$B220,pbp_On2B,"",pbp_On3B,"?*")*EM_H))/(SUMPRODUCT(COUNTIFS(pbp_PlayType,EM_Type,pbp_Batter,$B220,pbp_On2B,"?*")*EM_AB)+SUMPRODUCT(COUNTIFS(pbp_PlayType,EM_Type,pbp_Batter,$B220,pbp_On2B,"",pbp_On3B,"?*")*EM_AB))))</f>
        <v/>
      </c>
      <c r="AA220" s="62" t="str">
        <f>IF($B220="","",IF(OR(E220&lt;MinPA,T220=""),"",COUNTIFS($E$6:$E$255,"&gt;="&amp;MinPA,$T$6:$T$255,"&gt;"&amp;T220)+COUNTIFS($E$5:E219,"&gt;="&amp;MinPA,$T$5:T219,T220)+1))</f>
        <v/>
      </c>
    </row>
    <row r="221" spans="2:27" x14ac:dyDescent="0.2">
      <c r="B221" s="44" t="str">
        <f t="array" ref="B221">IFERROR(INDEX(pbp_Batter,MATCH(0,COUNTIF($B$5:B220,pbp_Batter)+(pbp_Batter=""),0)),"")</f>
        <v/>
      </c>
      <c r="C221" s="61" t="str">
        <f>IF($B221="","",IFERROR(INDEX(pbp_BatTeam,MATCH($B221,pbp_Batter,0)),""))</f>
        <v/>
      </c>
      <c r="D221" s="61" t="str">
        <f>IF($B221="","",IFERROR(INDEX(pbp_BatHand,MATCH($B221,pbp_Batter,0)),""))</f>
        <v/>
      </c>
      <c r="E221" s="42" t="str">
        <f>IF($B221="","",SUMPRODUCT(COUNTIFS(pbp_PlayType,EM_Type,pbp_Batter,$B221)*EM_PA))</f>
        <v/>
      </c>
      <c r="F221" s="42" t="str">
        <f>IF($B221="","",SUMPRODUCT(COUNTIFS(pbp_PlayType,EM_Type,pbp_Batter,$B221)*EM_AB))</f>
        <v/>
      </c>
      <c r="G221" s="42" t="str">
        <f>IF($B221="","",SUMPRODUCT(COUNTIFS(pbp_PlayType,EM_Type,pbp_Batter,$B221)*EM_H))</f>
        <v/>
      </c>
      <c r="H221" s="42" t="str">
        <f>IF($B221="","",SUMPRODUCT(COUNTIFS(pbp_PlayType,EM_Type,pbp_Batter,$B221)*EM_2B))</f>
        <v/>
      </c>
      <c r="I221" s="42" t="str">
        <f>IF($B221="","",SUMPRODUCT(COUNTIFS(pbp_PlayType,EM_Type,pbp_Batter,$B221)*EM_3B))</f>
        <v/>
      </c>
      <c r="J221" s="42" t="str">
        <f>IF($B221="","",SUMPRODUCT(COUNTIFS(pbp_PlayType,EM_Type,pbp_Batter,$B221)*EM_HR))</f>
        <v/>
      </c>
      <c r="K221" s="42" t="str">
        <f>IF($B221="","",SUMPRODUCT(COUNTIFS(pbp_PlayType,EM_Type,pbp_Batter,$B221)*EM_1B))</f>
        <v/>
      </c>
      <c r="L221" s="42" t="str">
        <f>IF($B221="","",SUMPRODUCT(COUNTIFS(pbp_PlayType,EM_Type,pbp_Batter,$B221)*EM_BB))</f>
        <v/>
      </c>
      <c r="M221" s="42" t="str">
        <f>IF($B221="","",SUMPRODUCT(COUNTIFS(pbp_PlayType,EM_Type,pbp_Batter,$B221)*EM_HBP))</f>
        <v/>
      </c>
      <c r="N221" s="42" t="str">
        <f>IF($B221="","",COUNTIFS(pbp_PlayType,"?*",pbp_Desc,"*struck out*",pbp_Batter,$B221))</f>
        <v/>
      </c>
      <c r="O221" s="42" t="str">
        <f>IF($B221="","",SUMPRODUCT(COUNTIFS(pbp_PlayType,EM_Type,pbp_Batter,$B221)*EM_SF))</f>
        <v/>
      </c>
      <c r="P221" s="42" t="str">
        <f>IF($B221="","",SUMIFS(pbp_Runs,pbp_Batter,$B221))</f>
        <v/>
      </c>
      <c r="Q221" s="58" t="str">
        <f t="shared" si="24"/>
        <v/>
      </c>
      <c r="R221" s="58" t="str">
        <f t="shared" si="25"/>
        <v/>
      </c>
      <c r="S221" s="58" t="str">
        <f t="shared" si="26"/>
        <v/>
      </c>
      <c r="T221" s="58" t="str">
        <f t="shared" si="27"/>
        <v/>
      </c>
      <c r="U221" s="58" t="str">
        <f t="shared" si="28"/>
        <v/>
      </c>
      <c r="V221" s="59" t="str">
        <f t="shared" si="29"/>
        <v/>
      </c>
      <c r="W221" s="59" t="str">
        <f t="shared" si="30"/>
        <v/>
      </c>
      <c r="X221" s="60" t="str">
        <f>IF($B221="","",IF((E221)=0,"",(SUMIFS(pbp_Pitches,pbp_Batter,$B221,pbp_PlayType,"?*"))/(E221)))</f>
        <v/>
      </c>
      <c r="Y221" s="42" t="str">
        <f t="shared" si="31"/>
        <v/>
      </c>
      <c r="Z221" s="58" t="str">
        <f>IF($B221="","",IF((SUMPRODUCT(COUNTIFS(pbp_PlayType,EM_Type,pbp_Batter,$B221,pbp_On2B,"?*")*EM_AB)+SUMPRODUCT(COUNTIFS(pbp_PlayType,EM_Type,pbp_Batter,$B221,pbp_On2B,"",pbp_On3B,"?*")*EM_AB))=0,"",(SUMPRODUCT(COUNTIFS(pbp_PlayType,EM_Type,pbp_Batter,$B221,pbp_On2B,"?*")*EM_H)+SUMPRODUCT(COUNTIFS(pbp_PlayType,EM_Type,pbp_Batter,$B221,pbp_On2B,"",pbp_On3B,"?*")*EM_H))/(SUMPRODUCT(COUNTIFS(pbp_PlayType,EM_Type,pbp_Batter,$B221,pbp_On2B,"?*")*EM_AB)+SUMPRODUCT(COUNTIFS(pbp_PlayType,EM_Type,pbp_Batter,$B221,pbp_On2B,"",pbp_On3B,"?*")*EM_AB))))</f>
        <v/>
      </c>
      <c r="AA221" s="62" t="str">
        <f>IF($B221="","",IF(OR(E221&lt;MinPA,T221=""),"",COUNTIFS($E$6:$E$255,"&gt;="&amp;MinPA,$T$6:$T$255,"&gt;"&amp;T221)+COUNTIFS($E$5:E220,"&gt;="&amp;MinPA,$T$5:T220,T221)+1))</f>
        <v/>
      </c>
    </row>
    <row r="222" spans="2:27" x14ac:dyDescent="0.2">
      <c r="B222" s="44" t="str">
        <f t="array" ref="B222">IFERROR(INDEX(pbp_Batter,MATCH(0,COUNTIF($B$5:B221,pbp_Batter)+(pbp_Batter=""),0)),"")</f>
        <v/>
      </c>
      <c r="C222" s="61" t="str">
        <f>IF($B222="","",IFERROR(INDEX(pbp_BatTeam,MATCH($B222,pbp_Batter,0)),""))</f>
        <v/>
      </c>
      <c r="D222" s="61" t="str">
        <f>IF($B222="","",IFERROR(INDEX(pbp_BatHand,MATCH($B222,pbp_Batter,0)),""))</f>
        <v/>
      </c>
      <c r="E222" s="42" t="str">
        <f>IF($B222="","",SUMPRODUCT(COUNTIFS(pbp_PlayType,EM_Type,pbp_Batter,$B222)*EM_PA))</f>
        <v/>
      </c>
      <c r="F222" s="42" t="str">
        <f>IF($B222="","",SUMPRODUCT(COUNTIFS(pbp_PlayType,EM_Type,pbp_Batter,$B222)*EM_AB))</f>
        <v/>
      </c>
      <c r="G222" s="42" t="str">
        <f>IF($B222="","",SUMPRODUCT(COUNTIFS(pbp_PlayType,EM_Type,pbp_Batter,$B222)*EM_H))</f>
        <v/>
      </c>
      <c r="H222" s="42" t="str">
        <f>IF($B222="","",SUMPRODUCT(COUNTIFS(pbp_PlayType,EM_Type,pbp_Batter,$B222)*EM_2B))</f>
        <v/>
      </c>
      <c r="I222" s="42" t="str">
        <f>IF($B222="","",SUMPRODUCT(COUNTIFS(pbp_PlayType,EM_Type,pbp_Batter,$B222)*EM_3B))</f>
        <v/>
      </c>
      <c r="J222" s="42" t="str">
        <f>IF($B222="","",SUMPRODUCT(COUNTIFS(pbp_PlayType,EM_Type,pbp_Batter,$B222)*EM_HR))</f>
        <v/>
      </c>
      <c r="K222" s="42" t="str">
        <f>IF($B222="","",SUMPRODUCT(COUNTIFS(pbp_PlayType,EM_Type,pbp_Batter,$B222)*EM_1B))</f>
        <v/>
      </c>
      <c r="L222" s="42" t="str">
        <f>IF($B222="","",SUMPRODUCT(COUNTIFS(pbp_PlayType,EM_Type,pbp_Batter,$B222)*EM_BB))</f>
        <v/>
      </c>
      <c r="M222" s="42" t="str">
        <f>IF($B222="","",SUMPRODUCT(COUNTIFS(pbp_PlayType,EM_Type,pbp_Batter,$B222)*EM_HBP))</f>
        <v/>
      </c>
      <c r="N222" s="42" t="str">
        <f>IF($B222="","",COUNTIFS(pbp_PlayType,"?*",pbp_Desc,"*struck out*",pbp_Batter,$B222))</f>
        <v/>
      </c>
      <c r="O222" s="42" t="str">
        <f>IF($B222="","",SUMPRODUCT(COUNTIFS(pbp_PlayType,EM_Type,pbp_Batter,$B222)*EM_SF))</f>
        <v/>
      </c>
      <c r="P222" s="42" t="str">
        <f>IF($B222="","",SUMIFS(pbp_Runs,pbp_Batter,$B222))</f>
        <v/>
      </c>
      <c r="Q222" s="58" t="str">
        <f t="shared" si="24"/>
        <v/>
      </c>
      <c r="R222" s="58" t="str">
        <f t="shared" si="25"/>
        <v/>
      </c>
      <c r="S222" s="58" t="str">
        <f t="shared" si="26"/>
        <v/>
      </c>
      <c r="T222" s="58" t="str">
        <f t="shared" si="27"/>
        <v/>
      </c>
      <c r="U222" s="58" t="str">
        <f t="shared" si="28"/>
        <v/>
      </c>
      <c r="V222" s="59" t="str">
        <f t="shared" si="29"/>
        <v/>
      </c>
      <c r="W222" s="59" t="str">
        <f t="shared" si="30"/>
        <v/>
      </c>
      <c r="X222" s="60" t="str">
        <f>IF($B222="","",IF((E222)=0,"",(SUMIFS(pbp_Pitches,pbp_Batter,$B222,pbp_PlayType,"?*"))/(E222)))</f>
        <v/>
      </c>
      <c r="Y222" s="42" t="str">
        <f t="shared" si="31"/>
        <v/>
      </c>
      <c r="Z222" s="58" t="str">
        <f>IF($B222="","",IF((SUMPRODUCT(COUNTIFS(pbp_PlayType,EM_Type,pbp_Batter,$B222,pbp_On2B,"?*")*EM_AB)+SUMPRODUCT(COUNTIFS(pbp_PlayType,EM_Type,pbp_Batter,$B222,pbp_On2B,"",pbp_On3B,"?*")*EM_AB))=0,"",(SUMPRODUCT(COUNTIFS(pbp_PlayType,EM_Type,pbp_Batter,$B222,pbp_On2B,"?*")*EM_H)+SUMPRODUCT(COUNTIFS(pbp_PlayType,EM_Type,pbp_Batter,$B222,pbp_On2B,"",pbp_On3B,"?*")*EM_H))/(SUMPRODUCT(COUNTIFS(pbp_PlayType,EM_Type,pbp_Batter,$B222,pbp_On2B,"?*")*EM_AB)+SUMPRODUCT(COUNTIFS(pbp_PlayType,EM_Type,pbp_Batter,$B222,pbp_On2B,"",pbp_On3B,"?*")*EM_AB))))</f>
        <v/>
      </c>
      <c r="AA222" s="62" t="str">
        <f>IF($B222="","",IF(OR(E222&lt;MinPA,T222=""),"",COUNTIFS($E$6:$E$255,"&gt;="&amp;MinPA,$T$6:$T$255,"&gt;"&amp;T222)+COUNTIFS($E$5:E221,"&gt;="&amp;MinPA,$T$5:T221,T222)+1))</f>
        <v/>
      </c>
    </row>
    <row r="223" spans="2:27" x14ac:dyDescent="0.2">
      <c r="B223" s="44" t="str">
        <f t="array" ref="B223">IFERROR(INDEX(pbp_Batter,MATCH(0,COUNTIF($B$5:B222,pbp_Batter)+(pbp_Batter=""),0)),"")</f>
        <v/>
      </c>
      <c r="C223" s="61" t="str">
        <f>IF($B223="","",IFERROR(INDEX(pbp_BatTeam,MATCH($B223,pbp_Batter,0)),""))</f>
        <v/>
      </c>
      <c r="D223" s="61" t="str">
        <f>IF($B223="","",IFERROR(INDEX(pbp_BatHand,MATCH($B223,pbp_Batter,0)),""))</f>
        <v/>
      </c>
      <c r="E223" s="42" t="str">
        <f>IF($B223="","",SUMPRODUCT(COUNTIFS(pbp_PlayType,EM_Type,pbp_Batter,$B223)*EM_PA))</f>
        <v/>
      </c>
      <c r="F223" s="42" t="str">
        <f>IF($B223="","",SUMPRODUCT(COUNTIFS(pbp_PlayType,EM_Type,pbp_Batter,$B223)*EM_AB))</f>
        <v/>
      </c>
      <c r="G223" s="42" t="str">
        <f>IF($B223="","",SUMPRODUCT(COUNTIFS(pbp_PlayType,EM_Type,pbp_Batter,$B223)*EM_H))</f>
        <v/>
      </c>
      <c r="H223" s="42" t="str">
        <f>IF($B223="","",SUMPRODUCT(COUNTIFS(pbp_PlayType,EM_Type,pbp_Batter,$B223)*EM_2B))</f>
        <v/>
      </c>
      <c r="I223" s="42" t="str">
        <f>IF($B223="","",SUMPRODUCT(COUNTIFS(pbp_PlayType,EM_Type,pbp_Batter,$B223)*EM_3B))</f>
        <v/>
      </c>
      <c r="J223" s="42" t="str">
        <f>IF($B223="","",SUMPRODUCT(COUNTIFS(pbp_PlayType,EM_Type,pbp_Batter,$B223)*EM_HR))</f>
        <v/>
      </c>
      <c r="K223" s="42" t="str">
        <f>IF($B223="","",SUMPRODUCT(COUNTIFS(pbp_PlayType,EM_Type,pbp_Batter,$B223)*EM_1B))</f>
        <v/>
      </c>
      <c r="L223" s="42" t="str">
        <f>IF($B223="","",SUMPRODUCT(COUNTIFS(pbp_PlayType,EM_Type,pbp_Batter,$B223)*EM_BB))</f>
        <v/>
      </c>
      <c r="M223" s="42" t="str">
        <f>IF($B223="","",SUMPRODUCT(COUNTIFS(pbp_PlayType,EM_Type,pbp_Batter,$B223)*EM_HBP))</f>
        <v/>
      </c>
      <c r="N223" s="42" t="str">
        <f>IF($B223="","",COUNTIFS(pbp_PlayType,"?*",pbp_Desc,"*struck out*",pbp_Batter,$B223))</f>
        <v/>
      </c>
      <c r="O223" s="42" t="str">
        <f>IF($B223="","",SUMPRODUCT(COUNTIFS(pbp_PlayType,EM_Type,pbp_Batter,$B223)*EM_SF))</f>
        <v/>
      </c>
      <c r="P223" s="42" t="str">
        <f>IF($B223="","",SUMIFS(pbp_Runs,pbp_Batter,$B223))</f>
        <v/>
      </c>
      <c r="Q223" s="58" t="str">
        <f t="shared" si="24"/>
        <v/>
      </c>
      <c r="R223" s="58" t="str">
        <f t="shared" si="25"/>
        <v/>
      </c>
      <c r="S223" s="58" t="str">
        <f t="shared" si="26"/>
        <v/>
      </c>
      <c r="T223" s="58" t="str">
        <f t="shared" si="27"/>
        <v/>
      </c>
      <c r="U223" s="58" t="str">
        <f t="shared" si="28"/>
        <v/>
      </c>
      <c r="V223" s="59" t="str">
        <f t="shared" si="29"/>
        <v/>
      </c>
      <c r="W223" s="59" t="str">
        <f t="shared" si="30"/>
        <v/>
      </c>
      <c r="X223" s="60" t="str">
        <f>IF($B223="","",IF((E223)=0,"",(SUMIFS(pbp_Pitches,pbp_Batter,$B223,pbp_PlayType,"?*"))/(E223)))</f>
        <v/>
      </c>
      <c r="Y223" s="42" t="str">
        <f t="shared" si="31"/>
        <v/>
      </c>
      <c r="Z223" s="58" t="str">
        <f>IF($B223="","",IF((SUMPRODUCT(COUNTIFS(pbp_PlayType,EM_Type,pbp_Batter,$B223,pbp_On2B,"?*")*EM_AB)+SUMPRODUCT(COUNTIFS(pbp_PlayType,EM_Type,pbp_Batter,$B223,pbp_On2B,"",pbp_On3B,"?*")*EM_AB))=0,"",(SUMPRODUCT(COUNTIFS(pbp_PlayType,EM_Type,pbp_Batter,$B223,pbp_On2B,"?*")*EM_H)+SUMPRODUCT(COUNTIFS(pbp_PlayType,EM_Type,pbp_Batter,$B223,pbp_On2B,"",pbp_On3B,"?*")*EM_H))/(SUMPRODUCT(COUNTIFS(pbp_PlayType,EM_Type,pbp_Batter,$B223,pbp_On2B,"?*")*EM_AB)+SUMPRODUCT(COUNTIFS(pbp_PlayType,EM_Type,pbp_Batter,$B223,pbp_On2B,"",pbp_On3B,"?*")*EM_AB))))</f>
        <v/>
      </c>
      <c r="AA223" s="62" t="str">
        <f>IF($B223="","",IF(OR(E223&lt;MinPA,T223=""),"",COUNTIFS($E$6:$E$255,"&gt;="&amp;MinPA,$T$6:$T$255,"&gt;"&amp;T223)+COUNTIFS($E$5:E222,"&gt;="&amp;MinPA,$T$5:T222,T223)+1))</f>
        <v/>
      </c>
    </row>
    <row r="224" spans="2:27" x14ac:dyDescent="0.2">
      <c r="B224" s="44" t="str">
        <f t="array" ref="B224">IFERROR(INDEX(pbp_Batter,MATCH(0,COUNTIF($B$5:B223,pbp_Batter)+(pbp_Batter=""),0)),"")</f>
        <v/>
      </c>
      <c r="C224" s="61" t="str">
        <f>IF($B224="","",IFERROR(INDEX(pbp_BatTeam,MATCH($B224,pbp_Batter,0)),""))</f>
        <v/>
      </c>
      <c r="D224" s="61" t="str">
        <f>IF($B224="","",IFERROR(INDEX(pbp_BatHand,MATCH($B224,pbp_Batter,0)),""))</f>
        <v/>
      </c>
      <c r="E224" s="42" t="str">
        <f>IF($B224="","",SUMPRODUCT(COUNTIFS(pbp_PlayType,EM_Type,pbp_Batter,$B224)*EM_PA))</f>
        <v/>
      </c>
      <c r="F224" s="42" t="str">
        <f>IF($B224="","",SUMPRODUCT(COUNTIFS(pbp_PlayType,EM_Type,pbp_Batter,$B224)*EM_AB))</f>
        <v/>
      </c>
      <c r="G224" s="42" t="str">
        <f>IF($B224="","",SUMPRODUCT(COUNTIFS(pbp_PlayType,EM_Type,pbp_Batter,$B224)*EM_H))</f>
        <v/>
      </c>
      <c r="H224" s="42" t="str">
        <f>IF($B224="","",SUMPRODUCT(COUNTIFS(pbp_PlayType,EM_Type,pbp_Batter,$B224)*EM_2B))</f>
        <v/>
      </c>
      <c r="I224" s="42" t="str">
        <f>IF($B224="","",SUMPRODUCT(COUNTIFS(pbp_PlayType,EM_Type,pbp_Batter,$B224)*EM_3B))</f>
        <v/>
      </c>
      <c r="J224" s="42" t="str">
        <f>IF($B224="","",SUMPRODUCT(COUNTIFS(pbp_PlayType,EM_Type,pbp_Batter,$B224)*EM_HR))</f>
        <v/>
      </c>
      <c r="K224" s="42" t="str">
        <f>IF($B224="","",SUMPRODUCT(COUNTIFS(pbp_PlayType,EM_Type,pbp_Batter,$B224)*EM_1B))</f>
        <v/>
      </c>
      <c r="L224" s="42" t="str">
        <f>IF($B224="","",SUMPRODUCT(COUNTIFS(pbp_PlayType,EM_Type,pbp_Batter,$B224)*EM_BB))</f>
        <v/>
      </c>
      <c r="M224" s="42" t="str">
        <f>IF($B224="","",SUMPRODUCT(COUNTIFS(pbp_PlayType,EM_Type,pbp_Batter,$B224)*EM_HBP))</f>
        <v/>
      </c>
      <c r="N224" s="42" t="str">
        <f>IF($B224="","",COUNTIFS(pbp_PlayType,"?*",pbp_Desc,"*struck out*",pbp_Batter,$B224))</f>
        <v/>
      </c>
      <c r="O224" s="42" t="str">
        <f>IF($B224="","",SUMPRODUCT(COUNTIFS(pbp_PlayType,EM_Type,pbp_Batter,$B224)*EM_SF))</f>
        <v/>
      </c>
      <c r="P224" s="42" t="str">
        <f>IF($B224="","",SUMIFS(pbp_Runs,pbp_Batter,$B224))</f>
        <v/>
      </c>
      <c r="Q224" s="58" t="str">
        <f t="shared" si="24"/>
        <v/>
      </c>
      <c r="R224" s="58" t="str">
        <f t="shared" si="25"/>
        <v/>
      </c>
      <c r="S224" s="58" t="str">
        <f t="shared" si="26"/>
        <v/>
      </c>
      <c r="T224" s="58" t="str">
        <f t="shared" si="27"/>
        <v/>
      </c>
      <c r="U224" s="58" t="str">
        <f t="shared" si="28"/>
        <v/>
      </c>
      <c r="V224" s="59" t="str">
        <f t="shared" si="29"/>
        <v/>
      </c>
      <c r="W224" s="59" t="str">
        <f t="shared" si="30"/>
        <v/>
      </c>
      <c r="X224" s="60" t="str">
        <f>IF($B224="","",IF((E224)=0,"",(SUMIFS(pbp_Pitches,pbp_Batter,$B224,pbp_PlayType,"?*"))/(E224)))</f>
        <v/>
      </c>
      <c r="Y224" s="42" t="str">
        <f t="shared" si="31"/>
        <v/>
      </c>
      <c r="Z224" s="58" t="str">
        <f>IF($B224="","",IF((SUMPRODUCT(COUNTIFS(pbp_PlayType,EM_Type,pbp_Batter,$B224,pbp_On2B,"?*")*EM_AB)+SUMPRODUCT(COUNTIFS(pbp_PlayType,EM_Type,pbp_Batter,$B224,pbp_On2B,"",pbp_On3B,"?*")*EM_AB))=0,"",(SUMPRODUCT(COUNTIFS(pbp_PlayType,EM_Type,pbp_Batter,$B224,pbp_On2B,"?*")*EM_H)+SUMPRODUCT(COUNTIFS(pbp_PlayType,EM_Type,pbp_Batter,$B224,pbp_On2B,"",pbp_On3B,"?*")*EM_H))/(SUMPRODUCT(COUNTIFS(pbp_PlayType,EM_Type,pbp_Batter,$B224,pbp_On2B,"?*")*EM_AB)+SUMPRODUCT(COUNTIFS(pbp_PlayType,EM_Type,pbp_Batter,$B224,pbp_On2B,"",pbp_On3B,"?*")*EM_AB))))</f>
        <v/>
      </c>
      <c r="AA224" s="62" t="str">
        <f>IF($B224="","",IF(OR(E224&lt;MinPA,T224=""),"",COUNTIFS($E$6:$E$255,"&gt;="&amp;MinPA,$T$6:$T$255,"&gt;"&amp;T224)+COUNTIFS($E$5:E223,"&gt;="&amp;MinPA,$T$5:T223,T224)+1))</f>
        <v/>
      </c>
    </row>
    <row r="225" spans="2:27" x14ac:dyDescent="0.2">
      <c r="B225" s="44" t="str">
        <f t="array" ref="B225">IFERROR(INDEX(pbp_Batter,MATCH(0,COUNTIF($B$5:B224,pbp_Batter)+(pbp_Batter=""),0)),"")</f>
        <v/>
      </c>
      <c r="C225" s="61" t="str">
        <f>IF($B225="","",IFERROR(INDEX(pbp_BatTeam,MATCH($B225,pbp_Batter,0)),""))</f>
        <v/>
      </c>
      <c r="D225" s="61" t="str">
        <f>IF($B225="","",IFERROR(INDEX(pbp_BatHand,MATCH($B225,pbp_Batter,0)),""))</f>
        <v/>
      </c>
      <c r="E225" s="42" t="str">
        <f>IF($B225="","",SUMPRODUCT(COUNTIFS(pbp_PlayType,EM_Type,pbp_Batter,$B225)*EM_PA))</f>
        <v/>
      </c>
      <c r="F225" s="42" t="str">
        <f>IF($B225="","",SUMPRODUCT(COUNTIFS(pbp_PlayType,EM_Type,pbp_Batter,$B225)*EM_AB))</f>
        <v/>
      </c>
      <c r="G225" s="42" t="str">
        <f>IF($B225="","",SUMPRODUCT(COUNTIFS(pbp_PlayType,EM_Type,pbp_Batter,$B225)*EM_H))</f>
        <v/>
      </c>
      <c r="H225" s="42" t="str">
        <f>IF($B225="","",SUMPRODUCT(COUNTIFS(pbp_PlayType,EM_Type,pbp_Batter,$B225)*EM_2B))</f>
        <v/>
      </c>
      <c r="I225" s="42" t="str">
        <f>IF($B225="","",SUMPRODUCT(COUNTIFS(pbp_PlayType,EM_Type,pbp_Batter,$B225)*EM_3B))</f>
        <v/>
      </c>
      <c r="J225" s="42" t="str">
        <f>IF($B225="","",SUMPRODUCT(COUNTIFS(pbp_PlayType,EM_Type,pbp_Batter,$B225)*EM_HR))</f>
        <v/>
      </c>
      <c r="K225" s="42" t="str">
        <f>IF($B225="","",SUMPRODUCT(COUNTIFS(pbp_PlayType,EM_Type,pbp_Batter,$B225)*EM_1B))</f>
        <v/>
      </c>
      <c r="L225" s="42" t="str">
        <f>IF($B225="","",SUMPRODUCT(COUNTIFS(pbp_PlayType,EM_Type,pbp_Batter,$B225)*EM_BB))</f>
        <v/>
      </c>
      <c r="M225" s="42" t="str">
        <f>IF($B225="","",SUMPRODUCT(COUNTIFS(pbp_PlayType,EM_Type,pbp_Batter,$B225)*EM_HBP))</f>
        <v/>
      </c>
      <c r="N225" s="42" t="str">
        <f>IF($B225="","",COUNTIFS(pbp_PlayType,"?*",pbp_Desc,"*struck out*",pbp_Batter,$B225))</f>
        <v/>
      </c>
      <c r="O225" s="42" t="str">
        <f>IF($B225="","",SUMPRODUCT(COUNTIFS(pbp_PlayType,EM_Type,pbp_Batter,$B225)*EM_SF))</f>
        <v/>
      </c>
      <c r="P225" s="42" t="str">
        <f>IF($B225="","",SUMIFS(pbp_Runs,pbp_Batter,$B225))</f>
        <v/>
      </c>
      <c r="Q225" s="58" t="str">
        <f t="shared" si="24"/>
        <v/>
      </c>
      <c r="R225" s="58" t="str">
        <f t="shared" si="25"/>
        <v/>
      </c>
      <c r="S225" s="58" t="str">
        <f t="shared" si="26"/>
        <v/>
      </c>
      <c r="T225" s="58" t="str">
        <f t="shared" si="27"/>
        <v/>
      </c>
      <c r="U225" s="58" t="str">
        <f t="shared" si="28"/>
        <v/>
      </c>
      <c r="V225" s="59" t="str">
        <f t="shared" si="29"/>
        <v/>
      </c>
      <c r="W225" s="59" t="str">
        <f t="shared" si="30"/>
        <v/>
      </c>
      <c r="X225" s="60" t="str">
        <f>IF($B225="","",IF((E225)=0,"",(SUMIFS(pbp_Pitches,pbp_Batter,$B225,pbp_PlayType,"?*"))/(E225)))</f>
        <v/>
      </c>
      <c r="Y225" s="42" t="str">
        <f t="shared" si="31"/>
        <v/>
      </c>
      <c r="Z225" s="58" t="str">
        <f>IF($B225="","",IF((SUMPRODUCT(COUNTIFS(pbp_PlayType,EM_Type,pbp_Batter,$B225,pbp_On2B,"?*")*EM_AB)+SUMPRODUCT(COUNTIFS(pbp_PlayType,EM_Type,pbp_Batter,$B225,pbp_On2B,"",pbp_On3B,"?*")*EM_AB))=0,"",(SUMPRODUCT(COUNTIFS(pbp_PlayType,EM_Type,pbp_Batter,$B225,pbp_On2B,"?*")*EM_H)+SUMPRODUCT(COUNTIFS(pbp_PlayType,EM_Type,pbp_Batter,$B225,pbp_On2B,"",pbp_On3B,"?*")*EM_H))/(SUMPRODUCT(COUNTIFS(pbp_PlayType,EM_Type,pbp_Batter,$B225,pbp_On2B,"?*")*EM_AB)+SUMPRODUCT(COUNTIFS(pbp_PlayType,EM_Type,pbp_Batter,$B225,pbp_On2B,"",pbp_On3B,"?*")*EM_AB))))</f>
        <v/>
      </c>
      <c r="AA225" s="62" t="str">
        <f>IF($B225="","",IF(OR(E225&lt;MinPA,T225=""),"",COUNTIFS($E$6:$E$255,"&gt;="&amp;MinPA,$T$6:$T$255,"&gt;"&amp;T225)+COUNTIFS($E$5:E224,"&gt;="&amp;MinPA,$T$5:T224,T225)+1))</f>
        <v/>
      </c>
    </row>
    <row r="226" spans="2:27" x14ac:dyDescent="0.2">
      <c r="B226" s="44" t="str">
        <f t="array" ref="B226">IFERROR(INDEX(pbp_Batter,MATCH(0,COUNTIF($B$5:B225,pbp_Batter)+(pbp_Batter=""),0)),"")</f>
        <v/>
      </c>
      <c r="C226" s="61" t="str">
        <f>IF($B226="","",IFERROR(INDEX(pbp_BatTeam,MATCH($B226,pbp_Batter,0)),""))</f>
        <v/>
      </c>
      <c r="D226" s="61" t="str">
        <f>IF($B226="","",IFERROR(INDEX(pbp_BatHand,MATCH($B226,pbp_Batter,0)),""))</f>
        <v/>
      </c>
      <c r="E226" s="42" t="str">
        <f>IF($B226="","",SUMPRODUCT(COUNTIFS(pbp_PlayType,EM_Type,pbp_Batter,$B226)*EM_PA))</f>
        <v/>
      </c>
      <c r="F226" s="42" t="str">
        <f>IF($B226="","",SUMPRODUCT(COUNTIFS(pbp_PlayType,EM_Type,pbp_Batter,$B226)*EM_AB))</f>
        <v/>
      </c>
      <c r="G226" s="42" t="str">
        <f>IF($B226="","",SUMPRODUCT(COUNTIFS(pbp_PlayType,EM_Type,pbp_Batter,$B226)*EM_H))</f>
        <v/>
      </c>
      <c r="H226" s="42" t="str">
        <f>IF($B226="","",SUMPRODUCT(COUNTIFS(pbp_PlayType,EM_Type,pbp_Batter,$B226)*EM_2B))</f>
        <v/>
      </c>
      <c r="I226" s="42" t="str">
        <f>IF($B226="","",SUMPRODUCT(COUNTIFS(pbp_PlayType,EM_Type,pbp_Batter,$B226)*EM_3B))</f>
        <v/>
      </c>
      <c r="J226" s="42" t="str">
        <f>IF($B226="","",SUMPRODUCT(COUNTIFS(pbp_PlayType,EM_Type,pbp_Batter,$B226)*EM_HR))</f>
        <v/>
      </c>
      <c r="K226" s="42" t="str">
        <f>IF($B226="","",SUMPRODUCT(COUNTIFS(pbp_PlayType,EM_Type,pbp_Batter,$B226)*EM_1B))</f>
        <v/>
      </c>
      <c r="L226" s="42" t="str">
        <f>IF($B226="","",SUMPRODUCT(COUNTIFS(pbp_PlayType,EM_Type,pbp_Batter,$B226)*EM_BB))</f>
        <v/>
      </c>
      <c r="M226" s="42" t="str">
        <f>IF($B226="","",SUMPRODUCT(COUNTIFS(pbp_PlayType,EM_Type,pbp_Batter,$B226)*EM_HBP))</f>
        <v/>
      </c>
      <c r="N226" s="42" t="str">
        <f>IF($B226="","",COUNTIFS(pbp_PlayType,"?*",pbp_Desc,"*struck out*",pbp_Batter,$B226))</f>
        <v/>
      </c>
      <c r="O226" s="42" t="str">
        <f>IF($B226="","",SUMPRODUCT(COUNTIFS(pbp_PlayType,EM_Type,pbp_Batter,$B226)*EM_SF))</f>
        <v/>
      </c>
      <c r="P226" s="42" t="str">
        <f>IF($B226="","",SUMIFS(pbp_Runs,pbp_Batter,$B226))</f>
        <v/>
      </c>
      <c r="Q226" s="58" t="str">
        <f t="shared" si="24"/>
        <v/>
      </c>
      <c r="R226" s="58" t="str">
        <f t="shared" si="25"/>
        <v/>
      </c>
      <c r="S226" s="58" t="str">
        <f t="shared" si="26"/>
        <v/>
      </c>
      <c r="T226" s="58" t="str">
        <f t="shared" si="27"/>
        <v/>
      </c>
      <c r="U226" s="58" t="str">
        <f t="shared" si="28"/>
        <v/>
      </c>
      <c r="V226" s="59" t="str">
        <f t="shared" si="29"/>
        <v/>
      </c>
      <c r="W226" s="59" t="str">
        <f t="shared" si="30"/>
        <v/>
      </c>
      <c r="X226" s="60" t="str">
        <f>IF($B226="","",IF((E226)=0,"",(SUMIFS(pbp_Pitches,pbp_Batter,$B226,pbp_PlayType,"?*"))/(E226)))</f>
        <v/>
      </c>
      <c r="Y226" s="42" t="str">
        <f t="shared" si="31"/>
        <v/>
      </c>
      <c r="Z226" s="58" t="str">
        <f>IF($B226="","",IF((SUMPRODUCT(COUNTIFS(pbp_PlayType,EM_Type,pbp_Batter,$B226,pbp_On2B,"?*")*EM_AB)+SUMPRODUCT(COUNTIFS(pbp_PlayType,EM_Type,pbp_Batter,$B226,pbp_On2B,"",pbp_On3B,"?*")*EM_AB))=0,"",(SUMPRODUCT(COUNTIFS(pbp_PlayType,EM_Type,pbp_Batter,$B226,pbp_On2B,"?*")*EM_H)+SUMPRODUCT(COUNTIFS(pbp_PlayType,EM_Type,pbp_Batter,$B226,pbp_On2B,"",pbp_On3B,"?*")*EM_H))/(SUMPRODUCT(COUNTIFS(pbp_PlayType,EM_Type,pbp_Batter,$B226,pbp_On2B,"?*")*EM_AB)+SUMPRODUCT(COUNTIFS(pbp_PlayType,EM_Type,pbp_Batter,$B226,pbp_On2B,"",pbp_On3B,"?*")*EM_AB))))</f>
        <v/>
      </c>
      <c r="AA226" s="62" t="str">
        <f>IF($B226="","",IF(OR(E226&lt;MinPA,T226=""),"",COUNTIFS($E$6:$E$255,"&gt;="&amp;MinPA,$T$6:$T$255,"&gt;"&amp;T226)+COUNTIFS($E$5:E225,"&gt;="&amp;MinPA,$T$5:T225,T226)+1))</f>
        <v/>
      </c>
    </row>
    <row r="227" spans="2:27" x14ac:dyDescent="0.2">
      <c r="B227" s="44" t="str">
        <f t="array" ref="B227">IFERROR(INDEX(pbp_Batter,MATCH(0,COUNTIF($B$5:B226,pbp_Batter)+(pbp_Batter=""),0)),"")</f>
        <v/>
      </c>
      <c r="C227" s="61" t="str">
        <f>IF($B227="","",IFERROR(INDEX(pbp_BatTeam,MATCH($B227,pbp_Batter,0)),""))</f>
        <v/>
      </c>
      <c r="D227" s="61" t="str">
        <f>IF($B227="","",IFERROR(INDEX(pbp_BatHand,MATCH($B227,pbp_Batter,0)),""))</f>
        <v/>
      </c>
      <c r="E227" s="42" t="str">
        <f>IF($B227="","",SUMPRODUCT(COUNTIFS(pbp_PlayType,EM_Type,pbp_Batter,$B227)*EM_PA))</f>
        <v/>
      </c>
      <c r="F227" s="42" t="str">
        <f>IF($B227="","",SUMPRODUCT(COUNTIFS(pbp_PlayType,EM_Type,pbp_Batter,$B227)*EM_AB))</f>
        <v/>
      </c>
      <c r="G227" s="42" t="str">
        <f>IF($B227="","",SUMPRODUCT(COUNTIFS(pbp_PlayType,EM_Type,pbp_Batter,$B227)*EM_H))</f>
        <v/>
      </c>
      <c r="H227" s="42" t="str">
        <f>IF($B227="","",SUMPRODUCT(COUNTIFS(pbp_PlayType,EM_Type,pbp_Batter,$B227)*EM_2B))</f>
        <v/>
      </c>
      <c r="I227" s="42" t="str">
        <f>IF($B227="","",SUMPRODUCT(COUNTIFS(pbp_PlayType,EM_Type,pbp_Batter,$B227)*EM_3B))</f>
        <v/>
      </c>
      <c r="J227" s="42" t="str">
        <f>IF($B227="","",SUMPRODUCT(COUNTIFS(pbp_PlayType,EM_Type,pbp_Batter,$B227)*EM_HR))</f>
        <v/>
      </c>
      <c r="K227" s="42" t="str">
        <f>IF($B227="","",SUMPRODUCT(COUNTIFS(pbp_PlayType,EM_Type,pbp_Batter,$B227)*EM_1B))</f>
        <v/>
      </c>
      <c r="L227" s="42" t="str">
        <f>IF($B227="","",SUMPRODUCT(COUNTIFS(pbp_PlayType,EM_Type,pbp_Batter,$B227)*EM_BB))</f>
        <v/>
      </c>
      <c r="M227" s="42" t="str">
        <f>IF($B227="","",SUMPRODUCT(COUNTIFS(pbp_PlayType,EM_Type,pbp_Batter,$B227)*EM_HBP))</f>
        <v/>
      </c>
      <c r="N227" s="42" t="str">
        <f>IF($B227="","",COUNTIFS(pbp_PlayType,"?*",pbp_Desc,"*struck out*",pbp_Batter,$B227))</f>
        <v/>
      </c>
      <c r="O227" s="42" t="str">
        <f>IF($B227="","",SUMPRODUCT(COUNTIFS(pbp_PlayType,EM_Type,pbp_Batter,$B227)*EM_SF))</f>
        <v/>
      </c>
      <c r="P227" s="42" t="str">
        <f>IF($B227="","",SUMIFS(pbp_Runs,pbp_Batter,$B227))</f>
        <v/>
      </c>
      <c r="Q227" s="58" t="str">
        <f t="shared" si="24"/>
        <v/>
      </c>
      <c r="R227" s="58" t="str">
        <f t="shared" si="25"/>
        <v/>
      </c>
      <c r="S227" s="58" t="str">
        <f t="shared" si="26"/>
        <v/>
      </c>
      <c r="T227" s="58" t="str">
        <f t="shared" si="27"/>
        <v/>
      </c>
      <c r="U227" s="58" t="str">
        <f t="shared" si="28"/>
        <v/>
      </c>
      <c r="V227" s="59" t="str">
        <f t="shared" si="29"/>
        <v/>
      </c>
      <c r="W227" s="59" t="str">
        <f t="shared" si="30"/>
        <v/>
      </c>
      <c r="X227" s="60" t="str">
        <f>IF($B227="","",IF((E227)=0,"",(SUMIFS(pbp_Pitches,pbp_Batter,$B227,pbp_PlayType,"?*"))/(E227)))</f>
        <v/>
      </c>
      <c r="Y227" s="42" t="str">
        <f t="shared" si="31"/>
        <v/>
      </c>
      <c r="Z227" s="58" t="str">
        <f>IF($B227="","",IF((SUMPRODUCT(COUNTIFS(pbp_PlayType,EM_Type,pbp_Batter,$B227,pbp_On2B,"?*")*EM_AB)+SUMPRODUCT(COUNTIFS(pbp_PlayType,EM_Type,pbp_Batter,$B227,pbp_On2B,"",pbp_On3B,"?*")*EM_AB))=0,"",(SUMPRODUCT(COUNTIFS(pbp_PlayType,EM_Type,pbp_Batter,$B227,pbp_On2B,"?*")*EM_H)+SUMPRODUCT(COUNTIFS(pbp_PlayType,EM_Type,pbp_Batter,$B227,pbp_On2B,"",pbp_On3B,"?*")*EM_H))/(SUMPRODUCT(COUNTIFS(pbp_PlayType,EM_Type,pbp_Batter,$B227,pbp_On2B,"?*")*EM_AB)+SUMPRODUCT(COUNTIFS(pbp_PlayType,EM_Type,pbp_Batter,$B227,pbp_On2B,"",pbp_On3B,"?*")*EM_AB))))</f>
        <v/>
      </c>
      <c r="AA227" s="62" t="str">
        <f>IF($B227="","",IF(OR(E227&lt;MinPA,T227=""),"",COUNTIFS($E$6:$E$255,"&gt;="&amp;MinPA,$T$6:$T$255,"&gt;"&amp;T227)+COUNTIFS($E$5:E226,"&gt;="&amp;MinPA,$T$5:T226,T227)+1))</f>
        <v/>
      </c>
    </row>
    <row r="228" spans="2:27" x14ac:dyDescent="0.2">
      <c r="B228" s="44" t="str">
        <f t="array" ref="B228">IFERROR(INDEX(pbp_Batter,MATCH(0,COUNTIF($B$5:B227,pbp_Batter)+(pbp_Batter=""),0)),"")</f>
        <v/>
      </c>
      <c r="C228" s="61" t="str">
        <f>IF($B228="","",IFERROR(INDEX(pbp_BatTeam,MATCH($B228,pbp_Batter,0)),""))</f>
        <v/>
      </c>
      <c r="D228" s="61" t="str">
        <f>IF($B228="","",IFERROR(INDEX(pbp_BatHand,MATCH($B228,pbp_Batter,0)),""))</f>
        <v/>
      </c>
      <c r="E228" s="42" t="str">
        <f>IF($B228="","",SUMPRODUCT(COUNTIFS(pbp_PlayType,EM_Type,pbp_Batter,$B228)*EM_PA))</f>
        <v/>
      </c>
      <c r="F228" s="42" t="str">
        <f>IF($B228="","",SUMPRODUCT(COUNTIFS(pbp_PlayType,EM_Type,pbp_Batter,$B228)*EM_AB))</f>
        <v/>
      </c>
      <c r="G228" s="42" t="str">
        <f>IF($B228="","",SUMPRODUCT(COUNTIFS(pbp_PlayType,EM_Type,pbp_Batter,$B228)*EM_H))</f>
        <v/>
      </c>
      <c r="H228" s="42" t="str">
        <f>IF($B228="","",SUMPRODUCT(COUNTIFS(pbp_PlayType,EM_Type,pbp_Batter,$B228)*EM_2B))</f>
        <v/>
      </c>
      <c r="I228" s="42" t="str">
        <f>IF($B228="","",SUMPRODUCT(COUNTIFS(pbp_PlayType,EM_Type,pbp_Batter,$B228)*EM_3B))</f>
        <v/>
      </c>
      <c r="J228" s="42" t="str">
        <f>IF($B228="","",SUMPRODUCT(COUNTIFS(pbp_PlayType,EM_Type,pbp_Batter,$B228)*EM_HR))</f>
        <v/>
      </c>
      <c r="K228" s="42" t="str">
        <f>IF($B228="","",SUMPRODUCT(COUNTIFS(pbp_PlayType,EM_Type,pbp_Batter,$B228)*EM_1B))</f>
        <v/>
      </c>
      <c r="L228" s="42" t="str">
        <f>IF($B228="","",SUMPRODUCT(COUNTIFS(pbp_PlayType,EM_Type,pbp_Batter,$B228)*EM_BB))</f>
        <v/>
      </c>
      <c r="M228" s="42" t="str">
        <f>IF($B228="","",SUMPRODUCT(COUNTIFS(pbp_PlayType,EM_Type,pbp_Batter,$B228)*EM_HBP))</f>
        <v/>
      </c>
      <c r="N228" s="42" t="str">
        <f>IF($B228="","",COUNTIFS(pbp_PlayType,"?*",pbp_Desc,"*struck out*",pbp_Batter,$B228))</f>
        <v/>
      </c>
      <c r="O228" s="42" t="str">
        <f>IF($B228="","",SUMPRODUCT(COUNTIFS(pbp_PlayType,EM_Type,pbp_Batter,$B228)*EM_SF))</f>
        <v/>
      </c>
      <c r="P228" s="42" t="str">
        <f>IF($B228="","",SUMIFS(pbp_Runs,pbp_Batter,$B228))</f>
        <v/>
      </c>
      <c r="Q228" s="58" t="str">
        <f t="shared" si="24"/>
        <v/>
      </c>
      <c r="R228" s="58" t="str">
        <f t="shared" si="25"/>
        <v/>
      </c>
      <c r="S228" s="58" t="str">
        <f t="shared" si="26"/>
        <v/>
      </c>
      <c r="T228" s="58" t="str">
        <f t="shared" si="27"/>
        <v/>
      </c>
      <c r="U228" s="58" t="str">
        <f t="shared" si="28"/>
        <v/>
      </c>
      <c r="V228" s="59" t="str">
        <f t="shared" si="29"/>
        <v/>
      </c>
      <c r="W228" s="59" t="str">
        <f t="shared" si="30"/>
        <v/>
      </c>
      <c r="X228" s="60" t="str">
        <f>IF($B228="","",IF((E228)=0,"",(SUMIFS(pbp_Pitches,pbp_Batter,$B228,pbp_PlayType,"?*"))/(E228)))</f>
        <v/>
      </c>
      <c r="Y228" s="42" t="str">
        <f t="shared" si="31"/>
        <v/>
      </c>
      <c r="Z228" s="58" t="str">
        <f>IF($B228="","",IF((SUMPRODUCT(COUNTIFS(pbp_PlayType,EM_Type,pbp_Batter,$B228,pbp_On2B,"?*")*EM_AB)+SUMPRODUCT(COUNTIFS(pbp_PlayType,EM_Type,pbp_Batter,$B228,pbp_On2B,"",pbp_On3B,"?*")*EM_AB))=0,"",(SUMPRODUCT(COUNTIFS(pbp_PlayType,EM_Type,pbp_Batter,$B228,pbp_On2B,"?*")*EM_H)+SUMPRODUCT(COUNTIFS(pbp_PlayType,EM_Type,pbp_Batter,$B228,pbp_On2B,"",pbp_On3B,"?*")*EM_H))/(SUMPRODUCT(COUNTIFS(pbp_PlayType,EM_Type,pbp_Batter,$B228,pbp_On2B,"?*")*EM_AB)+SUMPRODUCT(COUNTIFS(pbp_PlayType,EM_Type,pbp_Batter,$B228,pbp_On2B,"",pbp_On3B,"?*")*EM_AB))))</f>
        <v/>
      </c>
      <c r="AA228" s="62" t="str">
        <f>IF($B228="","",IF(OR(E228&lt;MinPA,T228=""),"",COUNTIFS($E$6:$E$255,"&gt;="&amp;MinPA,$T$6:$T$255,"&gt;"&amp;T228)+COUNTIFS($E$5:E227,"&gt;="&amp;MinPA,$T$5:T227,T228)+1))</f>
        <v/>
      </c>
    </row>
    <row r="229" spans="2:27" x14ac:dyDescent="0.2">
      <c r="B229" s="44" t="str">
        <f t="array" ref="B229">IFERROR(INDEX(pbp_Batter,MATCH(0,COUNTIF($B$5:B228,pbp_Batter)+(pbp_Batter=""),0)),"")</f>
        <v/>
      </c>
      <c r="C229" s="61" t="str">
        <f>IF($B229="","",IFERROR(INDEX(pbp_BatTeam,MATCH($B229,pbp_Batter,0)),""))</f>
        <v/>
      </c>
      <c r="D229" s="61" t="str">
        <f>IF($B229="","",IFERROR(INDEX(pbp_BatHand,MATCH($B229,pbp_Batter,0)),""))</f>
        <v/>
      </c>
      <c r="E229" s="42" t="str">
        <f>IF($B229="","",SUMPRODUCT(COUNTIFS(pbp_PlayType,EM_Type,pbp_Batter,$B229)*EM_PA))</f>
        <v/>
      </c>
      <c r="F229" s="42" t="str">
        <f>IF($B229="","",SUMPRODUCT(COUNTIFS(pbp_PlayType,EM_Type,pbp_Batter,$B229)*EM_AB))</f>
        <v/>
      </c>
      <c r="G229" s="42" t="str">
        <f>IF($B229="","",SUMPRODUCT(COUNTIFS(pbp_PlayType,EM_Type,pbp_Batter,$B229)*EM_H))</f>
        <v/>
      </c>
      <c r="H229" s="42" t="str">
        <f>IF($B229="","",SUMPRODUCT(COUNTIFS(pbp_PlayType,EM_Type,pbp_Batter,$B229)*EM_2B))</f>
        <v/>
      </c>
      <c r="I229" s="42" t="str">
        <f>IF($B229="","",SUMPRODUCT(COUNTIFS(pbp_PlayType,EM_Type,pbp_Batter,$B229)*EM_3B))</f>
        <v/>
      </c>
      <c r="J229" s="42" t="str">
        <f>IF($B229="","",SUMPRODUCT(COUNTIFS(pbp_PlayType,EM_Type,pbp_Batter,$B229)*EM_HR))</f>
        <v/>
      </c>
      <c r="K229" s="42" t="str">
        <f>IF($B229="","",SUMPRODUCT(COUNTIFS(pbp_PlayType,EM_Type,pbp_Batter,$B229)*EM_1B))</f>
        <v/>
      </c>
      <c r="L229" s="42" t="str">
        <f>IF($B229="","",SUMPRODUCT(COUNTIFS(pbp_PlayType,EM_Type,pbp_Batter,$B229)*EM_BB))</f>
        <v/>
      </c>
      <c r="M229" s="42" t="str">
        <f>IF($B229="","",SUMPRODUCT(COUNTIFS(pbp_PlayType,EM_Type,pbp_Batter,$B229)*EM_HBP))</f>
        <v/>
      </c>
      <c r="N229" s="42" t="str">
        <f>IF($B229="","",COUNTIFS(pbp_PlayType,"?*",pbp_Desc,"*struck out*",pbp_Batter,$B229))</f>
        <v/>
      </c>
      <c r="O229" s="42" t="str">
        <f>IF($B229="","",SUMPRODUCT(COUNTIFS(pbp_PlayType,EM_Type,pbp_Batter,$B229)*EM_SF))</f>
        <v/>
      </c>
      <c r="P229" s="42" t="str">
        <f>IF($B229="","",SUMIFS(pbp_Runs,pbp_Batter,$B229))</f>
        <v/>
      </c>
      <c r="Q229" s="58" t="str">
        <f t="shared" si="24"/>
        <v/>
      </c>
      <c r="R229" s="58" t="str">
        <f t="shared" si="25"/>
        <v/>
      </c>
      <c r="S229" s="58" t="str">
        <f t="shared" si="26"/>
        <v/>
      </c>
      <c r="T229" s="58" t="str">
        <f t="shared" si="27"/>
        <v/>
      </c>
      <c r="U229" s="58" t="str">
        <f t="shared" si="28"/>
        <v/>
      </c>
      <c r="V229" s="59" t="str">
        <f t="shared" si="29"/>
        <v/>
      </c>
      <c r="W229" s="59" t="str">
        <f t="shared" si="30"/>
        <v/>
      </c>
      <c r="X229" s="60" t="str">
        <f>IF($B229="","",IF((E229)=0,"",(SUMIFS(pbp_Pitches,pbp_Batter,$B229,pbp_PlayType,"?*"))/(E229)))</f>
        <v/>
      </c>
      <c r="Y229" s="42" t="str">
        <f t="shared" si="31"/>
        <v/>
      </c>
      <c r="Z229" s="58" t="str">
        <f>IF($B229="","",IF((SUMPRODUCT(COUNTIFS(pbp_PlayType,EM_Type,pbp_Batter,$B229,pbp_On2B,"?*")*EM_AB)+SUMPRODUCT(COUNTIFS(pbp_PlayType,EM_Type,pbp_Batter,$B229,pbp_On2B,"",pbp_On3B,"?*")*EM_AB))=0,"",(SUMPRODUCT(COUNTIFS(pbp_PlayType,EM_Type,pbp_Batter,$B229,pbp_On2B,"?*")*EM_H)+SUMPRODUCT(COUNTIFS(pbp_PlayType,EM_Type,pbp_Batter,$B229,pbp_On2B,"",pbp_On3B,"?*")*EM_H))/(SUMPRODUCT(COUNTIFS(pbp_PlayType,EM_Type,pbp_Batter,$B229,pbp_On2B,"?*")*EM_AB)+SUMPRODUCT(COUNTIFS(pbp_PlayType,EM_Type,pbp_Batter,$B229,pbp_On2B,"",pbp_On3B,"?*")*EM_AB))))</f>
        <v/>
      </c>
      <c r="AA229" s="62" t="str">
        <f>IF($B229="","",IF(OR(E229&lt;MinPA,T229=""),"",COUNTIFS($E$6:$E$255,"&gt;="&amp;MinPA,$T$6:$T$255,"&gt;"&amp;T229)+COUNTIFS($E$5:E228,"&gt;="&amp;MinPA,$T$5:T228,T229)+1))</f>
        <v/>
      </c>
    </row>
    <row r="230" spans="2:27" x14ac:dyDescent="0.2">
      <c r="B230" s="44" t="str">
        <f t="array" ref="B230">IFERROR(INDEX(pbp_Batter,MATCH(0,COUNTIF($B$5:B229,pbp_Batter)+(pbp_Batter=""),0)),"")</f>
        <v/>
      </c>
      <c r="C230" s="61" t="str">
        <f>IF($B230="","",IFERROR(INDEX(pbp_BatTeam,MATCH($B230,pbp_Batter,0)),""))</f>
        <v/>
      </c>
      <c r="D230" s="61" t="str">
        <f>IF($B230="","",IFERROR(INDEX(pbp_BatHand,MATCH($B230,pbp_Batter,0)),""))</f>
        <v/>
      </c>
      <c r="E230" s="42" t="str">
        <f>IF($B230="","",SUMPRODUCT(COUNTIFS(pbp_PlayType,EM_Type,pbp_Batter,$B230)*EM_PA))</f>
        <v/>
      </c>
      <c r="F230" s="42" t="str">
        <f>IF($B230="","",SUMPRODUCT(COUNTIFS(pbp_PlayType,EM_Type,pbp_Batter,$B230)*EM_AB))</f>
        <v/>
      </c>
      <c r="G230" s="42" t="str">
        <f>IF($B230="","",SUMPRODUCT(COUNTIFS(pbp_PlayType,EM_Type,pbp_Batter,$B230)*EM_H))</f>
        <v/>
      </c>
      <c r="H230" s="42" t="str">
        <f>IF($B230="","",SUMPRODUCT(COUNTIFS(pbp_PlayType,EM_Type,pbp_Batter,$B230)*EM_2B))</f>
        <v/>
      </c>
      <c r="I230" s="42" t="str">
        <f>IF($B230="","",SUMPRODUCT(COUNTIFS(pbp_PlayType,EM_Type,pbp_Batter,$B230)*EM_3B))</f>
        <v/>
      </c>
      <c r="J230" s="42" t="str">
        <f>IF($B230="","",SUMPRODUCT(COUNTIFS(pbp_PlayType,EM_Type,pbp_Batter,$B230)*EM_HR))</f>
        <v/>
      </c>
      <c r="K230" s="42" t="str">
        <f>IF($B230="","",SUMPRODUCT(COUNTIFS(pbp_PlayType,EM_Type,pbp_Batter,$B230)*EM_1B))</f>
        <v/>
      </c>
      <c r="L230" s="42" t="str">
        <f>IF($B230="","",SUMPRODUCT(COUNTIFS(pbp_PlayType,EM_Type,pbp_Batter,$B230)*EM_BB))</f>
        <v/>
      </c>
      <c r="M230" s="42" t="str">
        <f>IF($B230="","",SUMPRODUCT(COUNTIFS(pbp_PlayType,EM_Type,pbp_Batter,$B230)*EM_HBP))</f>
        <v/>
      </c>
      <c r="N230" s="42" t="str">
        <f>IF($B230="","",COUNTIFS(pbp_PlayType,"?*",pbp_Desc,"*struck out*",pbp_Batter,$B230))</f>
        <v/>
      </c>
      <c r="O230" s="42" t="str">
        <f>IF($B230="","",SUMPRODUCT(COUNTIFS(pbp_PlayType,EM_Type,pbp_Batter,$B230)*EM_SF))</f>
        <v/>
      </c>
      <c r="P230" s="42" t="str">
        <f>IF($B230="","",SUMIFS(pbp_Runs,pbp_Batter,$B230))</f>
        <v/>
      </c>
      <c r="Q230" s="58" t="str">
        <f t="shared" si="24"/>
        <v/>
      </c>
      <c r="R230" s="58" t="str">
        <f t="shared" si="25"/>
        <v/>
      </c>
      <c r="S230" s="58" t="str">
        <f t="shared" si="26"/>
        <v/>
      </c>
      <c r="T230" s="58" t="str">
        <f t="shared" si="27"/>
        <v/>
      </c>
      <c r="U230" s="58" t="str">
        <f t="shared" si="28"/>
        <v/>
      </c>
      <c r="V230" s="59" t="str">
        <f t="shared" si="29"/>
        <v/>
      </c>
      <c r="W230" s="59" t="str">
        <f t="shared" si="30"/>
        <v/>
      </c>
      <c r="X230" s="60" t="str">
        <f>IF($B230="","",IF((E230)=0,"",(SUMIFS(pbp_Pitches,pbp_Batter,$B230,pbp_PlayType,"?*"))/(E230)))</f>
        <v/>
      </c>
      <c r="Y230" s="42" t="str">
        <f t="shared" si="31"/>
        <v/>
      </c>
      <c r="Z230" s="58" t="str">
        <f>IF($B230="","",IF((SUMPRODUCT(COUNTIFS(pbp_PlayType,EM_Type,pbp_Batter,$B230,pbp_On2B,"?*")*EM_AB)+SUMPRODUCT(COUNTIFS(pbp_PlayType,EM_Type,pbp_Batter,$B230,pbp_On2B,"",pbp_On3B,"?*")*EM_AB))=0,"",(SUMPRODUCT(COUNTIFS(pbp_PlayType,EM_Type,pbp_Batter,$B230,pbp_On2B,"?*")*EM_H)+SUMPRODUCT(COUNTIFS(pbp_PlayType,EM_Type,pbp_Batter,$B230,pbp_On2B,"",pbp_On3B,"?*")*EM_H))/(SUMPRODUCT(COUNTIFS(pbp_PlayType,EM_Type,pbp_Batter,$B230,pbp_On2B,"?*")*EM_AB)+SUMPRODUCT(COUNTIFS(pbp_PlayType,EM_Type,pbp_Batter,$B230,pbp_On2B,"",pbp_On3B,"?*")*EM_AB))))</f>
        <v/>
      </c>
      <c r="AA230" s="62" t="str">
        <f>IF($B230="","",IF(OR(E230&lt;MinPA,T230=""),"",COUNTIFS($E$6:$E$255,"&gt;="&amp;MinPA,$T$6:$T$255,"&gt;"&amp;T230)+COUNTIFS($E$5:E229,"&gt;="&amp;MinPA,$T$5:T229,T230)+1))</f>
        <v/>
      </c>
    </row>
    <row r="231" spans="2:27" x14ac:dyDescent="0.2">
      <c r="B231" s="44" t="str">
        <f t="array" ref="B231">IFERROR(INDEX(pbp_Batter,MATCH(0,COUNTIF($B$5:B230,pbp_Batter)+(pbp_Batter=""),0)),"")</f>
        <v/>
      </c>
      <c r="C231" s="61" t="str">
        <f>IF($B231="","",IFERROR(INDEX(pbp_BatTeam,MATCH($B231,pbp_Batter,0)),""))</f>
        <v/>
      </c>
      <c r="D231" s="61" t="str">
        <f>IF($B231="","",IFERROR(INDEX(pbp_BatHand,MATCH($B231,pbp_Batter,0)),""))</f>
        <v/>
      </c>
      <c r="E231" s="42" t="str">
        <f>IF($B231="","",SUMPRODUCT(COUNTIFS(pbp_PlayType,EM_Type,pbp_Batter,$B231)*EM_PA))</f>
        <v/>
      </c>
      <c r="F231" s="42" t="str">
        <f>IF($B231="","",SUMPRODUCT(COUNTIFS(pbp_PlayType,EM_Type,pbp_Batter,$B231)*EM_AB))</f>
        <v/>
      </c>
      <c r="G231" s="42" t="str">
        <f>IF($B231="","",SUMPRODUCT(COUNTIFS(pbp_PlayType,EM_Type,pbp_Batter,$B231)*EM_H))</f>
        <v/>
      </c>
      <c r="H231" s="42" t="str">
        <f>IF($B231="","",SUMPRODUCT(COUNTIFS(pbp_PlayType,EM_Type,pbp_Batter,$B231)*EM_2B))</f>
        <v/>
      </c>
      <c r="I231" s="42" t="str">
        <f>IF($B231="","",SUMPRODUCT(COUNTIFS(pbp_PlayType,EM_Type,pbp_Batter,$B231)*EM_3B))</f>
        <v/>
      </c>
      <c r="J231" s="42" t="str">
        <f>IF($B231="","",SUMPRODUCT(COUNTIFS(pbp_PlayType,EM_Type,pbp_Batter,$B231)*EM_HR))</f>
        <v/>
      </c>
      <c r="K231" s="42" t="str">
        <f>IF($B231="","",SUMPRODUCT(COUNTIFS(pbp_PlayType,EM_Type,pbp_Batter,$B231)*EM_1B))</f>
        <v/>
      </c>
      <c r="L231" s="42" t="str">
        <f>IF($B231="","",SUMPRODUCT(COUNTIFS(pbp_PlayType,EM_Type,pbp_Batter,$B231)*EM_BB))</f>
        <v/>
      </c>
      <c r="M231" s="42" t="str">
        <f>IF($B231="","",SUMPRODUCT(COUNTIFS(pbp_PlayType,EM_Type,pbp_Batter,$B231)*EM_HBP))</f>
        <v/>
      </c>
      <c r="N231" s="42" t="str">
        <f>IF($B231="","",COUNTIFS(pbp_PlayType,"?*",pbp_Desc,"*struck out*",pbp_Batter,$B231))</f>
        <v/>
      </c>
      <c r="O231" s="42" t="str">
        <f>IF($B231="","",SUMPRODUCT(COUNTIFS(pbp_PlayType,EM_Type,pbp_Batter,$B231)*EM_SF))</f>
        <v/>
      </c>
      <c r="P231" s="42" t="str">
        <f>IF($B231="","",SUMIFS(pbp_Runs,pbp_Batter,$B231))</f>
        <v/>
      </c>
      <c r="Q231" s="58" t="str">
        <f t="shared" si="24"/>
        <v/>
      </c>
      <c r="R231" s="58" t="str">
        <f t="shared" si="25"/>
        <v/>
      </c>
      <c r="S231" s="58" t="str">
        <f t="shared" si="26"/>
        <v/>
      </c>
      <c r="T231" s="58" t="str">
        <f t="shared" si="27"/>
        <v/>
      </c>
      <c r="U231" s="58" t="str">
        <f t="shared" si="28"/>
        <v/>
      </c>
      <c r="V231" s="59" t="str">
        <f t="shared" si="29"/>
        <v/>
      </c>
      <c r="W231" s="59" t="str">
        <f t="shared" si="30"/>
        <v/>
      </c>
      <c r="X231" s="60" t="str">
        <f>IF($B231="","",IF((E231)=0,"",(SUMIFS(pbp_Pitches,pbp_Batter,$B231,pbp_PlayType,"?*"))/(E231)))</f>
        <v/>
      </c>
      <c r="Y231" s="42" t="str">
        <f t="shared" si="31"/>
        <v/>
      </c>
      <c r="Z231" s="58" t="str">
        <f>IF($B231="","",IF((SUMPRODUCT(COUNTIFS(pbp_PlayType,EM_Type,pbp_Batter,$B231,pbp_On2B,"?*")*EM_AB)+SUMPRODUCT(COUNTIFS(pbp_PlayType,EM_Type,pbp_Batter,$B231,pbp_On2B,"",pbp_On3B,"?*")*EM_AB))=0,"",(SUMPRODUCT(COUNTIFS(pbp_PlayType,EM_Type,pbp_Batter,$B231,pbp_On2B,"?*")*EM_H)+SUMPRODUCT(COUNTIFS(pbp_PlayType,EM_Type,pbp_Batter,$B231,pbp_On2B,"",pbp_On3B,"?*")*EM_H))/(SUMPRODUCT(COUNTIFS(pbp_PlayType,EM_Type,pbp_Batter,$B231,pbp_On2B,"?*")*EM_AB)+SUMPRODUCT(COUNTIFS(pbp_PlayType,EM_Type,pbp_Batter,$B231,pbp_On2B,"",pbp_On3B,"?*")*EM_AB))))</f>
        <v/>
      </c>
      <c r="AA231" s="62" t="str">
        <f>IF($B231="","",IF(OR(E231&lt;MinPA,T231=""),"",COUNTIFS($E$6:$E$255,"&gt;="&amp;MinPA,$T$6:$T$255,"&gt;"&amp;T231)+COUNTIFS($E$5:E230,"&gt;="&amp;MinPA,$T$5:T230,T231)+1))</f>
        <v/>
      </c>
    </row>
    <row r="232" spans="2:27" x14ac:dyDescent="0.2">
      <c r="B232" s="44" t="str">
        <f t="array" ref="B232">IFERROR(INDEX(pbp_Batter,MATCH(0,COUNTIF($B$5:B231,pbp_Batter)+(pbp_Batter=""),0)),"")</f>
        <v/>
      </c>
      <c r="C232" s="61" t="str">
        <f>IF($B232="","",IFERROR(INDEX(pbp_BatTeam,MATCH($B232,pbp_Batter,0)),""))</f>
        <v/>
      </c>
      <c r="D232" s="61" t="str">
        <f>IF($B232="","",IFERROR(INDEX(pbp_BatHand,MATCH($B232,pbp_Batter,0)),""))</f>
        <v/>
      </c>
      <c r="E232" s="42" t="str">
        <f>IF($B232="","",SUMPRODUCT(COUNTIFS(pbp_PlayType,EM_Type,pbp_Batter,$B232)*EM_PA))</f>
        <v/>
      </c>
      <c r="F232" s="42" t="str">
        <f>IF($B232="","",SUMPRODUCT(COUNTIFS(pbp_PlayType,EM_Type,pbp_Batter,$B232)*EM_AB))</f>
        <v/>
      </c>
      <c r="G232" s="42" t="str">
        <f>IF($B232="","",SUMPRODUCT(COUNTIFS(pbp_PlayType,EM_Type,pbp_Batter,$B232)*EM_H))</f>
        <v/>
      </c>
      <c r="H232" s="42" t="str">
        <f>IF($B232="","",SUMPRODUCT(COUNTIFS(pbp_PlayType,EM_Type,pbp_Batter,$B232)*EM_2B))</f>
        <v/>
      </c>
      <c r="I232" s="42" t="str">
        <f>IF($B232="","",SUMPRODUCT(COUNTIFS(pbp_PlayType,EM_Type,pbp_Batter,$B232)*EM_3B))</f>
        <v/>
      </c>
      <c r="J232" s="42" t="str">
        <f>IF($B232="","",SUMPRODUCT(COUNTIFS(pbp_PlayType,EM_Type,pbp_Batter,$B232)*EM_HR))</f>
        <v/>
      </c>
      <c r="K232" s="42" t="str">
        <f>IF($B232="","",SUMPRODUCT(COUNTIFS(pbp_PlayType,EM_Type,pbp_Batter,$B232)*EM_1B))</f>
        <v/>
      </c>
      <c r="L232" s="42" t="str">
        <f>IF($B232="","",SUMPRODUCT(COUNTIFS(pbp_PlayType,EM_Type,pbp_Batter,$B232)*EM_BB))</f>
        <v/>
      </c>
      <c r="M232" s="42" t="str">
        <f>IF($B232="","",SUMPRODUCT(COUNTIFS(pbp_PlayType,EM_Type,pbp_Batter,$B232)*EM_HBP))</f>
        <v/>
      </c>
      <c r="N232" s="42" t="str">
        <f>IF($B232="","",COUNTIFS(pbp_PlayType,"?*",pbp_Desc,"*struck out*",pbp_Batter,$B232))</f>
        <v/>
      </c>
      <c r="O232" s="42" t="str">
        <f>IF($B232="","",SUMPRODUCT(COUNTIFS(pbp_PlayType,EM_Type,pbp_Batter,$B232)*EM_SF))</f>
        <v/>
      </c>
      <c r="P232" s="42" t="str">
        <f>IF($B232="","",SUMIFS(pbp_Runs,pbp_Batter,$B232))</f>
        <v/>
      </c>
      <c r="Q232" s="58" t="str">
        <f t="shared" si="24"/>
        <v/>
      </c>
      <c r="R232" s="58" t="str">
        <f t="shared" si="25"/>
        <v/>
      </c>
      <c r="S232" s="58" t="str">
        <f t="shared" si="26"/>
        <v/>
      </c>
      <c r="T232" s="58" t="str">
        <f t="shared" si="27"/>
        <v/>
      </c>
      <c r="U232" s="58" t="str">
        <f t="shared" si="28"/>
        <v/>
      </c>
      <c r="V232" s="59" t="str">
        <f t="shared" si="29"/>
        <v/>
      </c>
      <c r="W232" s="59" t="str">
        <f t="shared" si="30"/>
        <v/>
      </c>
      <c r="X232" s="60" t="str">
        <f>IF($B232="","",IF((E232)=0,"",(SUMIFS(pbp_Pitches,pbp_Batter,$B232,pbp_PlayType,"?*"))/(E232)))</f>
        <v/>
      </c>
      <c r="Y232" s="42" t="str">
        <f t="shared" si="31"/>
        <v/>
      </c>
      <c r="Z232" s="58" t="str">
        <f>IF($B232="","",IF((SUMPRODUCT(COUNTIFS(pbp_PlayType,EM_Type,pbp_Batter,$B232,pbp_On2B,"?*")*EM_AB)+SUMPRODUCT(COUNTIFS(pbp_PlayType,EM_Type,pbp_Batter,$B232,pbp_On2B,"",pbp_On3B,"?*")*EM_AB))=0,"",(SUMPRODUCT(COUNTIFS(pbp_PlayType,EM_Type,pbp_Batter,$B232,pbp_On2B,"?*")*EM_H)+SUMPRODUCT(COUNTIFS(pbp_PlayType,EM_Type,pbp_Batter,$B232,pbp_On2B,"",pbp_On3B,"?*")*EM_H))/(SUMPRODUCT(COUNTIFS(pbp_PlayType,EM_Type,pbp_Batter,$B232,pbp_On2B,"?*")*EM_AB)+SUMPRODUCT(COUNTIFS(pbp_PlayType,EM_Type,pbp_Batter,$B232,pbp_On2B,"",pbp_On3B,"?*")*EM_AB))))</f>
        <v/>
      </c>
      <c r="AA232" s="62" t="str">
        <f>IF($B232="","",IF(OR(E232&lt;MinPA,T232=""),"",COUNTIFS($E$6:$E$255,"&gt;="&amp;MinPA,$T$6:$T$255,"&gt;"&amp;T232)+COUNTIFS($E$5:E231,"&gt;="&amp;MinPA,$T$5:T231,T232)+1))</f>
        <v/>
      </c>
    </row>
    <row r="233" spans="2:27" x14ac:dyDescent="0.2">
      <c r="B233" s="44" t="str">
        <f t="array" ref="B233">IFERROR(INDEX(pbp_Batter,MATCH(0,COUNTIF($B$5:B232,pbp_Batter)+(pbp_Batter=""),0)),"")</f>
        <v/>
      </c>
      <c r="C233" s="61" t="str">
        <f>IF($B233="","",IFERROR(INDEX(pbp_BatTeam,MATCH($B233,pbp_Batter,0)),""))</f>
        <v/>
      </c>
      <c r="D233" s="61" t="str">
        <f>IF($B233="","",IFERROR(INDEX(pbp_BatHand,MATCH($B233,pbp_Batter,0)),""))</f>
        <v/>
      </c>
      <c r="E233" s="42" t="str">
        <f>IF($B233="","",SUMPRODUCT(COUNTIFS(pbp_PlayType,EM_Type,pbp_Batter,$B233)*EM_PA))</f>
        <v/>
      </c>
      <c r="F233" s="42" t="str">
        <f>IF($B233="","",SUMPRODUCT(COUNTIFS(pbp_PlayType,EM_Type,pbp_Batter,$B233)*EM_AB))</f>
        <v/>
      </c>
      <c r="G233" s="42" t="str">
        <f>IF($B233="","",SUMPRODUCT(COUNTIFS(pbp_PlayType,EM_Type,pbp_Batter,$B233)*EM_H))</f>
        <v/>
      </c>
      <c r="H233" s="42" t="str">
        <f>IF($B233="","",SUMPRODUCT(COUNTIFS(pbp_PlayType,EM_Type,pbp_Batter,$B233)*EM_2B))</f>
        <v/>
      </c>
      <c r="I233" s="42" t="str">
        <f>IF($B233="","",SUMPRODUCT(COUNTIFS(pbp_PlayType,EM_Type,pbp_Batter,$B233)*EM_3B))</f>
        <v/>
      </c>
      <c r="J233" s="42" t="str">
        <f>IF($B233="","",SUMPRODUCT(COUNTIFS(pbp_PlayType,EM_Type,pbp_Batter,$B233)*EM_HR))</f>
        <v/>
      </c>
      <c r="K233" s="42" t="str">
        <f>IF($B233="","",SUMPRODUCT(COUNTIFS(pbp_PlayType,EM_Type,pbp_Batter,$B233)*EM_1B))</f>
        <v/>
      </c>
      <c r="L233" s="42" t="str">
        <f>IF($B233="","",SUMPRODUCT(COUNTIFS(pbp_PlayType,EM_Type,pbp_Batter,$B233)*EM_BB))</f>
        <v/>
      </c>
      <c r="M233" s="42" t="str">
        <f>IF($B233="","",SUMPRODUCT(COUNTIFS(pbp_PlayType,EM_Type,pbp_Batter,$B233)*EM_HBP))</f>
        <v/>
      </c>
      <c r="N233" s="42" t="str">
        <f>IF($B233="","",COUNTIFS(pbp_PlayType,"?*",pbp_Desc,"*struck out*",pbp_Batter,$B233))</f>
        <v/>
      </c>
      <c r="O233" s="42" t="str">
        <f>IF($B233="","",SUMPRODUCT(COUNTIFS(pbp_PlayType,EM_Type,pbp_Batter,$B233)*EM_SF))</f>
        <v/>
      </c>
      <c r="P233" s="42" t="str">
        <f>IF($B233="","",SUMIFS(pbp_Runs,pbp_Batter,$B233))</f>
        <v/>
      </c>
      <c r="Q233" s="58" t="str">
        <f t="shared" si="24"/>
        <v/>
      </c>
      <c r="R233" s="58" t="str">
        <f t="shared" si="25"/>
        <v/>
      </c>
      <c r="S233" s="58" t="str">
        <f t="shared" si="26"/>
        <v/>
      </c>
      <c r="T233" s="58" t="str">
        <f t="shared" si="27"/>
        <v/>
      </c>
      <c r="U233" s="58" t="str">
        <f t="shared" si="28"/>
        <v/>
      </c>
      <c r="V233" s="59" t="str">
        <f t="shared" si="29"/>
        <v/>
      </c>
      <c r="W233" s="59" t="str">
        <f t="shared" si="30"/>
        <v/>
      </c>
      <c r="X233" s="60" t="str">
        <f>IF($B233="","",IF((E233)=0,"",(SUMIFS(pbp_Pitches,pbp_Batter,$B233,pbp_PlayType,"?*"))/(E233)))</f>
        <v/>
      </c>
      <c r="Y233" s="42" t="str">
        <f t="shared" si="31"/>
        <v/>
      </c>
      <c r="Z233" s="58" t="str">
        <f>IF($B233="","",IF((SUMPRODUCT(COUNTIFS(pbp_PlayType,EM_Type,pbp_Batter,$B233,pbp_On2B,"?*")*EM_AB)+SUMPRODUCT(COUNTIFS(pbp_PlayType,EM_Type,pbp_Batter,$B233,pbp_On2B,"",pbp_On3B,"?*")*EM_AB))=0,"",(SUMPRODUCT(COUNTIFS(pbp_PlayType,EM_Type,pbp_Batter,$B233,pbp_On2B,"?*")*EM_H)+SUMPRODUCT(COUNTIFS(pbp_PlayType,EM_Type,pbp_Batter,$B233,pbp_On2B,"",pbp_On3B,"?*")*EM_H))/(SUMPRODUCT(COUNTIFS(pbp_PlayType,EM_Type,pbp_Batter,$B233,pbp_On2B,"?*")*EM_AB)+SUMPRODUCT(COUNTIFS(pbp_PlayType,EM_Type,pbp_Batter,$B233,pbp_On2B,"",pbp_On3B,"?*")*EM_AB))))</f>
        <v/>
      </c>
      <c r="AA233" s="62" t="str">
        <f>IF($B233="","",IF(OR(E233&lt;MinPA,T233=""),"",COUNTIFS($E$6:$E$255,"&gt;="&amp;MinPA,$T$6:$T$255,"&gt;"&amp;T233)+COUNTIFS($E$5:E232,"&gt;="&amp;MinPA,$T$5:T232,T233)+1))</f>
        <v/>
      </c>
    </row>
    <row r="234" spans="2:27" x14ac:dyDescent="0.2">
      <c r="B234" s="44" t="str">
        <f t="array" ref="B234">IFERROR(INDEX(pbp_Batter,MATCH(0,COUNTIF($B$5:B233,pbp_Batter)+(pbp_Batter=""),0)),"")</f>
        <v/>
      </c>
      <c r="C234" s="61" t="str">
        <f>IF($B234="","",IFERROR(INDEX(pbp_BatTeam,MATCH($B234,pbp_Batter,0)),""))</f>
        <v/>
      </c>
      <c r="D234" s="61" t="str">
        <f>IF($B234="","",IFERROR(INDEX(pbp_BatHand,MATCH($B234,pbp_Batter,0)),""))</f>
        <v/>
      </c>
      <c r="E234" s="42" t="str">
        <f>IF($B234="","",SUMPRODUCT(COUNTIFS(pbp_PlayType,EM_Type,pbp_Batter,$B234)*EM_PA))</f>
        <v/>
      </c>
      <c r="F234" s="42" t="str">
        <f>IF($B234="","",SUMPRODUCT(COUNTIFS(pbp_PlayType,EM_Type,pbp_Batter,$B234)*EM_AB))</f>
        <v/>
      </c>
      <c r="G234" s="42" t="str">
        <f>IF($B234="","",SUMPRODUCT(COUNTIFS(pbp_PlayType,EM_Type,pbp_Batter,$B234)*EM_H))</f>
        <v/>
      </c>
      <c r="H234" s="42" t="str">
        <f>IF($B234="","",SUMPRODUCT(COUNTIFS(pbp_PlayType,EM_Type,pbp_Batter,$B234)*EM_2B))</f>
        <v/>
      </c>
      <c r="I234" s="42" t="str">
        <f>IF($B234="","",SUMPRODUCT(COUNTIFS(pbp_PlayType,EM_Type,pbp_Batter,$B234)*EM_3B))</f>
        <v/>
      </c>
      <c r="J234" s="42" t="str">
        <f>IF($B234="","",SUMPRODUCT(COUNTIFS(pbp_PlayType,EM_Type,pbp_Batter,$B234)*EM_HR))</f>
        <v/>
      </c>
      <c r="K234" s="42" t="str">
        <f>IF($B234="","",SUMPRODUCT(COUNTIFS(pbp_PlayType,EM_Type,pbp_Batter,$B234)*EM_1B))</f>
        <v/>
      </c>
      <c r="L234" s="42" t="str">
        <f>IF($B234="","",SUMPRODUCT(COUNTIFS(pbp_PlayType,EM_Type,pbp_Batter,$B234)*EM_BB))</f>
        <v/>
      </c>
      <c r="M234" s="42" t="str">
        <f>IF($B234="","",SUMPRODUCT(COUNTIFS(pbp_PlayType,EM_Type,pbp_Batter,$B234)*EM_HBP))</f>
        <v/>
      </c>
      <c r="N234" s="42" t="str">
        <f>IF($B234="","",COUNTIFS(pbp_PlayType,"?*",pbp_Desc,"*struck out*",pbp_Batter,$B234))</f>
        <v/>
      </c>
      <c r="O234" s="42" t="str">
        <f>IF($B234="","",SUMPRODUCT(COUNTIFS(pbp_PlayType,EM_Type,pbp_Batter,$B234)*EM_SF))</f>
        <v/>
      </c>
      <c r="P234" s="42" t="str">
        <f>IF($B234="","",SUMIFS(pbp_Runs,pbp_Batter,$B234))</f>
        <v/>
      </c>
      <c r="Q234" s="58" t="str">
        <f t="shared" si="24"/>
        <v/>
      </c>
      <c r="R234" s="58" t="str">
        <f t="shared" si="25"/>
        <v/>
      </c>
      <c r="S234" s="58" t="str">
        <f t="shared" si="26"/>
        <v/>
      </c>
      <c r="T234" s="58" t="str">
        <f t="shared" si="27"/>
        <v/>
      </c>
      <c r="U234" s="58" t="str">
        <f t="shared" si="28"/>
        <v/>
      </c>
      <c r="V234" s="59" t="str">
        <f t="shared" si="29"/>
        <v/>
      </c>
      <c r="W234" s="59" t="str">
        <f t="shared" si="30"/>
        <v/>
      </c>
      <c r="X234" s="60" t="str">
        <f>IF($B234="","",IF((E234)=0,"",(SUMIFS(pbp_Pitches,pbp_Batter,$B234,pbp_PlayType,"?*"))/(E234)))</f>
        <v/>
      </c>
      <c r="Y234" s="42" t="str">
        <f t="shared" si="31"/>
        <v/>
      </c>
      <c r="Z234" s="58" t="str">
        <f>IF($B234="","",IF((SUMPRODUCT(COUNTIFS(pbp_PlayType,EM_Type,pbp_Batter,$B234,pbp_On2B,"?*")*EM_AB)+SUMPRODUCT(COUNTIFS(pbp_PlayType,EM_Type,pbp_Batter,$B234,pbp_On2B,"",pbp_On3B,"?*")*EM_AB))=0,"",(SUMPRODUCT(COUNTIFS(pbp_PlayType,EM_Type,pbp_Batter,$B234,pbp_On2B,"?*")*EM_H)+SUMPRODUCT(COUNTIFS(pbp_PlayType,EM_Type,pbp_Batter,$B234,pbp_On2B,"",pbp_On3B,"?*")*EM_H))/(SUMPRODUCT(COUNTIFS(pbp_PlayType,EM_Type,pbp_Batter,$B234,pbp_On2B,"?*")*EM_AB)+SUMPRODUCT(COUNTIFS(pbp_PlayType,EM_Type,pbp_Batter,$B234,pbp_On2B,"",pbp_On3B,"?*")*EM_AB))))</f>
        <v/>
      </c>
      <c r="AA234" s="62" t="str">
        <f>IF($B234="","",IF(OR(E234&lt;MinPA,T234=""),"",COUNTIFS($E$6:$E$255,"&gt;="&amp;MinPA,$T$6:$T$255,"&gt;"&amp;T234)+COUNTIFS($E$5:E233,"&gt;="&amp;MinPA,$T$5:T233,T234)+1))</f>
        <v/>
      </c>
    </row>
    <row r="235" spans="2:27" x14ac:dyDescent="0.2">
      <c r="B235" s="44" t="str">
        <f t="array" ref="B235">IFERROR(INDEX(pbp_Batter,MATCH(0,COUNTIF($B$5:B234,pbp_Batter)+(pbp_Batter=""),0)),"")</f>
        <v/>
      </c>
      <c r="C235" s="61" t="str">
        <f>IF($B235="","",IFERROR(INDEX(pbp_BatTeam,MATCH($B235,pbp_Batter,0)),""))</f>
        <v/>
      </c>
      <c r="D235" s="61" t="str">
        <f>IF($B235="","",IFERROR(INDEX(pbp_BatHand,MATCH($B235,pbp_Batter,0)),""))</f>
        <v/>
      </c>
      <c r="E235" s="42" t="str">
        <f>IF($B235="","",SUMPRODUCT(COUNTIFS(pbp_PlayType,EM_Type,pbp_Batter,$B235)*EM_PA))</f>
        <v/>
      </c>
      <c r="F235" s="42" t="str">
        <f>IF($B235="","",SUMPRODUCT(COUNTIFS(pbp_PlayType,EM_Type,pbp_Batter,$B235)*EM_AB))</f>
        <v/>
      </c>
      <c r="G235" s="42" t="str">
        <f>IF($B235="","",SUMPRODUCT(COUNTIFS(pbp_PlayType,EM_Type,pbp_Batter,$B235)*EM_H))</f>
        <v/>
      </c>
      <c r="H235" s="42" t="str">
        <f>IF($B235="","",SUMPRODUCT(COUNTIFS(pbp_PlayType,EM_Type,pbp_Batter,$B235)*EM_2B))</f>
        <v/>
      </c>
      <c r="I235" s="42" t="str">
        <f>IF($B235="","",SUMPRODUCT(COUNTIFS(pbp_PlayType,EM_Type,pbp_Batter,$B235)*EM_3B))</f>
        <v/>
      </c>
      <c r="J235" s="42" t="str">
        <f>IF($B235="","",SUMPRODUCT(COUNTIFS(pbp_PlayType,EM_Type,pbp_Batter,$B235)*EM_HR))</f>
        <v/>
      </c>
      <c r="K235" s="42" t="str">
        <f>IF($B235="","",SUMPRODUCT(COUNTIFS(pbp_PlayType,EM_Type,pbp_Batter,$B235)*EM_1B))</f>
        <v/>
      </c>
      <c r="L235" s="42" t="str">
        <f>IF($B235="","",SUMPRODUCT(COUNTIFS(pbp_PlayType,EM_Type,pbp_Batter,$B235)*EM_BB))</f>
        <v/>
      </c>
      <c r="M235" s="42" t="str">
        <f>IF($B235="","",SUMPRODUCT(COUNTIFS(pbp_PlayType,EM_Type,pbp_Batter,$B235)*EM_HBP))</f>
        <v/>
      </c>
      <c r="N235" s="42" t="str">
        <f>IF($B235="","",COUNTIFS(pbp_PlayType,"?*",pbp_Desc,"*struck out*",pbp_Batter,$B235))</f>
        <v/>
      </c>
      <c r="O235" s="42" t="str">
        <f>IF($B235="","",SUMPRODUCT(COUNTIFS(pbp_PlayType,EM_Type,pbp_Batter,$B235)*EM_SF))</f>
        <v/>
      </c>
      <c r="P235" s="42" t="str">
        <f>IF($B235="","",SUMIFS(pbp_Runs,pbp_Batter,$B235))</f>
        <v/>
      </c>
      <c r="Q235" s="58" t="str">
        <f t="shared" si="24"/>
        <v/>
      </c>
      <c r="R235" s="58" t="str">
        <f t="shared" si="25"/>
        <v/>
      </c>
      <c r="S235" s="58" t="str">
        <f t="shared" si="26"/>
        <v/>
      </c>
      <c r="T235" s="58" t="str">
        <f t="shared" si="27"/>
        <v/>
      </c>
      <c r="U235" s="58" t="str">
        <f t="shared" si="28"/>
        <v/>
      </c>
      <c r="V235" s="59" t="str">
        <f t="shared" si="29"/>
        <v/>
      </c>
      <c r="W235" s="59" t="str">
        <f t="shared" si="30"/>
        <v/>
      </c>
      <c r="X235" s="60" t="str">
        <f>IF($B235="","",IF((E235)=0,"",(SUMIFS(pbp_Pitches,pbp_Batter,$B235,pbp_PlayType,"?*"))/(E235)))</f>
        <v/>
      </c>
      <c r="Y235" s="42" t="str">
        <f t="shared" si="31"/>
        <v/>
      </c>
      <c r="Z235" s="58" t="str">
        <f>IF($B235="","",IF((SUMPRODUCT(COUNTIFS(pbp_PlayType,EM_Type,pbp_Batter,$B235,pbp_On2B,"?*")*EM_AB)+SUMPRODUCT(COUNTIFS(pbp_PlayType,EM_Type,pbp_Batter,$B235,pbp_On2B,"",pbp_On3B,"?*")*EM_AB))=0,"",(SUMPRODUCT(COUNTIFS(pbp_PlayType,EM_Type,pbp_Batter,$B235,pbp_On2B,"?*")*EM_H)+SUMPRODUCT(COUNTIFS(pbp_PlayType,EM_Type,pbp_Batter,$B235,pbp_On2B,"",pbp_On3B,"?*")*EM_H))/(SUMPRODUCT(COUNTIFS(pbp_PlayType,EM_Type,pbp_Batter,$B235,pbp_On2B,"?*")*EM_AB)+SUMPRODUCT(COUNTIFS(pbp_PlayType,EM_Type,pbp_Batter,$B235,pbp_On2B,"",pbp_On3B,"?*")*EM_AB))))</f>
        <v/>
      </c>
      <c r="AA235" s="62" t="str">
        <f>IF($B235="","",IF(OR(E235&lt;MinPA,T235=""),"",COUNTIFS($E$6:$E$255,"&gt;="&amp;MinPA,$T$6:$T$255,"&gt;"&amp;T235)+COUNTIFS($E$5:E234,"&gt;="&amp;MinPA,$T$5:T234,T235)+1))</f>
        <v/>
      </c>
    </row>
    <row r="236" spans="2:27" x14ac:dyDescent="0.2">
      <c r="B236" s="44" t="str">
        <f t="array" ref="B236">IFERROR(INDEX(pbp_Batter,MATCH(0,COUNTIF($B$5:B235,pbp_Batter)+(pbp_Batter=""),0)),"")</f>
        <v/>
      </c>
      <c r="C236" s="61" t="str">
        <f>IF($B236="","",IFERROR(INDEX(pbp_BatTeam,MATCH($B236,pbp_Batter,0)),""))</f>
        <v/>
      </c>
      <c r="D236" s="61" t="str">
        <f>IF($B236="","",IFERROR(INDEX(pbp_BatHand,MATCH($B236,pbp_Batter,0)),""))</f>
        <v/>
      </c>
      <c r="E236" s="42" t="str">
        <f>IF($B236="","",SUMPRODUCT(COUNTIFS(pbp_PlayType,EM_Type,pbp_Batter,$B236)*EM_PA))</f>
        <v/>
      </c>
      <c r="F236" s="42" t="str">
        <f>IF($B236="","",SUMPRODUCT(COUNTIFS(pbp_PlayType,EM_Type,pbp_Batter,$B236)*EM_AB))</f>
        <v/>
      </c>
      <c r="G236" s="42" t="str">
        <f>IF($B236="","",SUMPRODUCT(COUNTIFS(pbp_PlayType,EM_Type,pbp_Batter,$B236)*EM_H))</f>
        <v/>
      </c>
      <c r="H236" s="42" t="str">
        <f>IF($B236="","",SUMPRODUCT(COUNTIFS(pbp_PlayType,EM_Type,pbp_Batter,$B236)*EM_2B))</f>
        <v/>
      </c>
      <c r="I236" s="42" t="str">
        <f>IF($B236="","",SUMPRODUCT(COUNTIFS(pbp_PlayType,EM_Type,pbp_Batter,$B236)*EM_3B))</f>
        <v/>
      </c>
      <c r="J236" s="42" t="str">
        <f>IF($B236="","",SUMPRODUCT(COUNTIFS(pbp_PlayType,EM_Type,pbp_Batter,$B236)*EM_HR))</f>
        <v/>
      </c>
      <c r="K236" s="42" t="str">
        <f>IF($B236="","",SUMPRODUCT(COUNTIFS(pbp_PlayType,EM_Type,pbp_Batter,$B236)*EM_1B))</f>
        <v/>
      </c>
      <c r="L236" s="42" t="str">
        <f>IF($B236="","",SUMPRODUCT(COUNTIFS(pbp_PlayType,EM_Type,pbp_Batter,$B236)*EM_BB))</f>
        <v/>
      </c>
      <c r="M236" s="42" t="str">
        <f>IF($B236="","",SUMPRODUCT(COUNTIFS(pbp_PlayType,EM_Type,pbp_Batter,$B236)*EM_HBP))</f>
        <v/>
      </c>
      <c r="N236" s="42" t="str">
        <f>IF($B236="","",COUNTIFS(pbp_PlayType,"?*",pbp_Desc,"*struck out*",pbp_Batter,$B236))</f>
        <v/>
      </c>
      <c r="O236" s="42" t="str">
        <f>IF($B236="","",SUMPRODUCT(COUNTIFS(pbp_PlayType,EM_Type,pbp_Batter,$B236)*EM_SF))</f>
        <v/>
      </c>
      <c r="P236" s="42" t="str">
        <f>IF($B236="","",SUMIFS(pbp_Runs,pbp_Batter,$B236))</f>
        <v/>
      </c>
      <c r="Q236" s="58" t="str">
        <f t="shared" si="24"/>
        <v/>
      </c>
      <c r="R236" s="58" t="str">
        <f t="shared" si="25"/>
        <v/>
      </c>
      <c r="S236" s="58" t="str">
        <f t="shared" si="26"/>
        <v/>
      </c>
      <c r="T236" s="58" t="str">
        <f t="shared" si="27"/>
        <v/>
      </c>
      <c r="U236" s="58" t="str">
        <f t="shared" si="28"/>
        <v/>
      </c>
      <c r="V236" s="59" t="str">
        <f t="shared" si="29"/>
        <v/>
      </c>
      <c r="W236" s="59" t="str">
        <f t="shared" si="30"/>
        <v/>
      </c>
      <c r="X236" s="60" t="str">
        <f>IF($B236="","",IF((E236)=0,"",(SUMIFS(pbp_Pitches,pbp_Batter,$B236,pbp_PlayType,"?*"))/(E236)))</f>
        <v/>
      </c>
      <c r="Y236" s="42" t="str">
        <f t="shared" si="31"/>
        <v/>
      </c>
      <c r="Z236" s="58" t="str">
        <f>IF($B236="","",IF((SUMPRODUCT(COUNTIFS(pbp_PlayType,EM_Type,pbp_Batter,$B236,pbp_On2B,"?*")*EM_AB)+SUMPRODUCT(COUNTIFS(pbp_PlayType,EM_Type,pbp_Batter,$B236,pbp_On2B,"",pbp_On3B,"?*")*EM_AB))=0,"",(SUMPRODUCT(COUNTIFS(pbp_PlayType,EM_Type,pbp_Batter,$B236,pbp_On2B,"?*")*EM_H)+SUMPRODUCT(COUNTIFS(pbp_PlayType,EM_Type,pbp_Batter,$B236,pbp_On2B,"",pbp_On3B,"?*")*EM_H))/(SUMPRODUCT(COUNTIFS(pbp_PlayType,EM_Type,pbp_Batter,$B236,pbp_On2B,"?*")*EM_AB)+SUMPRODUCT(COUNTIFS(pbp_PlayType,EM_Type,pbp_Batter,$B236,pbp_On2B,"",pbp_On3B,"?*")*EM_AB))))</f>
        <v/>
      </c>
      <c r="AA236" s="62" t="str">
        <f>IF($B236="","",IF(OR(E236&lt;MinPA,T236=""),"",COUNTIFS($E$6:$E$255,"&gt;="&amp;MinPA,$T$6:$T$255,"&gt;"&amp;T236)+COUNTIFS($E$5:E235,"&gt;="&amp;MinPA,$T$5:T235,T236)+1))</f>
        <v/>
      </c>
    </row>
    <row r="237" spans="2:27" x14ac:dyDescent="0.2">
      <c r="B237" s="44" t="str">
        <f t="array" ref="B237">IFERROR(INDEX(pbp_Batter,MATCH(0,COUNTIF($B$5:B236,pbp_Batter)+(pbp_Batter=""),0)),"")</f>
        <v/>
      </c>
      <c r="C237" s="61" t="str">
        <f>IF($B237="","",IFERROR(INDEX(pbp_BatTeam,MATCH($B237,pbp_Batter,0)),""))</f>
        <v/>
      </c>
      <c r="D237" s="61" t="str">
        <f>IF($B237="","",IFERROR(INDEX(pbp_BatHand,MATCH($B237,pbp_Batter,0)),""))</f>
        <v/>
      </c>
      <c r="E237" s="42" t="str">
        <f>IF($B237="","",SUMPRODUCT(COUNTIFS(pbp_PlayType,EM_Type,pbp_Batter,$B237)*EM_PA))</f>
        <v/>
      </c>
      <c r="F237" s="42" t="str">
        <f>IF($B237="","",SUMPRODUCT(COUNTIFS(pbp_PlayType,EM_Type,pbp_Batter,$B237)*EM_AB))</f>
        <v/>
      </c>
      <c r="G237" s="42" t="str">
        <f>IF($B237="","",SUMPRODUCT(COUNTIFS(pbp_PlayType,EM_Type,pbp_Batter,$B237)*EM_H))</f>
        <v/>
      </c>
      <c r="H237" s="42" t="str">
        <f>IF($B237="","",SUMPRODUCT(COUNTIFS(pbp_PlayType,EM_Type,pbp_Batter,$B237)*EM_2B))</f>
        <v/>
      </c>
      <c r="I237" s="42" t="str">
        <f>IF($B237="","",SUMPRODUCT(COUNTIFS(pbp_PlayType,EM_Type,pbp_Batter,$B237)*EM_3B))</f>
        <v/>
      </c>
      <c r="J237" s="42" t="str">
        <f>IF($B237="","",SUMPRODUCT(COUNTIFS(pbp_PlayType,EM_Type,pbp_Batter,$B237)*EM_HR))</f>
        <v/>
      </c>
      <c r="K237" s="42" t="str">
        <f>IF($B237="","",SUMPRODUCT(COUNTIFS(pbp_PlayType,EM_Type,pbp_Batter,$B237)*EM_1B))</f>
        <v/>
      </c>
      <c r="L237" s="42" t="str">
        <f>IF($B237="","",SUMPRODUCT(COUNTIFS(pbp_PlayType,EM_Type,pbp_Batter,$B237)*EM_BB))</f>
        <v/>
      </c>
      <c r="M237" s="42" t="str">
        <f>IF($B237="","",SUMPRODUCT(COUNTIFS(pbp_PlayType,EM_Type,pbp_Batter,$B237)*EM_HBP))</f>
        <v/>
      </c>
      <c r="N237" s="42" t="str">
        <f>IF($B237="","",COUNTIFS(pbp_PlayType,"?*",pbp_Desc,"*struck out*",pbp_Batter,$B237))</f>
        <v/>
      </c>
      <c r="O237" s="42" t="str">
        <f>IF($B237="","",SUMPRODUCT(COUNTIFS(pbp_PlayType,EM_Type,pbp_Batter,$B237)*EM_SF))</f>
        <v/>
      </c>
      <c r="P237" s="42" t="str">
        <f>IF($B237="","",SUMIFS(pbp_Runs,pbp_Batter,$B237))</f>
        <v/>
      </c>
      <c r="Q237" s="58" t="str">
        <f t="shared" si="24"/>
        <v/>
      </c>
      <c r="R237" s="58" t="str">
        <f t="shared" si="25"/>
        <v/>
      </c>
      <c r="S237" s="58" t="str">
        <f t="shared" si="26"/>
        <v/>
      </c>
      <c r="T237" s="58" t="str">
        <f t="shared" si="27"/>
        <v/>
      </c>
      <c r="U237" s="58" t="str">
        <f t="shared" si="28"/>
        <v/>
      </c>
      <c r="V237" s="59" t="str">
        <f t="shared" si="29"/>
        <v/>
      </c>
      <c r="W237" s="59" t="str">
        <f t="shared" si="30"/>
        <v/>
      </c>
      <c r="X237" s="60" t="str">
        <f>IF($B237="","",IF((E237)=0,"",(SUMIFS(pbp_Pitches,pbp_Batter,$B237,pbp_PlayType,"?*"))/(E237)))</f>
        <v/>
      </c>
      <c r="Y237" s="42" t="str">
        <f t="shared" si="31"/>
        <v/>
      </c>
      <c r="Z237" s="58" t="str">
        <f>IF($B237="","",IF((SUMPRODUCT(COUNTIFS(pbp_PlayType,EM_Type,pbp_Batter,$B237,pbp_On2B,"?*")*EM_AB)+SUMPRODUCT(COUNTIFS(pbp_PlayType,EM_Type,pbp_Batter,$B237,pbp_On2B,"",pbp_On3B,"?*")*EM_AB))=0,"",(SUMPRODUCT(COUNTIFS(pbp_PlayType,EM_Type,pbp_Batter,$B237,pbp_On2B,"?*")*EM_H)+SUMPRODUCT(COUNTIFS(pbp_PlayType,EM_Type,pbp_Batter,$B237,pbp_On2B,"",pbp_On3B,"?*")*EM_H))/(SUMPRODUCT(COUNTIFS(pbp_PlayType,EM_Type,pbp_Batter,$B237,pbp_On2B,"?*")*EM_AB)+SUMPRODUCT(COUNTIFS(pbp_PlayType,EM_Type,pbp_Batter,$B237,pbp_On2B,"",pbp_On3B,"?*")*EM_AB))))</f>
        <v/>
      </c>
      <c r="AA237" s="62" t="str">
        <f>IF($B237="","",IF(OR(E237&lt;MinPA,T237=""),"",COUNTIFS($E$6:$E$255,"&gt;="&amp;MinPA,$T$6:$T$255,"&gt;"&amp;T237)+COUNTIFS($E$5:E236,"&gt;="&amp;MinPA,$T$5:T236,T237)+1))</f>
        <v/>
      </c>
    </row>
    <row r="238" spans="2:27" x14ac:dyDescent="0.2">
      <c r="B238" s="44" t="str">
        <f t="array" ref="B238">IFERROR(INDEX(pbp_Batter,MATCH(0,COUNTIF($B$5:B237,pbp_Batter)+(pbp_Batter=""),0)),"")</f>
        <v/>
      </c>
      <c r="C238" s="61" t="str">
        <f>IF($B238="","",IFERROR(INDEX(pbp_BatTeam,MATCH($B238,pbp_Batter,0)),""))</f>
        <v/>
      </c>
      <c r="D238" s="61" t="str">
        <f>IF($B238="","",IFERROR(INDEX(pbp_BatHand,MATCH($B238,pbp_Batter,0)),""))</f>
        <v/>
      </c>
      <c r="E238" s="42" t="str">
        <f>IF($B238="","",SUMPRODUCT(COUNTIFS(pbp_PlayType,EM_Type,pbp_Batter,$B238)*EM_PA))</f>
        <v/>
      </c>
      <c r="F238" s="42" t="str">
        <f>IF($B238="","",SUMPRODUCT(COUNTIFS(pbp_PlayType,EM_Type,pbp_Batter,$B238)*EM_AB))</f>
        <v/>
      </c>
      <c r="G238" s="42" t="str">
        <f>IF($B238="","",SUMPRODUCT(COUNTIFS(pbp_PlayType,EM_Type,pbp_Batter,$B238)*EM_H))</f>
        <v/>
      </c>
      <c r="H238" s="42" t="str">
        <f>IF($B238="","",SUMPRODUCT(COUNTIFS(pbp_PlayType,EM_Type,pbp_Batter,$B238)*EM_2B))</f>
        <v/>
      </c>
      <c r="I238" s="42" t="str">
        <f>IF($B238="","",SUMPRODUCT(COUNTIFS(pbp_PlayType,EM_Type,pbp_Batter,$B238)*EM_3B))</f>
        <v/>
      </c>
      <c r="J238" s="42" t="str">
        <f>IF($B238="","",SUMPRODUCT(COUNTIFS(pbp_PlayType,EM_Type,pbp_Batter,$B238)*EM_HR))</f>
        <v/>
      </c>
      <c r="K238" s="42" t="str">
        <f>IF($B238="","",SUMPRODUCT(COUNTIFS(pbp_PlayType,EM_Type,pbp_Batter,$B238)*EM_1B))</f>
        <v/>
      </c>
      <c r="L238" s="42" t="str">
        <f>IF($B238="","",SUMPRODUCT(COUNTIFS(pbp_PlayType,EM_Type,pbp_Batter,$B238)*EM_BB))</f>
        <v/>
      </c>
      <c r="M238" s="42" t="str">
        <f>IF($B238="","",SUMPRODUCT(COUNTIFS(pbp_PlayType,EM_Type,pbp_Batter,$B238)*EM_HBP))</f>
        <v/>
      </c>
      <c r="N238" s="42" t="str">
        <f>IF($B238="","",COUNTIFS(pbp_PlayType,"?*",pbp_Desc,"*struck out*",pbp_Batter,$B238))</f>
        <v/>
      </c>
      <c r="O238" s="42" t="str">
        <f>IF($B238="","",SUMPRODUCT(COUNTIFS(pbp_PlayType,EM_Type,pbp_Batter,$B238)*EM_SF))</f>
        <v/>
      </c>
      <c r="P238" s="42" t="str">
        <f>IF($B238="","",SUMIFS(pbp_Runs,pbp_Batter,$B238))</f>
        <v/>
      </c>
      <c r="Q238" s="58" t="str">
        <f t="shared" si="24"/>
        <v/>
      </c>
      <c r="R238" s="58" t="str">
        <f t="shared" si="25"/>
        <v/>
      </c>
      <c r="S238" s="58" t="str">
        <f t="shared" si="26"/>
        <v/>
      </c>
      <c r="T238" s="58" t="str">
        <f t="shared" si="27"/>
        <v/>
      </c>
      <c r="U238" s="58" t="str">
        <f t="shared" si="28"/>
        <v/>
      </c>
      <c r="V238" s="59" t="str">
        <f t="shared" si="29"/>
        <v/>
      </c>
      <c r="W238" s="59" t="str">
        <f t="shared" si="30"/>
        <v/>
      </c>
      <c r="X238" s="60" t="str">
        <f>IF($B238="","",IF((E238)=0,"",(SUMIFS(pbp_Pitches,pbp_Batter,$B238,pbp_PlayType,"?*"))/(E238)))</f>
        <v/>
      </c>
      <c r="Y238" s="42" t="str">
        <f t="shared" si="31"/>
        <v/>
      </c>
      <c r="Z238" s="58" t="str">
        <f>IF($B238="","",IF((SUMPRODUCT(COUNTIFS(pbp_PlayType,EM_Type,pbp_Batter,$B238,pbp_On2B,"?*")*EM_AB)+SUMPRODUCT(COUNTIFS(pbp_PlayType,EM_Type,pbp_Batter,$B238,pbp_On2B,"",pbp_On3B,"?*")*EM_AB))=0,"",(SUMPRODUCT(COUNTIFS(pbp_PlayType,EM_Type,pbp_Batter,$B238,pbp_On2B,"?*")*EM_H)+SUMPRODUCT(COUNTIFS(pbp_PlayType,EM_Type,pbp_Batter,$B238,pbp_On2B,"",pbp_On3B,"?*")*EM_H))/(SUMPRODUCT(COUNTIFS(pbp_PlayType,EM_Type,pbp_Batter,$B238,pbp_On2B,"?*")*EM_AB)+SUMPRODUCT(COUNTIFS(pbp_PlayType,EM_Type,pbp_Batter,$B238,pbp_On2B,"",pbp_On3B,"?*")*EM_AB))))</f>
        <v/>
      </c>
      <c r="AA238" s="62" t="str">
        <f>IF($B238="","",IF(OR(E238&lt;MinPA,T238=""),"",COUNTIFS($E$6:$E$255,"&gt;="&amp;MinPA,$T$6:$T$255,"&gt;"&amp;T238)+COUNTIFS($E$5:E237,"&gt;="&amp;MinPA,$T$5:T237,T238)+1))</f>
        <v/>
      </c>
    </row>
    <row r="239" spans="2:27" x14ac:dyDescent="0.2">
      <c r="B239" s="44" t="str">
        <f t="array" ref="B239">IFERROR(INDEX(pbp_Batter,MATCH(0,COUNTIF($B$5:B238,pbp_Batter)+(pbp_Batter=""),0)),"")</f>
        <v/>
      </c>
      <c r="C239" s="61" t="str">
        <f>IF($B239="","",IFERROR(INDEX(pbp_BatTeam,MATCH($B239,pbp_Batter,0)),""))</f>
        <v/>
      </c>
      <c r="D239" s="61" t="str">
        <f>IF($B239="","",IFERROR(INDEX(pbp_BatHand,MATCH($B239,pbp_Batter,0)),""))</f>
        <v/>
      </c>
      <c r="E239" s="42" t="str">
        <f>IF($B239="","",SUMPRODUCT(COUNTIFS(pbp_PlayType,EM_Type,pbp_Batter,$B239)*EM_PA))</f>
        <v/>
      </c>
      <c r="F239" s="42" t="str">
        <f>IF($B239="","",SUMPRODUCT(COUNTIFS(pbp_PlayType,EM_Type,pbp_Batter,$B239)*EM_AB))</f>
        <v/>
      </c>
      <c r="G239" s="42" t="str">
        <f>IF($B239="","",SUMPRODUCT(COUNTIFS(pbp_PlayType,EM_Type,pbp_Batter,$B239)*EM_H))</f>
        <v/>
      </c>
      <c r="H239" s="42" t="str">
        <f>IF($B239="","",SUMPRODUCT(COUNTIFS(pbp_PlayType,EM_Type,pbp_Batter,$B239)*EM_2B))</f>
        <v/>
      </c>
      <c r="I239" s="42" t="str">
        <f>IF($B239="","",SUMPRODUCT(COUNTIFS(pbp_PlayType,EM_Type,pbp_Batter,$B239)*EM_3B))</f>
        <v/>
      </c>
      <c r="J239" s="42" t="str">
        <f>IF($B239="","",SUMPRODUCT(COUNTIFS(pbp_PlayType,EM_Type,pbp_Batter,$B239)*EM_HR))</f>
        <v/>
      </c>
      <c r="K239" s="42" t="str">
        <f>IF($B239="","",SUMPRODUCT(COUNTIFS(pbp_PlayType,EM_Type,pbp_Batter,$B239)*EM_1B))</f>
        <v/>
      </c>
      <c r="L239" s="42" t="str">
        <f>IF($B239="","",SUMPRODUCT(COUNTIFS(pbp_PlayType,EM_Type,pbp_Batter,$B239)*EM_BB))</f>
        <v/>
      </c>
      <c r="M239" s="42" t="str">
        <f>IF($B239="","",SUMPRODUCT(COUNTIFS(pbp_PlayType,EM_Type,pbp_Batter,$B239)*EM_HBP))</f>
        <v/>
      </c>
      <c r="N239" s="42" t="str">
        <f>IF($B239="","",COUNTIFS(pbp_PlayType,"?*",pbp_Desc,"*struck out*",pbp_Batter,$B239))</f>
        <v/>
      </c>
      <c r="O239" s="42" t="str">
        <f>IF($B239="","",SUMPRODUCT(COUNTIFS(pbp_PlayType,EM_Type,pbp_Batter,$B239)*EM_SF))</f>
        <v/>
      </c>
      <c r="P239" s="42" t="str">
        <f>IF($B239="","",SUMIFS(pbp_Runs,pbp_Batter,$B239))</f>
        <v/>
      </c>
      <c r="Q239" s="58" t="str">
        <f t="shared" si="24"/>
        <v/>
      </c>
      <c r="R239" s="58" t="str">
        <f t="shared" si="25"/>
        <v/>
      </c>
      <c r="S239" s="58" t="str">
        <f t="shared" si="26"/>
        <v/>
      </c>
      <c r="T239" s="58" t="str">
        <f t="shared" si="27"/>
        <v/>
      </c>
      <c r="U239" s="58" t="str">
        <f t="shared" si="28"/>
        <v/>
      </c>
      <c r="V239" s="59" t="str">
        <f t="shared" si="29"/>
        <v/>
      </c>
      <c r="W239" s="59" t="str">
        <f t="shared" si="30"/>
        <v/>
      </c>
      <c r="X239" s="60" t="str">
        <f>IF($B239="","",IF((E239)=0,"",(SUMIFS(pbp_Pitches,pbp_Batter,$B239,pbp_PlayType,"?*"))/(E239)))</f>
        <v/>
      </c>
      <c r="Y239" s="42" t="str">
        <f t="shared" si="31"/>
        <v/>
      </c>
      <c r="Z239" s="58" t="str">
        <f>IF($B239="","",IF((SUMPRODUCT(COUNTIFS(pbp_PlayType,EM_Type,pbp_Batter,$B239,pbp_On2B,"?*")*EM_AB)+SUMPRODUCT(COUNTIFS(pbp_PlayType,EM_Type,pbp_Batter,$B239,pbp_On2B,"",pbp_On3B,"?*")*EM_AB))=0,"",(SUMPRODUCT(COUNTIFS(pbp_PlayType,EM_Type,pbp_Batter,$B239,pbp_On2B,"?*")*EM_H)+SUMPRODUCT(COUNTIFS(pbp_PlayType,EM_Type,pbp_Batter,$B239,pbp_On2B,"",pbp_On3B,"?*")*EM_H))/(SUMPRODUCT(COUNTIFS(pbp_PlayType,EM_Type,pbp_Batter,$B239,pbp_On2B,"?*")*EM_AB)+SUMPRODUCT(COUNTIFS(pbp_PlayType,EM_Type,pbp_Batter,$B239,pbp_On2B,"",pbp_On3B,"?*")*EM_AB))))</f>
        <v/>
      </c>
      <c r="AA239" s="62" t="str">
        <f>IF($B239="","",IF(OR(E239&lt;MinPA,T239=""),"",COUNTIFS($E$6:$E$255,"&gt;="&amp;MinPA,$T$6:$T$255,"&gt;"&amp;T239)+COUNTIFS($E$5:E238,"&gt;="&amp;MinPA,$T$5:T238,T239)+1))</f>
        <v/>
      </c>
    </row>
    <row r="240" spans="2:27" x14ac:dyDescent="0.2">
      <c r="B240" s="44" t="str">
        <f t="array" ref="B240">IFERROR(INDEX(pbp_Batter,MATCH(0,COUNTIF($B$5:B239,pbp_Batter)+(pbp_Batter=""),0)),"")</f>
        <v/>
      </c>
      <c r="C240" s="61" t="str">
        <f>IF($B240="","",IFERROR(INDEX(pbp_BatTeam,MATCH($B240,pbp_Batter,0)),""))</f>
        <v/>
      </c>
      <c r="D240" s="61" t="str">
        <f>IF($B240="","",IFERROR(INDEX(pbp_BatHand,MATCH($B240,pbp_Batter,0)),""))</f>
        <v/>
      </c>
      <c r="E240" s="42" t="str">
        <f>IF($B240="","",SUMPRODUCT(COUNTIFS(pbp_PlayType,EM_Type,pbp_Batter,$B240)*EM_PA))</f>
        <v/>
      </c>
      <c r="F240" s="42" t="str">
        <f>IF($B240="","",SUMPRODUCT(COUNTIFS(pbp_PlayType,EM_Type,pbp_Batter,$B240)*EM_AB))</f>
        <v/>
      </c>
      <c r="G240" s="42" t="str">
        <f>IF($B240="","",SUMPRODUCT(COUNTIFS(pbp_PlayType,EM_Type,pbp_Batter,$B240)*EM_H))</f>
        <v/>
      </c>
      <c r="H240" s="42" t="str">
        <f>IF($B240="","",SUMPRODUCT(COUNTIFS(pbp_PlayType,EM_Type,pbp_Batter,$B240)*EM_2B))</f>
        <v/>
      </c>
      <c r="I240" s="42" t="str">
        <f>IF($B240="","",SUMPRODUCT(COUNTIFS(pbp_PlayType,EM_Type,pbp_Batter,$B240)*EM_3B))</f>
        <v/>
      </c>
      <c r="J240" s="42" t="str">
        <f>IF($B240="","",SUMPRODUCT(COUNTIFS(pbp_PlayType,EM_Type,pbp_Batter,$B240)*EM_HR))</f>
        <v/>
      </c>
      <c r="K240" s="42" t="str">
        <f>IF($B240="","",SUMPRODUCT(COUNTIFS(pbp_PlayType,EM_Type,pbp_Batter,$B240)*EM_1B))</f>
        <v/>
      </c>
      <c r="L240" s="42" t="str">
        <f>IF($B240="","",SUMPRODUCT(COUNTIFS(pbp_PlayType,EM_Type,pbp_Batter,$B240)*EM_BB))</f>
        <v/>
      </c>
      <c r="M240" s="42" t="str">
        <f>IF($B240="","",SUMPRODUCT(COUNTIFS(pbp_PlayType,EM_Type,pbp_Batter,$B240)*EM_HBP))</f>
        <v/>
      </c>
      <c r="N240" s="42" t="str">
        <f>IF($B240="","",COUNTIFS(pbp_PlayType,"?*",pbp_Desc,"*struck out*",pbp_Batter,$B240))</f>
        <v/>
      </c>
      <c r="O240" s="42" t="str">
        <f>IF($B240="","",SUMPRODUCT(COUNTIFS(pbp_PlayType,EM_Type,pbp_Batter,$B240)*EM_SF))</f>
        <v/>
      </c>
      <c r="P240" s="42" t="str">
        <f>IF($B240="","",SUMIFS(pbp_Runs,pbp_Batter,$B240))</f>
        <v/>
      </c>
      <c r="Q240" s="58" t="str">
        <f t="shared" si="24"/>
        <v/>
      </c>
      <c r="R240" s="58" t="str">
        <f t="shared" si="25"/>
        <v/>
      </c>
      <c r="S240" s="58" t="str">
        <f t="shared" si="26"/>
        <v/>
      </c>
      <c r="T240" s="58" t="str">
        <f t="shared" si="27"/>
        <v/>
      </c>
      <c r="U240" s="58" t="str">
        <f t="shared" si="28"/>
        <v/>
      </c>
      <c r="V240" s="59" t="str">
        <f t="shared" si="29"/>
        <v/>
      </c>
      <c r="W240" s="59" t="str">
        <f t="shared" si="30"/>
        <v/>
      </c>
      <c r="X240" s="60" t="str">
        <f>IF($B240="","",IF((E240)=0,"",(SUMIFS(pbp_Pitches,pbp_Batter,$B240,pbp_PlayType,"?*"))/(E240)))</f>
        <v/>
      </c>
      <c r="Y240" s="42" t="str">
        <f t="shared" si="31"/>
        <v/>
      </c>
      <c r="Z240" s="58" t="str">
        <f>IF($B240="","",IF((SUMPRODUCT(COUNTIFS(pbp_PlayType,EM_Type,pbp_Batter,$B240,pbp_On2B,"?*")*EM_AB)+SUMPRODUCT(COUNTIFS(pbp_PlayType,EM_Type,pbp_Batter,$B240,pbp_On2B,"",pbp_On3B,"?*")*EM_AB))=0,"",(SUMPRODUCT(COUNTIFS(pbp_PlayType,EM_Type,pbp_Batter,$B240,pbp_On2B,"?*")*EM_H)+SUMPRODUCT(COUNTIFS(pbp_PlayType,EM_Type,pbp_Batter,$B240,pbp_On2B,"",pbp_On3B,"?*")*EM_H))/(SUMPRODUCT(COUNTIFS(pbp_PlayType,EM_Type,pbp_Batter,$B240,pbp_On2B,"?*")*EM_AB)+SUMPRODUCT(COUNTIFS(pbp_PlayType,EM_Type,pbp_Batter,$B240,pbp_On2B,"",pbp_On3B,"?*")*EM_AB))))</f>
        <v/>
      </c>
      <c r="AA240" s="62" t="str">
        <f>IF($B240="","",IF(OR(E240&lt;MinPA,T240=""),"",COUNTIFS($E$6:$E$255,"&gt;="&amp;MinPA,$T$6:$T$255,"&gt;"&amp;T240)+COUNTIFS($E$5:E239,"&gt;="&amp;MinPA,$T$5:T239,T240)+1))</f>
        <v/>
      </c>
    </row>
    <row r="241" spans="2:27" x14ac:dyDescent="0.2">
      <c r="B241" s="44" t="str">
        <f t="array" ref="B241">IFERROR(INDEX(pbp_Batter,MATCH(0,COUNTIF($B$5:B240,pbp_Batter)+(pbp_Batter=""),0)),"")</f>
        <v/>
      </c>
      <c r="C241" s="61" t="str">
        <f>IF($B241="","",IFERROR(INDEX(pbp_BatTeam,MATCH($B241,pbp_Batter,0)),""))</f>
        <v/>
      </c>
      <c r="D241" s="61" t="str">
        <f>IF($B241="","",IFERROR(INDEX(pbp_BatHand,MATCH($B241,pbp_Batter,0)),""))</f>
        <v/>
      </c>
      <c r="E241" s="42" t="str">
        <f>IF($B241="","",SUMPRODUCT(COUNTIFS(pbp_PlayType,EM_Type,pbp_Batter,$B241)*EM_PA))</f>
        <v/>
      </c>
      <c r="F241" s="42" t="str">
        <f>IF($B241="","",SUMPRODUCT(COUNTIFS(pbp_PlayType,EM_Type,pbp_Batter,$B241)*EM_AB))</f>
        <v/>
      </c>
      <c r="G241" s="42" t="str">
        <f>IF($B241="","",SUMPRODUCT(COUNTIFS(pbp_PlayType,EM_Type,pbp_Batter,$B241)*EM_H))</f>
        <v/>
      </c>
      <c r="H241" s="42" t="str">
        <f>IF($B241="","",SUMPRODUCT(COUNTIFS(pbp_PlayType,EM_Type,pbp_Batter,$B241)*EM_2B))</f>
        <v/>
      </c>
      <c r="I241" s="42" t="str">
        <f>IF($B241="","",SUMPRODUCT(COUNTIFS(pbp_PlayType,EM_Type,pbp_Batter,$B241)*EM_3B))</f>
        <v/>
      </c>
      <c r="J241" s="42" t="str">
        <f>IF($B241="","",SUMPRODUCT(COUNTIFS(pbp_PlayType,EM_Type,pbp_Batter,$B241)*EM_HR))</f>
        <v/>
      </c>
      <c r="K241" s="42" t="str">
        <f>IF($B241="","",SUMPRODUCT(COUNTIFS(pbp_PlayType,EM_Type,pbp_Batter,$B241)*EM_1B))</f>
        <v/>
      </c>
      <c r="L241" s="42" t="str">
        <f>IF($B241="","",SUMPRODUCT(COUNTIFS(pbp_PlayType,EM_Type,pbp_Batter,$B241)*EM_BB))</f>
        <v/>
      </c>
      <c r="M241" s="42" t="str">
        <f>IF($B241="","",SUMPRODUCT(COUNTIFS(pbp_PlayType,EM_Type,pbp_Batter,$B241)*EM_HBP))</f>
        <v/>
      </c>
      <c r="N241" s="42" t="str">
        <f>IF($B241="","",COUNTIFS(pbp_PlayType,"?*",pbp_Desc,"*struck out*",pbp_Batter,$B241))</f>
        <v/>
      </c>
      <c r="O241" s="42" t="str">
        <f>IF($B241="","",SUMPRODUCT(COUNTIFS(pbp_PlayType,EM_Type,pbp_Batter,$B241)*EM_SF))</f>
        <v/>
      </c>
      <c r="P241" s="42" t="str">
        <f>IF($B241="","",SUMIFS(pbp_Runs,pbp_Batter,$B241))</f>
        <v/>
      </c>
      <c r="Q241" s="58" t="str">
        <f t="shared" si="24"/>
        <v/>
      </c>
      <c r="R241" s="58" t="str">
        <f t="shared" si="25"/>
        <v/>
      </c>
      <c r="S241" s="58" t="str">
        <f t="shared" si="26"/>
        <v/>
      </c>
      <c r="T241" s="58" t="str">
        <f t="shared" si="27"/>
        <v/>
      </c>
      <c r="U241" s="58" t="str">
        <f t="shared" si="28"/>
        <v/>
      </c>
      <c r="V241" s="59" t="str">
        <f t="shared" si="29"/>
        <v/>
      </c>
      <c r="W241" s="59" t="str">
        <f t="shared" si="30"/>
        <v/>
      </c>
      <c r="X241" s="60" t="str">
        <f>IF($B241="","",IF((E241)=0,"",(SUMIFS(pbp_Pitches,pbp_Batter,$B241,pbp_PlayType,"?*"))/(E241)))</f>
        <v/>
      </c>
      <c r="Y241" s="42" t="str">
        <f t="shared" si="31"/>
        <v/>
      </c>
      <c r="Z241" s="58" t="str">
        <f>IF($B241="","",IF((SUMPRODUCT(COUNTIFS(pbp_PlayType,EM_Type,pbp_Batter,$B241,pbp_On2B,"?*")*EM_AB)+SUMPRODUCT(COUNTIFS(pbp_PlayType,EM_Type,pbp_Batter,$B241,pbp_On2B,"",pbp_On3B,"?*")*EM_AB))=0,"",(SUMPRODUCT(COUNTIFS(pbp_PlayType,EM_Type,pbp_Batter,$B241,pbp_On2B,"?*")*EM_H)+SUMPRODUCT(COUNTIFS(pbp_PlayType,EM_Type,pbp_Batter,$B241,pbp_On2B,"",pbp_On3B,"?*")*EM_H))/(SUMPRODUCT(COUNTIFS(pbp_PlayType,EM_Type,pbp_Batter,$B241,pbp_On2B,"?*")*EM_AB)+SUMPRODUCT(COUNTIFS(pbp_PlayType,EM_Type,pbp_Batter,$B241,pbp_On2B,"",pbp_On3B,"?*")*EM_AB))))</f>
        <v/>
      </c>
      <c r="AA241" s="62" t="str">
        <f>IF($B241="","",IF(OR(E241&lt;MinPA,T241=""),"",COUNTIFS($E$6:$E$255,"&gt;="&amp;MinPA,$T$6:$T$255,"&gt;"&amp;T241)+COUNTIFS($E$5:E240,"&gt;="&amp;MinPA,$T$5:T240,T241)+1))</f>
        <v/>
      </c>
    </row>
    <row r="242" spans="2:27" x14ac:dyDescent="0.2">
      <c r="B242" s="44" t="str">
        <f t="array" ref="B242">IFERROR(INDEX(pbp_Batter,MATCH(0,COUNTIF($B$5:B241,pbp_Batter)+(pbp_Batter=""),0)),"")</f>
        <v/>
      </c>
      <c r="C242" s="61" t="str">
        <f>IF($B242="","",IFERROR(INDEX(pbp_BatTeam,MATCH($B242,pbp_Batter,0)),""))</f>
        <v/>
      </c>
      <c r="D242" s="61" t="str">
        <f>IF($B242="","",IFERROR(INDEX(pbp_BatHand,MATCH($B242,pbp_Batter,0)),""))</f>
        <v/>
      </c>
      <c r="E242" s="42" t="str">
        <f>IF($B242="","",SUMPRODUCT(COUNTIFS(pbp_PlayType,EM_Type,pbp_Batter,$B242)*EM_PA))</f>
        <v/>
      </c>
      <c r="F242" s="42" t="str">
        <f>IF($B242="","",SUMPRODUCT(COUNTIFS(pbp_PlayType,EM_Type,pbp_Batter,$B242)*EM_AB))</f>
        <v/>
      </c>
      <c r="G242" s="42" t="str">
        <f>IF($B242="","",SUMPRODUCT(COUNTIFS(pbp_PlayType,EM_Type,pbp_Batter,$B242)*EM_H))</f>
        <v/>
      </c>
      <c r="H242" s="42" t="str">
        <f>IF($B242="","",SUMPRODUCT(COUNTIFS(pbp_PlayType,EM_Type,pbp_Batter,$B242)*EM_2B))</f>
        <v/>
      </c>
      <c r="I242" s="42" t="str">
        <f>IF($B242="","",SUMPRODUCT(COUNTIFS(pbp_PlayType,EM_Type,pbp_Batter,$B242)*EM_3B))</f>
        <v/>
      </c>
      <c r="J242" s="42" t="str">
        <f>IF($B242="","",SUMPRODUCT(COUNTIFS(pbp_PlayType,EM_Type,pbp_Batter,$B242)*EM_HR))</f>
        <v/>
      </c>
      <c r="K242" s="42" t="str">
        <f>IF($B242="","",SUMPRODUCT(COUNTIFS(pbp_PlayType,EM_Type,pbp_Batter,$B242)*EM_1B))</f>
        <v/>
      </c>
      <c r="L242" s="42" t="str">
        <f>IF($B242="","",SUMPRODUCT(COUNTIFS(pbp_PlayType,EM_Type,pbp_Batter,$B242)*EM_BB))</f>
        <v/>
      </c>
      <c r="M242" s="42" t="str">
        <f>IF($B242="","",SUMPRODUCT(COUNTIFS(pbp_PlayType,EM_Type,pbp_Batter,$B242)*EM_HBP))</f>
        <v/>
      </c>
      <c r="N242" s="42" t="str">
        <f>IF($B242="","",COUNTIFS(pbp_PlayType,"?*",pbp_Desc,"*struck out*",pbp_Batter,$B242))</f>
        <v/>
      </c>
      <c r="O242" s="42" t="str">
        <f>IF($B242="","",SUMPRODUCT(COUNTIFS(pbp_PlayType,EM_Type,pbp_Batter,$B242)*EM_SF))</f>
        <v/>
      </c>
      <c r="P242" s="42" t="str">
        <f>IF($B242="","",SUMIFS(pbp_Runs,pbp_Batter,$B242))</f>
        <v/>
      </c>
      <c r="Q242" s="58" t="str">
        <f t="shared" si="24"/>
        <v/>
      </c>
      <c r="R242" s="58" t="str">
        <f t="shared" si="25"/>
        <v/>
      </c>
      <c r="S242" s="58" t="str">
        <f t="shared" si="26"/>
        <v/>
      </c>
      <c r="T242" s="58" t="str">
        <f t="shared" si="27"/>
        <v/>
      </c>
      <c r="U242" s="58" t="str">
        <f t="shared" si="28"/>
        <v/>
      </c>
      <c r="V242" s="59" t="str">
        <f t="shared" si="29"/>
        <v/>
      </c>
      <c r="W242" s="59" t="str">
        <f t="shared" si="30"/>
        <v/>
      </c>
      <c r="X242" s="60" t="str">
        <f>IF($B242="","",IF((E242)=0,"",(SUMIFS(pbp_Pitches,pbp_Batter,$B242,pbp_PlayType,"?*"))/(E242)))</f>
        <v/>
      </c>
      <c r="Y242" s="42" t="str">
        <f t="shared" si="31"/>
        <v/>
      </c>
      <c r="Z242" s="58" t="str">
        <f>IF($B242="","",IF((SUMPRODUCT(COUNTIFS(pbp_PlayType,EM_Type,pbp_Batter,$B242,pbp_On2B,"?*")*EM_AB)+SUMPRODUCT(COUNTIFS(pbp_PlayType,EM_Type,pbp_Batter,$B242,pbp_On2B,"",pbp_On3B,"?*")*EM_AB))=0,"",(SUMPRODUCT(COUNTIFS(pbp_PlayType,EM_Type,pbp_Batter,$B242,pbp_On2B,"?*")*EM_H)+SUMPRODUCT(COUNTIFS(pbp_PlayType,EM_Type,pbp_Batter,$B242,pbp_On2B,"",pbp_On3B,"?*")*EM_H))/(SUMPRODUCT(COUNTIFS(pbp_PlayType,EM_Type,pbp_Batter,$B242,pbp_On2B,"?*")*EM_AB)+SUMPRODUCT(COUNTIFS(pbp_PlayType,EM_Type,pbp_Batter,$B242,pbp_On2B,"",pbp_On3B,"?*")*EM_AB))))</f>
        <v/>
      </c>
      <c r="AA242" s="62" t="str">
        <f>IF($B242="","",IF(OR(E242&lt;MinPA,T242=""),"",COUNTIFS($E$6:$E$255,"&gt;="&amp;MinPA,$T$6:$T$255,"&gt;"&amp;T242)+COUNTIFS($E$5:E241,"&gt;="&amp;MinPA,$T$5:T241,T242)+1))</f>
        <v/>
      </c>
    </row>
    <row r="243" spans="2:27" x14ac:dyDescent="0.2">
      <c r="B243" s="44" t="str">
        <f t="array" ref="B243">IFERROR(INDEX(pbp_Batter,MATCH(0,COUNTIF($B$5:B242,pbp_Batter)+(pbp_Batter=""),0)),"")</f>
        <v/>
      </c>
      <c r="C243" s="61" t="str">
        <f>IF($B243="","",IFERROR(INDEX(pbp_BatTeam,MATCH($B243,pbp_Batter,0)),""))</f>
        <v/>
      </c>
      <c r="D243" s="61" t="str">
        <f>IF($B243="","",IFERROR(INDEX(pbp_BatHand,MATCH($B243,pbp_Batter,0)),""))</f>
        <v/>
      </c>
      <c r="E243" s="42" t="str">
        <f>IF($B243="","",SUMPRODUCT(COUNTIFS(pbp_PlayType,EM_Type,pbp_Batter,$B243)*EM_PA))</f>
        <v/>
      </c>
      <c r="F243" s="42" t="str">
        <f>IF($B243="","",SUMPRODUCT(COUNTIFS(pbp_PlayType,EM_Type,pbp_Batter,$B243)*EM_AB))</f>
        <v/>
      </c>
      <c r="G243" s="42" t="str">
        <f>IF($B243="","",SUMPRODUCT(COUNTIFS(pbp_PlayType,EM_Type,pbp_Batter,$B243)*EM_H))</f>
        <v/>
      </c>
      <c r="H243" s="42" t="str">
        <f>IF($B243="","",SUMPRODUCT(COUNTIFS(pbp_PlayType,EM_Type,pbp_Batter,$B243)*EM_2B))</f>
        <v/>
      </c>
      <c r="I243" s="42" t="str">
        <f>IF($B243="","",SUMPRODUCT(COUNTIFS(pbp_PlayType,EM_Type,pbp_Batter,$B243)*EM_3B))</f>
        <v/>
      </c>
      <c r="J243" s="42" t="str">
        <f>IF($B243="","",SUMPRODUCT(COUNTIFS(pbp_PlayType,EM_Type,pbp_Batter,$B243)*EM_HR))</f>
        <v/>
      </c>
      <c r="K243" s="42" t="str">
        <f>IF($B243="","",SUMPRODUCT(COUNTIFS(pbp_PlayType,EM_Type,pbp_Batter,$B243)*EM_1B))</f>
        <v/>
      </c>
      <c r="L243" s="42" t="str">
        <f>IF($B243="","",SUMPRODUCT(COUNTIFS(pbp_PlayType,EM_Type,pbp_Batter,$B243)*EM_BB))</f>
        <v/>
      </c>
      <c r="M243" s="42" t="str">
        <f>IF($B243="","",SUMPRODUCT(COUNTIFS(pbp_PlayType,EM_Type,pbp_Batter,$B243)*EM_HBP))</f>
        <v/>
      </c>
      <c r="N243" s="42" t="str">
        <f>IF($B243="","",COUNTIFS(pbp_PlayType,"?*",pbp_Desc,"*struck out*",pbp_Batter,$B243))</f>
        <v/>
      </c>
      <c r="O243" s="42" t="str">
        <f>IF($B243="","",SUMPRODUCT(COUNTIFS(pbp_PlayType,EM_Type,pbp_Batter,$B243)*EM_SF))</f>
        <v/>
      </c>
      <c r="P243" s="42" t="str">
        <f>IF($B243="","",SUMIFS(pbp_Runs,pbp_Batter,$B243))</f>
        <v/>
      </c>
      <c r="Q243" s="58" t="str">
        <f t="shared" si="24"/>
        <v/>
      </c>
      <c r="R243" s="58" t="str">
        <f t="shared" si="25"/>
        <v/>
      </c>
      <c r="S243" s="58" t="str">
        <f t="shared" si="26"/>
        <v/>
      </c>
      <c r="T243" s="58" t="str">
        <f t="shared" si="27"/>
        <v/>
      </c>
      <c r="U243" s="58" t="str">
        <f t="shared" si="28"/>
        <v/>
      </c>
      <c r="V243" s="59" t="str">
        <f t="shared" si="29"/>
        <v/>
      </c>
      <c r="W243" s="59" t="str">
        <f t="shared" si="30"/>
        <v/>
      </c>
      <c r="X243" s="60" t="str">
        <f>IF($B243="","",IF((E243)=0,"",(SUMIFS(pbp_Pitches,pbp_Batter,$B243,pbp_PlayType,"?*"))/(E243)))</f>
        <v/>
      </c>
      <c r="Y243" s="42" t="str">
        <f t="shared" si="31"/>
        <v/>
      </c>
      <c r="Z243" s="58" t="str">
        <f>IF($B243="","",IF((SUMPRODUCT(COUNTIFS(pbp_PlayType,EM_Type,pbp_Batter,$B243,pbp_On2B,"?*")*EM_AB)+SUMPRODUCT(COUNTIFS(pbp_PlayType,EM_Type,pbp_Batter,$B243,pbp_On2B,"",pbp_On3B,"?*")*EM_AB))=0,"",(SUMPRODUCT(COUNTIFS(pbp_PlayType,EM_Type,pbp_Batter,$B243,pbp_On2B,"?*")*EM_H)+SUMPRODUCT(COUNTIFS(pbp_PlayType,EM_Type,pbp_Batter,$B243,pbp_On2B,"",pbp_On3B,"?*")*EM_H))/(SUMPRODUCT(COUNTIFS(pbp_PlayType,EM_Type,pbp_Batter,$B243,pbp_On2B,"?*")*EM_AB)+SUMPRODUCT(COUNTIFS(pbp_PlayType,EM_Type,pbp_Batter,$B243,pbp_On2B,"",pbp_On3B,"?*")*EM_AB))))</f>
        <v/>
      </c>
      <c r="AA243" s="62" t="str">
        <f>IF($B243="","",IF(OR(E243&lt;MinPA,T243=""),"",COUNTIFS($E$6:$E$255,"&gt;="&amp;MinPA,$T$6:$T$255,"&gt;"&amp;T243)+COUNTIFS($E$5:E242,"&gt;="&amp;MinPA,$T$5:T242,T243)+1))</f>
        <v/>
      </c>
    </row>
    <row r="244" spans="2:27" x14ac:dyDescent="0.2">
      <c r="B244" s="44" t="str">
        <f t="array" ref="B244">IFERROR(INDEX(pbp_Batter,MATCH(0,COUNTIF($B$5:B243,pbp_Batter)+(pbp_Batter=""),0)),"")</f>
        <v/>
      </c>
      <c r="C244" s="61" t="str">
        <f>IF($B244="","",IFERROR(INDEX(pbp_BatTeam,MATCH($B244,pbp_Batter,0)),""))</f>
        <v/>
      </c>
      <c r="D244" s="61" t="str">
        <f>IF($B244="","",IFERROR(INDEX(pbp_BatHand,MATCH($B244,pbp_Batter,0)),""))</f>
        <v/>
      </c>
      <c r="E244" s="42" t="str">
        <f>IF($B244="","",SUMPRODUCT(COUNTIFS(pbp_PlayType,EM_Type,pbp_Batter,$B244)*EM_PA))</f>
        <v/>
      </c>
      <c r="F244" s="42" t="str">
        <f>IF($B244="","",SUMPRODUCT(COUNTIFS(pbp_PlayType,EM_Type,pbp_Batter,$B244)*EM_AB))</f>
        <v/>
      </c>
      <c r="G244" s="42" t="str">
        <f>IF($B244="","",SUMPRODUCT(COUNTIFS(pbp_PlayType,EM_Type,pbp_Batter,$B244)*EM_H))</f>
        <v/>
      </c>
      <c r="H244" s="42" t="str">
        <f>IF($B244="","",SUMPRODUCT(COUNTIFS(pbp_PlayType,EM_Type,pbp_Batter,$B244)*EM_2B))</f>
        <v/>
      </c>
      <c r="I244" s="42" t="str">
        <f>IF($B244="","",SUMPRODUCT(COUNTIFS(pbp_PlayType,EM_Type,pbp_Batter,$B244)*EM_3B))</f>
        <v/>
      </c>
      <c r="J244" s="42" t="str">
        <f>IF($B244="","",SUMPRODUCT(COUNTIFS(pbp_PlayType,EM_Type,pbp_Batter,$B244)*EM_HR))</f>
        <v/>
      </c>
      <c r="K244" s="42" t="str">
        <f>IF($B244="","",SUMPRODUCT(COUNTIFS(pbp_PlayType,EM_Type,pbp_Batter,$B244)*EM_1B))</f>
        <v/>
      </c>
      <c r="L244" s="42" t="str">
        <f>IF($B244="","",SUMPRODUCT(COUNTIFS(pbp_PlayType,EM_Type,pbp_Batter,$B244)*EM_BB))</f>
        <v/>
      </c>
      <c r="M244" s="42" t="str">
        <f>IF($B244="","",SUMPRODUCT(COUNTIFS(pbp_PlayType,EM_Type,pbp_Batter,$B244)*EM_HBP))</f>
        <v/>
      </c>
      <c r="N244" s="42" t="str">
        <f>IF($B244="","",COUNTIFS(pbp_PlayType,"?*",pbp_Desc,"*struck out*",pbp_Batter,$B244))</f>
        <v/>
      </c>
      <c r="O244" s="42" t="str">
        <f>IF($B244="","",SUMPRODUCT(COUNTIFS(pbp_PlayType,EM_Type,pbp_Batter,$B244)*EM_SF))</f>
        <v/>
      </c>
      <c r="P244" s="42" t="str">
        <f>IF($B244="","",SUMIFS(pbp_Runs,pbp_Batter,$B244))</f>
        <v/>
      </c>
      <c r="Q244" s="58" t="str">
        <f t="shared" si="24"/>
        <v/>
      </c>
      <c r="R244" s="58" t="str">
        <f t="shared" si="25"/>
        <v/>
      </c>
      <c r="S244" s="58" t="str">
        <f t="shared" si="26"/>
        <v/>
      </c>
      <c r="T244" s="58" t="str">
        <f t="shared" si="27"/>
        <v/>
      </c>
      <c r="U244" s="58" t="str">
        <f t="shared" si="28"/>
        <v/>
      </c>
      <c r="V244" s="59" t="str">
        <f t="shared" si="29"/>
        <v/>
      </c>
      <c r="W244" s="59" t="str">
        <f t="shared" si="30"/>
        <v/>
      </c>
      <c r="X244" s="60" t="str">
        <f>IF($B244="","",IF((E244)=0,"",(SUMIFS(pbp_Pitches,pbp_Batter,$B244,pbp_PlayType,"?*"))/(E244)))</f>
        <v/>
      </c>
      <c r="Y244" s="42" t="str">
        <f t="shared" si="31"/>
        <v/>
      </c>
      <c r="Z244" s="58" t="str">
        <f>IF($B244="","",IF((SUMPRODUCT(COUNTIFS(pbp_PlayType,EM_Type,pbp_Batter,$B244,pbp_On2B,"?*")*EM_AB)+SUMPRODUCT(COUNTIFS(pbp_PlayType,EM_Type,pbp_Batter,$B244,pbp_On2B,"",pbp_On3B,"?*")*EM_AB))=0,"",(SUMPRODUCT(COUNTIFS(pbp_PlayType,EM_Type,pbp_Batter,$B244,pbp_On2B,"?*")*EM_H)+SUMPRODUCT(COUNTIFS(pbp_PlayType,EM_Type,pbp_Batter,$B244,pbp_On2B,"",pbp_On3B,"?*")*EM_H))/(SUMPRODUCT(COUNTIFS(pbp_PlayType,EM_Type,pbp_Batter,$B244,pbp_On2B,"?*")*EM_AB)+SUMPRODUCT(COUNTIFS(pbp_PlayType,EM_Type,pbp_Batter,$B244,pbp_On2B,"",pbp_On3B,"?*")*EM_AB))))</f>
        <v/>
      </c>
      <c r="AA244" s="62" t="str">
        <f>IF($B244="","",IF(OR(E244&lt;MinPA,T244=""),"",COUNTIFS($E$6:$E$255,"&gt;="&amp;MinPA,$T$6:$T$255,"&gt;"&amp;T244)+COUNTIFS($E$5:E243,"&gt;="&amp;MinPA,$T$5:T243,T244)+1))</f>
        <v/>
      </c>
    </row>
    <row r="245" spans="2:27" x14ac:dyDescent="0.2">
      <c r="B245" s="44" t="str">
        <f t="array" ref="B245">IFERROR(INDEX(pbp_Batter,MATCH(0,COUNTIF($B$5:B244,pbp_Batter)+(pbp_Batter=""),0)),"")</f>
        <v/>
      </c>
      <c r="C245" s="61" t="str">
        <f>IF($B245="","",IFERROR(INDEX(pbp_BatTeam,MATCH($B245,pbp_Batter,0)),""))</f>
        <v/>
      </c>
      <c r="D245" s="61" t="str">
        <f>IF($B245="","",IFERROR(INDEX(pbp_BatHand,MATCH($B245,pbp_Batter,0)),""))</f>
        <v/>
      </c>
      <c r="E245" s="42" t="str">
        <f>IF($B245="","",SUMPRODUCT(COUNTIFS(pbp_PlayType,EM_Type,pbp_Batter,$B245)*EM_PA))</f>
        <v/>
      </c>
      <c r="F245" s="42" t="str">
        <f>IF($B245="","",SUMPRODUCT(COUNTIFS(pbp_PlayType,EM_Type,pbp_Batter,$B245)*EM_AB))</f>
        <v/>
      </c>
      <c r="G245" s="42" t="str">
        <f>IF($B245="","",SUMPRODUCT(COUNTIFS(pbp_PlayType,EM_Type,pbp_Batter,$B245)*EM_H))</f>
        <v/>
      </c>
      <c r="H245" s="42" t="str">
        <f>IF($B245="","",SUMPRODUCT(COUNTIFS(pbp_PlayType,EM_Type,pbp_Batter,$B245)*EM_2B))</f>
        <v/>
      </c>
      <c r="I245" s="42" t="str">
        <f>IF($B245="","",SUMPRODUCT(COUNTIFS(pbp_PlayType,EM_Type,pbp_Batter,$B245)*EM_3B))</f>
        <v/>
      </c>
      <c r="J245" s="42" t="str">
        <f>IF($B245="","",SUMPRODUCT(COUNTIFS(pbp_PlayType,EM_Type,pbp_Batter,$B245)*EM_HR))</f>
        <v/>
      </c>
      <c r="K245" s="42" t="str">
        <f>IF($B245="","",SUMPRODUCT(COUNTIFS(pbp_PlayType,EM_Type,pbp_Batter,$B245)*EM_1B))</f>
        <v/>
      </c>
      <c r="L245" s="42" t="str">
        <f>IF($B245="","",SUMPRODUCT(COUNTIFS(pbp_PlayType,EM_Type,pbp_Batter,$B245)*EM_BB))</f>
        <v/>
      </c>
      <c r="M245" s="42" t="str">
        <f>IF($B245="","",SUMPRODUCT(COUNTIFS(pbp_PlayType,EM_Type,pbp_Batter,$B245)*EM_HBP))</f>
        <v/>
      </c>
      <c r="N245" s="42" t="str">
        <f>IF($B245="","",COUNTIFS(pbp_PlayType,"?*",pbp_Desc,"*struck out*",pbp_Batter,$B245))</f>
        <v/>
      </c>
      <c r="O245" s="42" t="str">
        <f>IF($B245="","",SUMPRODUCT(COUNTIFS(pbp_PlayType,EM_Type,pbp_Batter,$B245)*EM_SF))</f>
        <v/>
      </c>
      <c r="P245" s="42" t="str">
        <f>IF($B245="","",SUMIFS(pbp_Runs,pbp_Batter,$B245))</f>
        <v/>
      </c>
      <c r="Q245" s="58" t="str">
        <f t="shared" si="24"/>
        <v/>
      </c>
      <c r="R245" s="58" t="str">
        <f t="shared" si="25"/>
        <v/>
      </c>
      <c r="S245" s="58" t="str">
        <f t="shared" si="26"/>
        <v/>
      </c>
      <c r="T245" s="58" t="str">
        <f t="shared" si="27"/>
        <v/>
      </c>
      <c r="U245" s="58" t="str">
        <f t="shared" si="28"/>
        <v/>
      </c>
      <c r="V245" s="59" t="str">
        <f t="shared" si="29"/>
        <v/>
      </c>
      <c r="W245" s="59" t="str">
        <f t="shared" si="30"/>
        <v/>
      </c>
      <c r="X245" s="60" t="str">
        <f>IF($B245="","",IF((E245)=0,"",(SUMIFS(pbp_Pitches,pbp_Batter,$B245,pbp_PlayType,"?*"))/(E245)))</f>
        <v/>
      </c>
      <c r="Y245" s="42" t="str">
        <f t="shared" si="31"/>
        <v/>
      </c>
      <c r="Z245" s="58" t="str">
        <f>IF($B245="","",IF((SUMPRODUCT(COUNTIFS(pbp_PlayType,EM_Type,pbp_Batter,$B245,pbp_On2B,"?*")*EM_AB)+SUMPRODUCT(COUNTIFS(pbp_PlayType,EM_Type,pbp_Batter,$B245,pbp_On2B,"",pbp_On3B,"?*")*EM_AB))=0,"",(SUMPRODUCT(COUNTIFS(pbp_PlayType,EM_Type,pbp_Batter,$B245,pbp_On2B,"?*")*EM_H)+SUMPRODUCT(COUNTIFS(pbp_PlayType,EM_Type,pbp_Batter,$B245,pbp_On2B,"",pbp_On3B,"?*")*EM_H))/(SUMPRODUCT(COUNTIFS(pbp_PlayType,EM_Type,pbp_Batter,$B245,pbp_On2B,"?*")*EM_AB)+SUMPRODUCT(COUNTIFS(pbp_PlayType,EM_Type,pbp_Batter,$B245,pbp_On2B,"",pbp_On3B,"?*")*EM_AB))))</f>
        <v/>
      </c>
      <c r="AA245" s="62" t="str">
        <f>IF($B245="","",IF(OR(E245&lt;MinPA,T245=""),"",COUNTIFS($E$6:$E$255,"&gt;="&amp;MinPA,$T$6:$T$255,"&gt;"&amp;T245)+COUNTIFS($E$5:E244,"&gt;="&amp;MinPA,$T$5:T244,T245)+1))</f>
        <v/>
      </c>
    </row>
    <row r="246" spans="2:27" x14ac:dyDescent="0.2">
      <c r="B246" s="44" t="str">
        <f t="array" ref="B246">IFERROR(INDEX(pbp_Batter,MATCH(0,COUNTIF($B$5:B245,pbp_Batter)+(pbp_Batter=""),0)),"")</f>
        <v/>
      </c>
      <c r="C246" s="61" t="str">
        <f>IF($B246="","",IFERROR(INDEX(pbp_BatTeam,MATCH($B246,pbp_Batter,0)),""))</f>
        <v/>
      </c>
      <c r="D246" s="61" t="str">
        <f>IF($B246="","",IFERROR(INDEX(pbp_BatHand,MATCH($B246,pbp_Batter,0)),""))</f>
        <v/>
      </c>
      <c r="E246" s="42" t="str">
        <f>IF($B246="","",SUMPRODUCT(COUNTIFS(pbp_PlayType,EM_Type,pbp_Batter,$B246)*EM_PA))</f>
        <v/>
      </c>
      <c r="F246" s="42" t="str">
        <f>IF($B246="","",SUMPRODUCT(COUNTIFS(pbp_PlayType,EM_Type,pbp_Batter,$B246)*EM_AB))</f>
        <v/>
      </c>
      <c r="G246" s="42" t="str">
        <f>IF($B246="","",SUMPRODUCT(COUNTIFS(pbp_PlayType,EM_Type,pbp_Batter,$B246)*EM_H))</f>
        <v/>
      </c>
      <c r="H246" s="42" t="str">
        <f>IF($B246="","",SUMPRODUCT(COUNTIFS(pbp_PlayType,EM_Type,pbp_Batter,$B246)*EM_2B))</f>
        <v/>
      </c>
      <c r="I246" s="42" t="str">
        <f>IF($B246="","",SUMPRODUCT(COUNTIFS(pbp_PlayType,EM_Type,pbp_Batter,$B246)*EM_3B))</f>
        <v/>
      </c>
      <c r="J246" s="42" t="str">
        <f>IF($B246="","",SUMPRODUCT(COUNTIFS(pbp_PlayType,EM_Type,pbp_Batter,$B246)*EM_HR))</f>
        <v/>
      </c>
      <c r="K246" s="42" t="str">
        <f>IF($B246="","",SUMPRODUCT(COUNTIFS(pbp_PlayType,EM_Type,pbp_Batter,$B246)*EM_1B))</f>
        <v/>
      </c>
      <c r="L246" s="42" t="str">
        <f>IF($B246="","",SUMPRODUCT(COUNTIFS(pbp_PlayType,EM_Type,pbp_Batter,$B246)*EM_BB))</f>
        <v/>
      </c>
      <c r="M246" s="42" t="str">
        <f>IF($B246="","",SUMPRODUCT(COUNTIFS(pbp_PlayType,EM_Type,pbp_Batter,$B246)*EM_HBP))</f>
        <v/>
      </c>
      <c r="N246" s="42" t="str">
        <f>IF($B246="","",COUNTIFS(pbp_PlayType,"?*",pbp_Desc,"*struck out*",pbp_Batter,$B246))</f>
        <v/>
      </c>
      <c r="O246" s="42" t="str">
        <f>IF($B246="","",SUMPRODUCT(COUNTIFS(pbp_PlayType,EM_Type,pbp_Batter,$B246)*EM_SF))</f>
        <v/>
      </c>
      <c r="P246" s="42" t="str">
        <f>IF($B246="","",SUMIFS(pbp_Runs,pbp_Batter,$B246))</f>
        <v/>
      </c>
      <c r="Q246" s="58" t="str">
        <f t="shared" si="24"/>
        <v/>
      </c>
      <c r="R246" s="58" t="str">
        <f t="shared" si="25"/>
        <v/>
      </c>
      <c r="S246" s="58" t="str">
        <f t="shared" si="26"/>
        <v/>
      </c>
      <c r="T246" s="58" t="str">
        <f t="shared" si="27"/>
        <v/>
      </c>
      <c r="U246" s="58" t="str">
        <f t="shared" si="28"/>
        <v/>
      </c>
      <c r="V246" s="59" t="str">
        <f t="shared" si="29"/>
        <v/>
      </c>
      <c r="W246" s="59" t="str">
        <f t="shared" si="30"/>
        <v/>
      </c>
      <c r="X246" s="60" t="str">
        <f>IF($B246="","",IF((E246)=0,"",(SUMIFS(pbp_Pitches,pbp_Batter,$B246,pbp_PlayType,"?*"))/(E246)))</f>
        <v/>
      </c>
      <c r="Y246" s="42" t="str">
        <f t="shared" si="31"/>
        <v/>
      </c>
      <c r="Z246" s="58" t="str">
        <f>IF($B246="","",IF((SUMPRODUCT(COUNTIFS(pbp_PlayType,EM_Type,pbp_Batter,$B246,pbp_On2B,"?*")*EM_AB)+SUMPRODUCT(COUNTIFS(pbp_PlayType,EM_Type,pbp_Batter,$B246,pbp_On2B,"",pbp_On3B,"?*")*EM_AB))=0,"",(SUMPRODUCT(COUNTIFS(pbp_PlayType,EM_Type,pbp_Batter,$B246,pbp_On2B,"?*")*EM_H)+SUMPRODUCT(COUNTIFS(pbp_PlayType,EM_Type,pbp_Batter,$B246,pbp_On2B,"",pbp_On3B,"?*")*EM_H))/(SUMPRODUCT(COUNTIFS(pbp_PlayType,EM_Type,pbp_Batter,$B246,pbp_On2B,"?*")*EM_AB)+SUMPRODUCT(COUNTIFS(pbp_PlayType,EM_Type,pbp_Batter,$B246,pbp_On2B,"",pbp_On3B,"?*")*EM_AB))))</f>
        <v/>
      </c>
      <c r="AA246" s="62" t="str">
        <f>IF($B246="","",IF(OR(E246&lt;MinPA,T246=""),"",COUNTIFS($E$6:$E$255,"&gt;="&amp;MinPA,$T$6:$T$255,"&gt;"&amp;T246)+COUNTIFS($E$5:E245,"&gt;="&amp;MinPA,$T$5:T245,T246)+1))</f>
        <v/>
      </c>
    </row>
    <row r="247" spans="2:27" x14ac:dyDescent="0.2">
      <c r="B247" s="44" t="str">
        <f t="array" ref="B247">IFERROR(INDEX(pbp_Batter,MATCH(0,COUNTIF($B$5:B246,pbp_Batter)+(pbp_Batter=""),0)),"")</f>
        <v/>
      </c>
      <c r="C247" s="61" t="str">
        <f>IF($B247="","",IFERROR(INDEX(pbp_BatTeam,MATCH($B247,pbp_Batter,0)),""))</f>
        <v/>
      </c>
      <c r="D247" s="61" t="str">
        <f>IF($B247="","",IFERROR(INDEX(pbp_BatHand,MATCH($B247,pbp_Batter,0)),""))</f>
        <v/>
      </c>
      <c r="E247" s="42" t="str">
        <f>IF($B247="","",SUMPRODUCT(COUNTIFS(pbp_PlayType,EM_Type,pbp_Batter,$B247)*EM_PA))</f>
        <v/>
      </c>
      <c r="F247" s="42" t="str">
        <f>IF($B247="","",SUMPRODUCT(COUNTIFS(pbp_PlayType,EM_Type,pbp_Batter,$B247)*EM_AB))</f>
        <v/>
      </c>
      <c r="G247" s="42" t="str">
        <f>IF($B247="","",SUMPRODUCT(COUNTIFS(pbp_PlayType,EM_Type,pbp_Batter,$B247)*EM_H))</f>
        <v/>
      </c>
      <c r="H247" s="42" t="str">
        <f>IF($B247="","",SUMPRODUCT(COUNTIFS(pbp_PlayType,EM_Type,pbp_Batter,$B247)*EM_2B))</f>
        <v/>
      </c>
      <c r="I247" s="42" t="str">
        <f>IF($B247="","",SUMPRODUCT(COUNTIFS(pbp_PlayType,EM_Type,pbp_Batter,$B247)*EM_3B))</f>
        <v/>
      </c>
      <c r="J247" s="42" t="str">
        <f>IF($B247="","",SUMPRODUCT(COUNTIFS(pbp_PlayType,EM_Type,pbp_Batter,$B247)*EM_HR))</f>
        <v/>
      </c>
      <c r="K247" s="42" t="str">
        <f>IF($B247="","",SUMPRODUCT(COUNTIFS(pbp_PlayType,EM_Type,pbp_Batter,$B247)*EM_1B))</f>
        <v/>
      </c>
      <c r="L247" s="42" t="str">
        <f>IF($B247="","",SUMPRODUCT(COUNTIFS(pbp_PlayType,EM_Type,pbp_Batter,$B247)*EM_BB))</f>
        <v/>
      </c>
      <c r="M247" s="42" t="str">
        <f>IF($B247="","",SUMPRODUCT(COUNTIFS(pbp_PlayType,EM_Type,pbp_Batter,$B247)*EM_HBP))</f>
        <v/>
      </c>
      <c r="N247" s="42" t="str">
        <f>IF($B247="","",COUNTIFS(pbp_PlayType,"?*",pbp_Desc,"*struck out*",pbp_Batter,$B247))</f>
        <v/>
      </c>
      <c r="O247" s="42" t="str">
        <f>IF($B247="","",SUMPRODUCT(COUNTIFS(pbp_PlayType,EM_Type,pbp_Batter,$B247)*EM_SF))</f>
        <v/>
      </c>
      <c r="P247" s="42" t="str">
        <f>IF($B247="","",SUMIFS(pbp_Runs,pbp_Batter,$B247))</f>
        <v/>
      </c>
      <c r="Q247" s="58" t="str">
        <f t="shared" si="24"/>
        <v/>
      </c>
      <c r="R247" s="58" t="str">
        <f t="shared" si="25"/>
        <v/>
      </c>
      <c r="S247" s="58" t="str">
        <f t="shared" si="26"/>
        <v/>
      </c>
      <c r="T247" s="58" t="str">
        <f t="shared" si="27"/>
        <v/>
      </c>
      <c r="U247" s="58" t="str">
        <f t="shared" si="28"/>
        <v/>
      </c>
      <c r="V247" s="59" t="str">
        <f t="shared" si="29"/>
        <v/>
      </c>
      <c r="W247" s="59" t="str">
        <f t="shared" si="30"/>
        <v/>
      </c>
      <c r="X247" s="60" t="str">
        <f>IF($B247="","",IF((E247)=0,"",(SUMIFS(pbp_Pitches,pbp_Batter,$B247,pbp_PlayType,"?*"))/(E247)))</f>
        <v/>
      </c>
      <c r="Y247" s="42" t="str">
        <f t="shared" si="31"/>
        <v/>
      </c>
      <c r="Z247" s="58" t="str">
        <f>IF($B247="","",IF((SUMPRODUCT(COUNTIFS(pbp_PlayType,EM_Type,pbp_Batter,$B247,pbp_On2B,"?*")*EM_AB)+SUMPRODUCT(COUNTIFS(pbp_PlayType,EM_Type,pbp_Batter,$B247,pbp_On2B,"",pbp_On3B,"?*")*EM_AB))=0,"",(SUMPRODUCT(COUNTIFS(pbp_PlayType,EM_Type,pbp_Batter,$B247,pbp_On2B,"?*")*EM_H)+SUMPRODUCT(COUNTIFS(pbp_PlayType,EM_Type,pbp_Batter,$B247,pbp_On2B,"",pbp_On3B,"?*")*EM_H))/(SUMPRODUCT(COUNTIFS(pbp_PlayType,EM_Type,pbp_Batter,$B247,pbp_On2B,"?*")*EM_AB)+SUMPRODUCT(COUNTIFS(pbp_PlayType,EM_Type,pbp_Batter,$B247,pbp_On2B,"",pbp_On3B,"?*")*EM_AB))))</f>
        <v/>
      </c>
      <c r="AA247" s="62" t="str">
        <f>IF($B247="","",IF(OR(E247&lt;MinPA,T247=""),"",COUNTIFS($E$6:$E$255,"&gt;="&amp;MinPA,$T$6:$T$255,"&gt;"&amp;T247)+COUNTIFS($E$5:E246,"&gt;="&amp;MinPA,$T$5:T246,T247)+1))</f>
        <v/>
      </c>
    </row>
    <row r="248" spans="2:27" x14ac:dyDescent="0.2">
      <c r="B248" s="44" t="str">
        <f t="array" ref="B248">IFERROR(INDEX(pbp_Batter,MATCH(0,COUNTIF($B$5:B247,pbp_Batter)+(pbp_Batter=""),0)),"")</f>
        <v/>
      </c>
      <c r="C248" s="61" t="str">
        <f>IF($B248="","",IFERROR(INDEX(pbp_BatTeam,MATCH($B248,pbp_Batter,0)),""))</f>
        <v/>
      </c>
      <c r="D248" s="61" t="str">
        <f>IF($B248="","",IFERROR(INDEX(pbp_BatHand,MATCH($B248,pbp_Batter,0)),""))</f>
        <v/>
      </c>
      <c r="E248" s="42" t="str">
        <f>IF($B248="","",SUMPRODUCT(COUNTIFS(pbp_PlayType,EM_Type,pbp_Batter,$B248)*EM_PA))</f>
        <v/>
      </c>
      <c r="F248" s="42" t="str">
        <f>IF($B248="","",SUMPRODUCT(COUNTIFS(pbp_PlayType,EM_Type,pbp_Batter,$B248)*EM_AB))</f>
        <v/>
      </c>
      <c r="G248" s="42" t="str">
        <f>IF($B248="","",SUMPRODUCT(COUNTIFS(pbp_PlayType,EM_Type,pbp_Batter,$B248)*EM_H))</f>
        <v/>
      </c>
      <c r="H248" s="42" t="str">
        <f>IF($B248="","",SUMPRODUCT(COUNTIFS(pbp_PlayType,EM_Type,pbp_Batter,$B248)*EM_2B))</f>
        <v/>
      </c>
      <c r="I248" s="42" t="str">
        <f>IF($B248="","",SUMPRODUCT(COUNTIFS(pbp_PlayType,EM_Type,pbp_Batter,$B248)*EM_3B))</f>
        <v/>
      </c>
      <c r="J248" s="42" t="str">
        <f>IF($B248="","",SUMPRODUCT(COUNTIFS(pbp_PlayType,EM_Type,pbp_Batter,$B248)*EM_HR))</f>
        <v/>
      </c>
      <c r="K248" s="42" t="str">
        <f>IF($B248="","",SUMPRODUCT(COUNTIFS(pbp_PlayType,EM_Type,pbp_Batter,$B248)*EM_1B))</f>
        <v/>
      </c>
      <c r="L248" s="42" t="str">
        <f>IF($B248="","",SUMPRODUCT(COUNTIFS(pbp_PlayType,EM_Type,pbp_Batter,$B248)*EM_BB))</f>
        <v/>
      </c>
      <c r="M248" s="42" t="str">
        <f>IF($B248="","",SUMPRODUCT(COUNTIFS(pbp_PlayType,EM_Type,pbp_Batter,$B248)*EM_HBP))</f>
        <v/>
      </c>
      <c r="N248" s="42" t="str">
        <f>IF($B248="","",COUNTIFS(pbp_PlayType,"?*",pbp_Desc,"*struck out*",pbp_Batter,$B248))</f>
        <v/>
      </c>
      <c r="O248" s="42" t="str">
        <f>IF($B248="","",SUMPRODUCT(COUNTIFS(pbp_PlayType,EM_Type,pbp_Batter,$B248)*EM_SF))</f>
        <v/>
      </c>
      <c r="P248" s="42" t="str">
        <f>IF($B248="","",SUMIFS(pbp_Runs,pbp_Batter,$B248))</f>
        <v/>
      </c>
      <c r="Q248" s="58" t="str">
        <f t="shared" si="24"/>
        <v/>
      </c>
      <c r="R248" s="58" t="str">
        <f t="shared" si="25"/>
        <v/>
      </c>
      <c r="S248" s="58" t="str">
        <f t="shared" si="26"/>
        <v/>
      </c>
      <c r="T248" s="58" t="str">
        <f t="shared" si="27"/>
        <v/>
      </c>
      <c r="U248" s="58" t="str">
        <f t="shared" si="28"/>
        <v/>
      </c>
      <c r="V248" s="59" t="str">
        <f t="shared" si="29"/>
        <v/>
      </c>
      <c r="W248" s="59" t="str">
        <f t="shared" si="30"/>
        <v/>
      </c>
      <c r="X248" s="60" t="str">
        <f>IF($B248="","",IF((E248)=0,"",(SUMIFS(pbp_Pitches,pbp_Batter,$B248,pbp_PlayType,"?*"))/(E248)))</f>
        <v/>
      </c>
      <c r="Y248" s="42" t="str">
        <f t="shared" si="31"/>
        <v/>
      </c>
      <c r="Z248" s="58" t="str">
        <f>IF($B248="","",IF((SUMPRODUCT(COUNTIFS(pbp_PlayType,EM_Type,pbp_Batter,$B248,pbp_On2B,"?*")*EM_AB)+SUMPRODUCT(COUNTIFS(pbp_PlayType,EM_Type,pbp_Batter,$B248,pbp_On2B,"",pbp_On3B,"?*")*EM_AB))=0,"",(SUMPRODUCT(COUNTIFS(pbp_PlayType,EM_Type,pbp_Batter,$B248,pbp_On2B,"?*")*EM_H)+SUMPRODUCT(COUNTIFS(pbp_PlayType,EM_Type,pbp_Batter,$B248,pbp_On2B,"",pbp_On3B,"?*")*EM_H))/(SUMPRODUCT(COUNTIFS(pbp_PlayType,EM_Type,pbp_Batter,$B248,pbp_On2B,"?*")*EM_AB)+SUMPRODUCT(COUNTIFS(pbp_PlayType,EM_Type,pbp_Batter,$B248,pbp_On2B,"",pbp_On3B,"?*")*EM_AB))))</f>
        <v/>
      </c>
      <c r="AA248" s="62" t="str">
        <f>IF($B248="","",IF(OR(E248&lt;MinPA,T248=""),"",COUNTIFS($E$6:$E$255,"&gt;="&amp;MinPA,$T$6:$T$255,"&gt;"&amp;T248)+COUNTIFS($E$5:E247,"&gt;="&amp;MinPA,$T$5:T247,T248)+1))</f>
        <v/>
      </c>
    </row>
    <row r="249" spans="2:27" x14ac:dyDescent="0.2">
      <c r="B249" s="44" t="str">
        <f t="array" ref="B249">IFERROR(INDEX(pbp_Batter,MATCH(0,COUNTIF($B$5:B248,pbp_Batter)+(pbp_Batter=""),0)),"")</f>
        <v/>
      </c>
      <c r="C249" s="61" t="str">
        <f>IF($B249="","",IFERROR(INDEX(pbp_BatTeam,MATCH($B249,pbp_Batter,0)),""))</f>
        <v/>
      </c>
      <c r="D249" s="61" t="str">
        <f>IF($B249="","",IFERROR(INDEX(pbp_BatHand,MATCH($B249,pbp_Batter,0)),""))</f>
        <v/>
      </c>
      <c r="E249" s="42" t="str">
        <f>IF($B249="","",SUMPRODUCT(COUNTIFS(pbp_PlayType,EM_Type,pbp_Batter,$B249)*EM_PA))</f>
        <v/>
      </c>
      <c r="F249" s="42" t="str">
        <f>IF($B249="","",SUMPRODUCT(COUNTIFS(pbp_PlayType,EM_Type,pbp_Batter,$B249)*EM_AB))</f>
        <v/>
      </c>
      <c r="G249" s="42" t="str">
        <f>IF($B249="","",SUMPRODUCT(COUNTIFS(pbp_PlayType,EM_Type,pbp_Batter,$B249)*EM_H))</f>
        <v/>
      </c>
      <c r="H249" s="42" t="str">
        <f>IF($B249="","",SUMPRODUCT(COUNTIFS(pbp_PlayType,EM_Type,pbp_Batter,$B249)*EM_2B))</f>
        <v/>
      </c>
      <c r="I249" s="42" t="str">
        <f>IF($B249="","",SUMPRODUCT(COUNTIFS(pbp_PlayType,EM_Type,pbp_Batter,$B249)*EM_3B))</f>
        <v/>
      </c>
      <c r="J249" s="42" t="str">
        <f>IF($B249="","",SUMPRODUCT(COUNTIFS(pbp_PlayType,EM_Type,pbp_Batter,$B249)*EM_HR))</f>
        <v/>
      </c>
      <c r="K249" s="42" t="str">
        <f>IF($B249="","",SUMPRODUCT(COUNTIFS(pbp_PlayType,EM_Type,pbp_Batter,$B249)*EM_1B))</f>
        <v/>
      </c>
      <c r="L249" s="42" t="str">
        <f>IF($B249="","",SUMPRODUCT(COUNTIFS(pbp_PlayType,EM_Type,pbp_Batter,$B249)*EM_BB))</f>
        <v/>
      </c>
      <c r="M249" s="42" t="str">
        <f>IF($B249="","",SUMPRODUCT(COUNTIFS(pbp_PlayType,EM_Type,pbp_Batter,$B249)*EM_HBP))</f>
        <v/>
      </c>
      <c r="N249" s="42" t="str">
        <f>IF($B249="","",COUNTIFS(pbp_PlayType,"?*",pbp_Desc,"*struck out*",pbp_Batter,$B249))</f>
        <v/>
      </c>
      <c r="O249" s="42" t="str">
        <f>IF($B249="","",SUMPRODUCT(COUNTIFS(pbp_PlayType,EM_Type,pbp_Batter,$B249)*EM_SF))</f>
        <v/>
      </c>
      <c r="P249" s="42" t="str">
        <f>IF($B249="","",SUMIFS(pbp_Runs,pbp_Batter,$B249))</f>
        <v/>
      </c>
      <c r="Q249" s="58" t="str">
        <f t="shared" si="24"/>
        <v/>
      </c>
      <c r="R249" s="58" t="str">
        <f t="shared" si="25"/>
        <v/>
      </c>
      <c r="S249" s="58" t="str">
        <f t="shared" si="26"/>
        <v/>
      </c>
      <c r="T249" s="58" t="str">
        <f t="shared" si="27"/>
        <v/>
      </c>
      <c r="U249" s="58" t="str">
        <f t="shared" si="28"/>
        <v/>
      </c>
      <c r="V249" s="59" t="str">
        <f t="shared" si="29"/>
        <v/>
      </c>
      <c r="W249" s="59" t="str">
        <f t="shared" si="30"/>
        <v/>
      </c>
      <c r="X249" s="60" t="str">
        <f>IF($B249="","",IF((E249)=0,"",(SUMIFS(pbp_Pitches,pbp_Batter,$B249,pbp_PlayType,"?*"))/(E249)))</f>
        <v/>
      </c>
      <c r="Y249" s="42" t="str">
        <f t="shared" si="31"/>
        <v/>
      </c>
      <c r="Z249" s="58" t="str">
        <f>IF($B249="","",IF((SUMPRODUCT(COUNTIFS(pbp_PlayType,EM_Type,pbp_Batter,$B249,pbp_On2B,"?*")*EM_AB)+SUMPRODUCT(COUNTIFS(pbp_PlayType,EM_Type,pbp_Batter,$B249,pbp_On2B,"",pbp_On3B,"?*")*EM_AB))=0,"",(SUMPRODUCT(COUNTIFS(pbp_PlayType,EM_Type,pbp_Batter,$B249,pbp_On2B,"?*")*EM_H)+SUMPRODUCT(COUNTIFS(pbp_PlayType,EM_Type,pbp_Batter,$B249,pbp_On2B,"",pbp_On3B,"?*")*EM_H))/(SUMPRODUCT(COUNTIFS(pbp_PlayType,EM_Type,pbp_Batter,$B249,pbp_On2B,"?*")*EM_AB)+SUMPRODUCT(COUNTIFS(pbp_PlayType,EM_Type,pbp_Batter,$B249,pbp_On2B,"",pbp_On3B,"?*")*EM_AB))))</f>
        <v/>
      </c>
      <c r="AA249" s="62" t="str">
        <f>IF($B249="","",IF(OR(E249&lt;MinPA,T249=""),"",COUNTIFS($E$6:$E$255,"&gt;="&amp;MinPA,$T$6:$T$255,"&gt;"&amp;T249)+COUNTIFS($E$5:E248,"&gt;="&amp;MinPA,$T$5:T248,T249)+1))</f>
        <v/>
      </c>
    </row>
    <row r="250" spans="2:27" x14ac:dyDescent="0.2">
      <c r="B250" s="44" t="str">
        <f t="array" ref="B250">IFERROR(INDEX(pbp_Batter,MATCH(0,COUNTIF($B$5:B249,pbp_Batter)+(pbp_Batter=""),0)),"")</f>
        <v/>
      </c>
      <c r="C250" s="61" t="str">
        <f>IF($B250="","",IFERROR(INDEX(pbp_BatTeam,MATCH($B250,pbp_Batter,0)),""))</f>
        <v/>
      </c>
      <c r="D250" s="61" t="str">
        <f>IF($B250="","",IFERROR(INDEX(pbp_BatHand,MATCH($B250,pbp_Batter,0)),""))</f>
        <v/>
      </c>
      <c r="E250" s="42" t="str">
        <f>IF($B250="","",SUMPRODUCT(COUNTIFS(pbp_PlayType,EM_Type,pbp_Batter,$B250)*EM_PA))</f>
        <v/>
      </c>
      <c r="F250" s="42" t="str">
        <f>IF($B250="","",SUMPRODUCT(COUNTIFS(pbp_PlayType,EM_Type,pbp_Batter,$B250)*EM_AB))</f>
        <v/>
      </c>
      <c r="G250" s="42" t="str">
        <f>IF($B250="","",SUMPRODUCT(COUNTIFS(pbp_PlayType,EM_Type,pbp_Batter,$B250)*EM_H))</f>
        <v/>
      </c>
      <c r="H250" s="42" t="str">
        <f>IF($B250="","",SUMPRODUCT(COUNTIFS(pbp_PlayType,EM_Type,pbp_Batter,$B250)*EM_2B))</f>
        <v/>
      </c>
      <c r="I250" s="42" t="str">
        <f>IF($B250="","",SUMPRODUCT(COUNTIFS(pbp_PlayType,EM_Type,pbp_Batter,$B250)*EM_3B))</f>
        <v/>
      </c>
      <c r="J250" s="42" t="str">
        <f>IF($B250="","",SUMPRODUCT(COUNTIFS(pbp_PlayType,EM_Type,pbp_Batter,$B250)*EM_HR))</f>
        <v/>
      </c>
      <c r="K250" s="42" t="str">
        <f>IF($B250="","",SUMPRODUCT(COUNTIFS(pbp_PlayType,EM_Type,pbp_Batter,$B250)*EM_1B))</f>
        <v/>
      </c>
      <c r="L250" s="42" t="str">
        <f>IF($B250="","",SUMPRODUCT(COUNTIFS(pbp_PlayType,EM_Type,pbp_Batter,$B250)*EM_BB))</f>
        <v/>
      </c>
      <c r="M250" s="42" t="str">
        <f>IF($B250="","",SUMPRODUCT(COUNTIFS(pbp_PlayType,EM_Type,pbp_Batter,$B250)*EM_HBP))</f>
        <v/>
      </c>
      <c r="N250" s="42" t="str">
        <f>IF($B250="","",COUNTIFS(pbp_PlayType,"?*",pbp_Desc,"*struck out*",pbp_Batter,$B250))</f>
        <v/>
      </c>
      <c r="O250" s="42" t="str">
        <f>IF($B250="","",SUMPRODUCT(COUNTIFS(pbp_PlayType,EM_Type,pbp_Batter,$B250)*EM_SF))</f>
        <v/>
      </c>
      <c r="P250" s="42" t="str">
        <f>IF($B250="","",SUMIFS(pbp_Runs,pbp_Batter,$B250))</f>
        <v/>
      </c>
      <c r="Q250" s="58" t="str">
        <f t="shared" si="24"/>
        <v/>
      </c>
      <c r="R250" s="58" t="str">
        <f t="shared" si="25"/>
        <v/>
      </c>
      <c r="S250" s="58" t="str">
        <f t="shared" si="26"/>
        <v/>
      </c>
      <c r="T250" s="58" t="str">
        <f t="shared" si="27"/>
        <v/>
      </c>
      <c r="U250" s="58" t="str">
        <f t="shared" si="28"/>
        <v/>
      </c>
      <c r="V250" s="59" t="str">
        <f t="shared" si="29"/>
        <v/>
      </c>
      <c r="W250" s="59" t="str">
        <f t="shared" si="30"/>
        <v/>
      </c>
      <c r="X250" s="60" t="str">
        <f>IF($B250="","",IF((E250)=0,"",(SUMIFS(pbp_Pitches,pbp_Batter,$B250,pbp_PlayType,"?*"))/(E250)))</f>
        <v/>
      </c>
      <c r="Y250" s="42" t="str">
        <f t="shared" si="31"/>
        <v/>
      </c>
      <c r="Z250" s="58" t="str">
        <f>IF($B250="","",IF((SUMPRODUCT(COUNTIFS(pbp_PlayType,EM_Type,pbp_Batter,$B250,pbp_On2B,"?*")*EM_AB)+SUMPRODUCT(COUNTIFS(pbp_PlayType,EM_Type,pbp_Batter,$B250,pbp_On2B,"",pbp_On3B,"?*")*EM_AB))=0,"",(SUMPRODUCT(COUNTIFS(pbp_PlayType,EM_Type,pbp_Batter,$B250,pbp_On2B,"?*")*EM_H)+SUMPRODUCT(COUNTIFS(pbp_PlayType,EM_Type,pbp_Batter,$B250,pbp_On2B,"",pbp_On3B,"?*")*EM_H))/(SUMPRODUCT(COUNTIFS(pbp_PlayType,EM_Type,pbp_Batter,$B250,pbp_On2B,"?*")*EM_AB)+SUMPRODUCT(COUNTIFS(pbp_PlayType,EM_Type,pbp_Batter,$B250,pbp_On2B,"",pbp_On3B,"?*")*EM_AB))))</f>
        <v/>
      </c>
      <c r="AA250" s="62" t="str">
        <f>IF($B250="","",IF(OR(E250&lt;MinPA,T250=""),"",COUNTIFS($E$6:$E$255,"&gt;="&amp;MinPA,$T$6:$T$255,"&gt;"&amp;T250)+COUNTIFS($E$5:E249,"&gt;="&amp;MinPA,$T$5:T249,T250)+1))</f>
        <v/>
      </c>
    </row>
    <row r="251" spans="2:27" x14ac:dyDescent="0.2">
      <c r="B251" s="44" t="str">
        <f t="array" ref="B251">IFERROR(INDEX(pbp_Batter,MATCH(0,COUNTIF($B$5:B250,pbp_Batter)+(pbp_Batter=""),0)),"")</f>
        <v/>
      </c>
      <c r="C251" s="61" t="str">
        <f>IF($B251="","",IFERROR(INDEX(pbp_BatTeam,MATCH($B251,pbp_Batter,0)),""))</f>
        <v/>
      </c>
      <c r="D251" s="61" t="str">
        <f>IF($B251="","",IFERROR(INDEX(pbp_BatHand,MATCH($B251,pbp_Batter,0)),""))</f>
        <v/>
      </c>
      <c r="E251" s="42" t="str">
        <f>IF($B251="","",SUMPRODUCT(COUNTIFS(pbp_PlayType,EM_Type,pbp_Batter,$B251)*EM_PA))</f>
        <v/>
      </c>
      <c r="F251" s="42" t="str">
        <f>IF($B251="","",SUMPRODUCT(COUNTIFS(pbp_PlayType,EM_Type,pbp_Batter,$B251)*EM_AB))</f>
        <v/>
      </c>
      <c r="G251" s="42" t="str">
        <f>IF($B251="","",SUMPRODUCT(COUNTIFS(pbp_PlayType,EM_Type,pbp_Batter,$B251)*EM_H))</f>
        <v/>
      </c>
      <c r="H251" s="42" t="str">
        <f>IF($B251="","",SUMPRODUCT(COUNTIFS(pbp_PlayType,EM_Type,pbp_Batter,$B251)*EM_2B))</f>
        <v/>
      </c>
      <c r="I251" s="42" t="str">
        <f>IF($B251="","",SUMPRODUCT(COUNTIFS(pbp_PlayType,EM_Type,pbp_Batter,$B251)*EM_3B))</f>
        <v/>
      </c>
      <c r="J251" s="42" t="str">
        <f>IF($B251="","",SUMPRODUCT(COUNTIFS(pbp_PlayType,EM_Type,pbp_Batter,$B251)*EM_HR))</f>
        <v/>
      </c>
      <c r="K251" s="42" t="str">
        <f>IF($B251="","",SUMPRODUCT(COUNTIFS(pbp_PlayType,EM_Type,pbp_Batter,$B251)*EM_1B))</f>
        <v/>
      </c>
      <c r="L251" s="42" t="str">
        <f>IF($B251="","",SUMPRODUCT(COUNTIFS(pbp_PlayType,EM_Type,pbp_Batter,$B251)*EM_BB))</f>
        <v/>
      </c>
      <c r="M251" s="42" t="str">
        <f>IF($B251="","",SUMPRODUCT(COUNTIFS(pbp_PlayType,EM_Type,pbp_Batter,$B251)*EM_HBP))</f>
        <v/>
      </c>
      <c r="N251" s="42" t="str">
        <f>IF($B251="","",COUNTIFS(pbp_PlayType,"?*",pbp_Desc,"*struck out*",pbp_Batter,$B251))</f>
        <v/>
      </c>
      <c r="O251" s="42" t="str">
        <f>IF($B251="","",SUMPRODUCT(COUNTIFS(pbp_PlayType,EM_Type,pbp_Batter,$B251)*EM_SF))</f>
        <v/>
      </c>
      <c r="P251" s="42" t="str">
        <f>IF($B251="","",SUMIFS(pbp_Runs,pbp_Batter,$B251))</f>
        <v/>
      </c>
      <c r="Q251" s="58" t="str">
        <f t="shared" si="24"/>
        <v/>
      </c>
      <c r="R251" s="58" t="str">
        <f t="shared" si="25"/>
        <v/>
      </c>
      <c r="S251" s="58" t="str">
        <f t="shared" si="26"/>
        <v/>
      </c>
      <c r="T251" s="58" t="str">
        <f t="shared" si="27"/>
        <v/>
      </c>
      <c r="U251" s="58" t="str">
        <f t="shared" si="28"/>
        <v/>
      </c>
      <c r="V251" s="59" t="str">
        <f t="shared" si="29"/>
        <v/>
      </c>
      <c r="W251" s="59" t="str">
        <f t="shared" si="30"/>
        <v/>
      </c>
      <c r="X251" s="60" t="str">
        <f>IF($B251="","",IF((E251)=0,"",(SUMIFS(pbp_Pitches,pbp_Batter,$B251,pbp_PlayType,"?*"))/(E251)))</f>
        <v/>
      </c>
      <c r="Y251" s="42" t="str">
        <f t="shared" si="31"/>
        <v/>
      </c>
      <c r="Z251" s="58" t="str">
        <f>IF($B251="","",IF((SUMPRODUCT(COUNTIFS(pbp_PlayType,EM_Type,pbp_Batter,$B251,pbp_On2B,"?*")*EM_AB)+SUMPRODUCT(COUNTIFS(pbp_PlayType,EM_Type,pbp_Batter,$B251,pbp_On2B,"",pbp_On3B,"?*")*EM_AB))=0,"",(SUMPRODUCT(COUNTIFS(pbp_PlayType,EM_Type,pbp_Batter,$B251,pbp_On2B,"?*")*EM_H)+SUMPRODUCT(COUNTIFS(pbp_PlayType,EM_Type,pbp_Batter,$B251,pbp_On2B,"",pbp_On3B,"?*")*EM_H))/(SUMPRODUCT(COUNTIFS(pbp_PlayType,EM_Type,pbp_Batter,$B251,pbp_On2B,"?*")*EM_AB)+SUMPRODUCT(COUNTIFS(pbp_PlayType,EM_Type,pbp_Batter,$B251,pbp_On2B,"",pbp_On3B,"?*")*EM_AB))))</f>
        <v/>
      </c>
      <c r="AA251" s="62" t="str">
        <f>IF($B251="","",IF(OR(E251&lt;MinPA,T251=""),"",COUNTIFS($E$6:$E$255,"&gt;="&amp;MinPA,$T$6:$T$255,"&gt;"&amp;T251)+COUNTIFS($E$5:E250,"&gt;="&amp;MinPA,$T$5:T250,T251)+1))</f>
        <v/>
      </c>
    </row>
    <row r="252" spans="2:27" x14ac:dyDescent="0.2">
      <c r="B252" s="44" t="str">
        <f t="array" ref="B252">IFERROR(INDEX(pbp_Batter,MATCH(0,COUNTIF($B$5:B251,pbp_Batter)+(pbp_Batter=""),0)),"")</f>
        <v/>
      </c>
      <c r="C252" s="61" t="str">
        <f>IF($B252="","",IFERROR(INDEX(pbp_BatTeam,MATCH($B252,pbp_Batter,0)),""))</f>
        <v/>
      </c>
      <c r="D252" s="61" t="str">
        <f>IF($B252="","",IFERROR(INDEX(pbp_BatHand,MATCH($B252,pbp_Batter,0)),""))</f>
        <v/>
      </c>
      <c r="E252" s="42" t="str">
        <f>IF($B252="","",SUMPRODUCT(COUNTIFS(pbp_PlayType,EM_Type,pbp_Batter,$B252)*EM_PA))</f>
        <v/>
      </c>
      <c r="F252" s="42" t="str">
        <f>IF($B252="","",SUMPRODUCT(COUNTIFS(pbp_PlayType,EM_Type,pbp_Batter,$B252)*EM_AB))</f>
        <v/>
      </c>
      <c r="G252" s="42" t="str">
        <f>IF($B252="","",SUMPRODUCT(COUNTIFS(pbp_PlayType,EM_Type,pbp_Batter,$B252)*EM_H))</f>
        <v/>
      </c>
      <c r="H252" s="42" t="str">
        <f>IF($B252="","",SUMPRODUCT(COUNTIFS(pbp_PlayType,EM_Type,pbp_Batter,$B252)*EM_2B))</f>
        <v/>
      </c>
      <c r="I252" s="42" t="str">
        <f>IF($B252="","",SUMPRODUCT(COUNTIFS(pbp_PlayType,EM_Type,pbp_Batter,$B252)*EM_3B))</f>
        <v/>
      </c>
      <c r="J252" s="42" t="str">
        <f>IF($B252="","",SUMPRODUCT(COUNTIFS(pbp_PlayType,EM_Type,pbp_Batter,$B252)*EM_HR))</f>
        <v/>
      </c>
      <c r="K252" s="42" t="str">
        <f>IF($B252="","",SUMPRODUCT(COUNTIFS(pbp_PlayType,EM_Type,pbp_Batter,$B252)*EM_1B))</f>
        <v/>
      </c>
      <c r="L252" s="42" t="str">
        <f>IF($B252="","",SUMPRODUCT(COUNTIFS(pbp_PlayType,EM_Type,pbp_Batter,$B252)*EM_BB))</f>
        <v/>
      </c>
      <c r="M252" s="42" t="str">
        <f>IF($B252="","",SUMPRODUCT(COUNTIFS(pbp_PlayType,EM_Type,pbp_Batter,$B252)*EM_HBP))</f>
        <v/>
      </c>
      <c r="N252" s="42" t="str">
        <f>IF($B252="","",COUNTIFS(pbp_PlayType,"?*",pbp_Desc,"*struck out*",pbp_Batter,$B252))</f>
        <v/>
      </c>
      <c r="O252" s="42" t="str">
        <f>IF($B252="","",SUMPRODUCT(COUNTIFS(pbp_PlayType,EM_Type,pbp_Batter,$B252)*EM_SF))</f>
        <v/>
      </c>
      <c r="P252" s="42" t="str">
        <f>IF($B252="","",SUMIFS(pbp_Runs,pbp_Batter,$B252))</f>
        <v/>
      </c>
      <c r="Q252" s="58" t="str">
        <f t="shared" si="24"/>
        <v/>
      </c>
      <c r="R252" s="58" t="str">
        <f t="shared" si="25"/>
        <v/>
      </c>
      <c r="S252" s="58" t="str">
        <f t="shared" si="26"/>
        <v/>
      </c>
      <c r="T252" s="58" t="str">
        <f t="shared" si="27"/>
        <v/>
      </c>
      <c r="U252" s="58" t="str">
        <f t="shared" si="28"/>
        <v/>
      </c>
      <c r="V252" s="59" t="str">
        <f t="shared" si="29"/>
        <v/>
      </c>
      <c r="W252" s="59" t="str">
        <f t="shared" si="30"/>
        <v/>
      </c>
      <c r="X252" s="60" t="str">
        <f>IF($B252="","",IF((E252)=0,"",(SUMIFS(pbp_Pitches,pbp_Batter,$B252,pbp_PlayType,"?*"))/(E252)))</f>
        <v/>
      </c>
      <c r="Y252" s="42" t="str">
        <f t="shared" si="31"/>
        <v/>
      </c>
      <c r="Z252" s="58" t="str">
        <f>IF($B252="","",IF((SUMPRODUCT(COUNTIFS(pbp_PlayType,EM_Type,pbp_Batter,$B252,pbp_On2B,"?*")*EM_AB)+SUMPRODUCT(COUNTIFS(pbp_PlayType,EM_Type,pbp_Batter,$B252,pbp_On2B,"",pbp_On3B,"?*")*EM_AB))=0,"",(SUMPRODUCT(COUNTIFS(pbp_PlayType,EM_Type,pbp_Batter,$B252,pbp_On2B,"?*")*EM_H)+SUMPRODUCT(COUNTIFS(pbp_PlayType,EM_Type,pbp_Batter,$B252,pbp_On2B,"",pbp_On3B,"?*")*EM_H))/(SUMPRODUCT(COUNTIFS(pbp_PlayType,EM_Type,pbp_Batter,$B252,pbp_On2B,"?*")*EM_AB)+SUMPRODUCT(COUNTIFS(pbp_PlayType,EM_Type,pbp_Batter,$B252,pbp_On2B,"",pbp_On3B,"?*")*EM_AB))))</f>
        <v/>
      </c>
      <c r="AA252" s="62" t="str">
        <f>IF($B252="","",IF(OR(E252&lt;MinPA,T252=""),"",COUNTIFS($E$6:$E$255,"&gt;="&amp;MinPA,$T$6:$T$255,"&gt;"&amp;T252)+COUNTIFS($E$5:E251,"&gt;="&amp;MinPA,$T$5:T251,T252)+1))</f>
        <v/>
      </c>
    </row>
    <row r="253" spans="2:27" x14ac:dyDescent="0.2">
      <c r="B253" s="44" t="str">
        <f t="array" ref="B253">IFERROR(INDEX(pbp_Batter,MATCH(0,COUNTIF($B$5:B252,pbp_Batter)+(pbp_Batter=""),0)),"")</f>
        <v/>
      </c>
      <c r="C253" s="61" t="str">
        <f>IF($B253="","",IFERROR(INDEX(pbp_BatTeam,MATCH($B253,pbp_Batter,0)),""))</f>
        <v/>
      </c>
      <c r="D253" s="61" t="str">
        <f>IF($B253="","",IFERROR(INDEX(pbp_BatHand,MATCH($B253,pbp_Batter,0)),""))</f>
        <v/>
      </c>
      <c r="E253" s="42" t="str">
        <f>IF($B253="","",SUMPRODUCT(COUNTIFS(pbp_PlayType,EM_Type,pbp_Batter,$B253)*EM_PA))</f>
        <v/>
      </c>
      <c r="F253" s="42" t="str">
        <f>IF($B253="","",SUMPRODUCT(COUNTIFS(pbp_PlayType,EM_Type,pbp_Batter,$B253)*EM_AB))</f>
        <v/>
      </c>
      <c r="G253" s="42" t="str">
        <f>IF($B253="","",SUMPRODUCT(COUNTIFS(pbp_PlayType,EM_Type,pbp_Batter,$B253)*EM_H))</f>
        <v/>
      </c>
      <c r="H253" s="42" t="str">
        <f>IF($B253="","",SUMPRODUCT(COUNTIFS(pbp_PlayType,EM_Type,pbp_Batter,$B253)*EM_2B))</f>
        <v/>
      </c>
      <c r="I253" s="42" t="str">
        <f>IF($B253="","",SUMPRODUCT(COUNTIFS(pbp_PlayType,EM_Type,pbp_Batter,$B253)*EM_3B))</f>
        <v/>
      </c>
      <c r="J253" s="42" t="str">
        <f>IF($B253="","",SUMPRODUCT(COUNTIFS(pbp_PlayType,EM_Type,pbp_Batter,$B253)*EM_HR))</f>
        <v/>
      </c>
      <c r="K253" s="42" t="str">
        <f>IF($B253="","",SUMPRODUCT(COUNTIFS(pbp_PlayType,EM_Type,pbp_Batter,$B253)*EM_1B))</f>
        <v/>
      </c>
      <c r="L253" s="42" t="str">
        <f>IF($B253="","",SUMPRODUCT(COUNTIFS(pbp_PlayType,EM_Type,pbp_Batter,$B253)*EM_BB))</f>
        <v/>
      </c>
      <c r="M253" s="42" t="str">
        <f>IF($B253="","",SUMPRODUCT(COUNTIFS(pbp_PlayType,EM_Type,pbp_Batter,$B253)*EM_HBP))</f>
        <v/>
      </c>
      <c r="N253" s="42" t="str">
        <f>IF($B253="","",COUNTIFS(pbp_PlayType,"?*",pbp_Desc,"*struck out*",pbp_Batter,$B253))</f>
        <v/>
      </c>
      <c r="O253" s="42" t="str">
        <f>IF($B253="","",SUMPRODUCT(COUNTIFS(pbp_PlayType,EM_Type,pbp_Batter,$B253)*EM_SF))</f>
        <v/>
      </c>
      <c r="P253" s="42" t="str">
        <f>IF($B253="","",SUMIFS(pbp_Runs,pbp_Batter,$B253))</f>
        <v/>
      </c>
      <c r="Q253" s="58" t="str">
        <f t="shared" si="24"/>
        <v/>
      </c>
      <c r="R253" s="58" t="str">
        <f t="shared" si="25"/>
        <v/>
      </c>
      <c r="S253" s="58" t="str">
        <f t="shared" si="26"/>
        <v/>
      </c>
      <c r="T253" s="58" t="str">
        <f t="shared" si="27"/>
        <v/>
      </c>
      <c r="U253" s="58" t="str">
        <f t="shared" si="28"/>
        <v/>
      </c>
      <c r="V253" s="59" t="str">
        <f t="shared" si="29"/>
        <v/>
      </c>
      <c r="W253" s="59" t="str">
        <f t="shared" si="30"/>
        <v/>
      </c>
      <c r="X253" s="60" t="str">
        <f>IF($B253="","",IF((E253)=0,"",(SUMIFS(pbp_Pitches,pbp_Batter,$B253,pbp_PlayType,"?*"))/(E253)))</f>
        <v/>
      </c>
      <c r="Y253" s="42" t="str">
        <f t="shared" si="31"/>
        <v/>
      </c>
      <c r="Z253" s="58" t="str">
        <f>IF($B253="","",IF((SUMPRODUCT(COUNTIFS(pbp_PlayType,EM_Type,pbp_Batter,$B253,pbp_On2B,"?*")*EM_AB)+SUMPRODUCT(COUNTIFS(pbp_PlayType,EM_Type,pbp_Batter,$B253,pbp_On2B,"",pbp_On3B,"?*")*EM_AB))=0,"",(SUMPRODUCT(COUNTIFS(pbp_PlayType,EM_Type,pbp_Batter,$B253,pbp_On2B,"?*")*EM_H)+SUMPRODUCT(COUNTIFS(pbp_PlayType,EM_Type,pbp_Batter,$B253,pbp_On2B,"",pbp_On3B,"?*")*EM_H))/(SUMPRODUCT(COUNTIFS(pbp_PlayType,EM_Type,pbp_Batter,$B253,pbp_On2B,"?*")*EM_AB)+SUMPRODUCT(COUNTIFS(pbp_PlayType,EM_Type,pbp_Batter,$B253,pbp_On2B,"",pbp_On3B,"?*")*EM_AB))))</f>
        <v/>
      </c>
      <c r="AA253" s="62" t="str">
        <f>IF($B253="","",IF(OR(E253&lt;MinPA,T253=""),"",COUNTIFS($E$6:$E$255,"&gt;="&amp;MinPA,$T$6:$T$255,"&gt;"&amp;T253)+COUNTIFS($E$5:E252,"&gt;="&amp;MinPA,$T$5:T252,T253)+1))</f>
        <v/>
      </c>
    </row>
    <row r="254" spans="2:27" x14ac:dyDescent="0.2">
      <c r="B254" s="44" t="str">
        <f t="array" ref="B254">IFERROR(INDEX(pbp_Batter,MATCH(0,COUNTIF($B$5:B253,pbp_Batter)+(pbp_Batter=""),0)),"")</f>
        <v/>
      </c>
      <c r="C254" s="61" t="str">
        <f>IF($B254="","",IFERROR(INDEX(pbp_BatTeam,MATCH($B254,pbp_Batter,0)),""))</f>
        <v/>
      </c>
      <c r="D254" s="61" t="str">
        <f>IF($B254="","",IFERROR(INDEX(pbp_BatHand,MATCH($B254,pbp_Batter,0)),""))</f>
        <v/>
      </c>
      <c r="E254" s="42" t="str">
        <f>IF($B254="","",SUMPRODUCT(COUNTIFS(pbp_PlayType,EM_Type,pbp_Batter,$B254)*EM_PA))</f>
        <v/>
      </c>
      <c r="F254" s="42" t="str">
        <f>IF($B254="","",SUMPRODUCT(COUNTIFS(pbp_PlayType,EM_Type,pbp_Batter,$B254)*EM_AB))</f>
        <v/>
      </c>
      <c r="G254" s="42" t="str">
        <f>IF($B254="","",SUMPRODUCT(COUNTIFS(pbp_PlayType,EM_Type,pbp_Batter,$B254)*EM_H))</f>
        <v/>
      </c>
      <c r="H254" s="42" t="str">
        <f>IF($B254="","",SUMPRODUCT(COUNTIFS(pbp_PlayType,EM_Type,pbp_Batter,$B254)*EM_2B))</f>
        <v/>
      </c>
      <c r="I254" s="42" t="str">
        <f>IF($B254="","",SUMPRODUCT(COUNTIFS(pbp_PlayType,EM_Type,pbp_Batter,$B254)*EM_3B))</f>
        <v/>
      </c>
      <c r="J254" s="42" t="str">
        <f>IF($B254="","",SUMPRODUCT(COUNTIFS(pbp_PlayType,EM_Type,pbp_Batter,$B254)*EM_HR))</f>
        <v/>
      </c>
      <c r="K254" s="42" t="str">
        <f>IF($B254="","",SUMPRODUCT(COUNTIFS(pbp_PlayType,EM_Type,pbp_Batter,$B254)*EM_1B))</f>
        <v/>
      </c>
      <c r="L254" s="42" t="str">
        <f>IF($B254="","",SUMPRODUCT(COUNTIFS(pbp_PlayType,EM_Type,pbp_Batter,$B254)*EM_BB))</f>
        <v/>
      </c>
      <c r="M254" s="42" t="str">
        <f>IF($B254="","",SUMPRODUCT(COUNTIFS(pbp_PlayType,EM_Type,pbp_Batter,$B254)*EM_HBP))</f>
        <v/>
      </c>
      <c r="N254" s="42" t="str">
        <f>IF($B254="","",COUNTIFS(pbp_PlayType,"?*",pbp_Desc,"*struck out*",pbp_Batter,$B254))</f>
        <v/>
      </c>
      <c r="O254" s="42" t="str">
        <f>IF($B254="","",SUMPRODUCT(COUNTIFS(pbp_PlayType,EM_Type,pbp_Batter,$B254)*EM_SF))</f>
        <v/>
      </c>
      <c r="P254" s="42" t="str">
        <f>IF($B254="","",SUMIFS(pbp_Runs,pbp_Batter,$B254))</f>
        <v/>
      </c>
      <c r="Q254" s="58" t="str">
        <f t="shared" si="24"/>
        <v/>
      </c>
      <c r="R254" s="58" t="str">
        <f t="shared" si="25"/>
        <v/>
      </c>
      <c r="S254" s="58" t="str">
        <f t="shared" si="26"/>
        <v/>
      </c>
      <c r="T254" s="58" t="str">
        <f t="shared" si="27"/>
        <v/>
      </c>
      <c r="U254" s="58" t="str">
        <f t="shared" si="28"/>
        <v/>
      </c>
      <c r="V254" s="59" t="str">
        <f t="shared" si="29"/>
        <v/>
      </c>
      <c r="W254" s="59" t="str">
        <f t="shared" si="30"/>
        <v/>
      </c>
      <c r="X254" s="60" t="str">
        <f>IF($B254="","",IF((E254)=0,"",(SUMIFS(pbp_Pitches,pbp_Batter,$B254,pbp_PlayType,"?*"))/(E254)))</f>
        <v/>
      </c>
      <c r="Y254" s="42" t="str">
        <f t="shared" si="31"/>
        <v/>
      </c>
      <c r="Z254" s="58" t="str">
        <f>IF($B254="","",IF((SUMPRODUCT(COUNTIFS(pbp_PlayType,EM_Type,pbp_Batter,$B254,pbp_On2B,"?*")*EM_AB)+SUMPRODUCT(COUNTIFS(pbp_PlayType,EM_Type,pbp_Batter,$B254,pbp_On2B,"",pbp_On3B,"?*")*EM_AB))=0,"",(SUMPRODUCT(COUNTIFS(pbp_PlayType,EM_Type,pbp_Batter,$B254,pbp_On2B,"?*")*EM_H)+SUMPRODUCT(COUNTIFS(pbp_PlayType,EM_Type,pbp_Batter,$B254,pbp_On2B,"",pbp_On3B,"?*")*EM_H))/(SUMPRODUCT(COUNTIFS(pbp_PlayType,EM_Type,pbp_Batter,$B254,pbp_On2B,"?*")*EM_AB)+SUMPRODUCT(COUNTIFS(pbp_PlayType,EM_Type,pbp_Batter,$B254,pbp_On2B,"",pbp_On3B,"?*")*EM_AB))))</f>
        <v/>
      </c>
      <c r="AA254" s="62" t="str">
        <f>IF($B254="","",IF(OR(E254&lt;MinPA,T254=""),"",COUNTIFS($E$6:$E$255,"&gt;="&amp;MinPA,$T$6:$T$255,"&gt;"&amp;T254)+COUNTIFS($E$5:E253,"&gt;="&amp;MinPA,$T$5:T253,T254)+1))</f>
        <v/>
      </c>
    </row>
    <row r="255" spans="2:27" x14ac:dyDescent="0.2">
      <c r="B255" s="44" t="str">
        <f t="array" ref="B255">IFERROR(INDEX(pbp_Batter,MATCH(0,COUNTIF($B$5:B254,pbp_Batter)+(pbp_Batter=""),0)),"")</f>
        <v/>
      </c>
      <c r="C255" s="61" t="str">
        <f>IF($B255="","",IFERROR(INDEX(pbp_BatTeam,MATCH($B255,pbp_Batter,0)),""))</f>
        <v/>
      </c>
      <c r="D255" s="61" t="str">
        <f>IF($B255="","",IFERROR(INDEX(pbp_BatHand,MATCH($B255,pbp_Batter,0)),""))</f>
        <v/>
      </c>
      <c r="E255" s="42" t="str">
        <f>IF($B255="","",SUMPRODUCT(COUNTIFS(pbp_PlayType,EM_Type,pbp_Batter,$B255)*EM_PA))</f>
        <v/>
      </c>
      <c r="F255" s="42" t="str">
        <f>IF($B255="","",SUMPRODUCT(COUNTIFS(pbp_PlayType,EM_Type,pbp_Batter,$B255)*EM_AB))</f>
        <v/>
      </c>
      <c r="G255" s="42" t="str">
        <f>IF($B255="","",SUMPRODUCT(COUNTIFS(pbp_PlayType,EM_Type,pbp_Batter,$B255)*EM_H))</f>
        <v/>
      </c>
      <c r="H255" s="42" t="str">
        <f>IF($B255="","",SUMPRODUCT(COUNTIFS(pbp_PlayType,EM_Type,pbp_Batter,$B255)*EM_2B))</f>
        <v/>
      </c>
      <c r="I255" s="42" t="str">
        <f>IF($B255="","",SUMPRODUCT(COUNTIFS(pbp_PlayType,EM_Type,pbp_Batter,$B255)*EM_3B))</f>
        <v/>
      </c>
      <c r="J255" s="42" t="str">
        <f>IF($B255="","",SUMPRODUCT(COUNTIFS(pbp_PlayType,EM_Type,pbp_Batter,$B255)*EM_HR))</f>
        <v/>
      </c>
      <c r="K255" s="42" t="str">
        <f>IF($B255="","",SUMPRODUCT(COUNTIFS(pbp_PlayType,EM_Type,pbp_Batter,$B255)*EM_1B))</f>
        <v/>
      </c>
      <c r="L255" s="42" t="str">
        <f>IF($B255="","",SUMPRODUCT(COUNTIFS(pbp_PlayType,EM_Type,pbp_Batter,$B255)*EM_BB))</f>
        <v/>
      </c>
      <c r="M255" s="42" t="str">
        <f>IF($B255="","",SUMPRODUCT(COUNTIFS(pbp_PlayType,EM_Type,pbp_Batter,$B255)*EM_HBP))</f>
        <v/>
      </c>
      <c r="N255" s="42" t="str">
        <f>IF($B255="","",COUNTIFS(pbp_PlayType,"?*",pbp_Desc,"*struck out*",pbp_Batter,$B255))</f>
        <v/>
      </c>
      <c r="O255" s="42" t="str">
        <f>IF($B255="","",SUMPRODUCT(COUNTIFS(pbp_PlayType,EM_Type,pbp_Batter,$B255)*EM_SF))</f>
        <v/>
      </c>
      <c r="P255" s="42" t="str">
        <f>IF($B255="","",SUMIFS(pbp_Runs,pbp_Batter,$B255))</f>
        <v/>
      </c>
      <c r="Q255" s="58" t="str">
        <f t="shared" si="24"/>
        <v/>
      </c>
      <c r="R255" s="58" t="str">
        <f t="shared" si="25"/>
        <v/>
      </c>
      <c r="S255" s="58" t="str">
        <f t="shared" si="26"/>
        <v/>
      </c>
      <c r="T255" s="58" t="str">
        <f t="shared" si="27"/>
        <v/>
      </c>
      <c r="U255" s="58" t="str">
        <f t="shared" si="28"/>
        <v/>
      </c>
      <c r="V255" s="59" t="str">
        <f t="shared" si="29"/>
        <v/>
      </c>
      <c r="W255" s="59" t="str">
        <f t="shared" si="30"/>
        <v/>
      </c>
      <c r="X255" s="60" t="str">
        <f>IF($B255="","",IF((E255)=0,"",(SUMIFS(pbp_Pitches,pbp_Batter,$B255,pbp_PlayType,"?*"))/(E255)))</f>
        <v/>
      </c>
      <c r="Y255" s="42" t="str">
        <f t="shared" si="31"/>
        <v/>
      </c>
      <c r="Z255" s="58" t="str">
        <f>IF($B255="","",IF((SUMPRODUCT(COUNTIFS(pbp_PlayType,EM_Type,pbp_Batter,$B255,pbp_On2B,"?*")*EM_AB)+SUMPRODUCT(COUNTIFS(pbp_PlayType,EM_Type,pbp_Batter,$B255,pbp_On2B,"",pbp_On3B,"?*")*EM_AB))=0,"",(SUMPRODUCT(COUNTIFS(pbp_PlayType,EM_Type,pbp_Batter,$B255,pbp_On2B,"?*")*EM_H)+SUMPRODUCT(COUNTIFS(pbp_PlayType,EM_Type,pbp_Batter,$B255,pbp_On2B,"",pbp_On3B,"?*")*EM_H))/(SUMPRODUCT(COUNTIFS(pbp_PlayType,EM_Type,pbp_Batter,$B255,pbp_On2B,"?*")*EM_AB)+SUMPRODUCT(COUNTIFS(pbp_PlayType,EM_Type,pbp_Batter,$B255,pbp_On2B,"",pbp_On3B,"?*")*EM_AB))))</f>
        <v/>
      </c>
      <c r="AA255" s="62" t="str">
        <f>IF($B255="","",IF(OR(E255&lt;MinPA,T255=""),"",COUNTIFS($E$6:$E$255,"&gt;="&amp;MinPA,$T$6:$T$255,"&gt;"&amp;T255)+COUNTIFS($E$5:E254,"&gt;="&amp;MinPA,$T$5:T254,T255)+1))</f>
        <v/>
      </c>
    </row>
  </sheetData>
  <autoFilter ref="B5:AA255" xr:uid="{00000000-0009-0000-0000-000003000000}"/>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B2:R28"/>
  <sheetViews>
    <sheetView showGridLines="0" zoomScaleNormal="100" workbookViewId="0">
      <pane xSplit="2" ySplit="8" topLeftCell="C9" activePane="bottomRight" state="frozen"/>
      <selection pane="topRight"/>
      <selection pane="bottomLeft"/>
      <selection pane="bottomRight"/>
    </sheetView>
  </sheetViews>
  <sheetFormatPr baseColWidth="10" defaultColWidth="8.6640625" defaultRowHeight="15" x14ac:dyDescent="0.2"/>
  <cols>
    <col min="1" max="1" width="3" customWidth="1"/>
    <col min="2" max="2" width="34" customWidth="1"/>
    <col min="3" max="18" width="8" customWidth="1"/>
  </cols>
  <sheetData>
    <row r="2" spans="2:18" ht="21" x14ac:dyDescent="0.25">
      <c r="B2" s="37" t="s">
        <v>345</v>
      </c>
    </row>
    <row r="3" spans="2:18" x14ac:dyDescent="0.2">
      <c r="B3" s="38" t="s">
        <v>346</v>
      </c>
    </row>
    <row r="5" spans="2:18" x14ac:dyDescent="0.2">
      <c r="B5" s="44" t="s">
        <v>347</v>
      </c>
      <c r="C5" s="63" t="s">
        <v>348</v>
      </c>
      <c r="D5" s="38" t="s">
        <v>349</v>
      </c>
      <c r="E5" s="38" t="str">
        <f>IF(OR(C5="",C5="All Teams"),"*",C5)</f>
        <v>*</v>
      </c>
    </row>
    <row r="6" spans="2:18" x14ac:dyDescent="0.2">
      <c r="B6" s="44" t="s">
        <v>309</v>
      </c>
      <c r="C6" s="63" t="s">
        <v>350</v>
      </c>
      <c r="D6" s="38" t="s">
        <v>349</v>
      </c>
      <c r="E6" s="38" t="str">
        <f>IF(OR(C6="",C6="All Players"),"*",C6)</f>
        <v>*</v>
      </c>
    </row>
    <row r="8" spans="2:18" ht="31.5" customHeight="1" x14ac:dyDescent="0.2">
      <c r="B8" s="43" t="s">
        <v>351</v>
      </c>
      <c r="C8" s="43" t="s">
        <v>310</v>
      </c>
      <c r="D8" s="43" t="s">
        <v>317</v>
      </c>
      <c r="E8" s="43" t="s">
        <v>318</v>
      </c>
      <c r="F8" s="43" t="s">
        <v>320</v>
      </c>
      <c r="G8" s="43" t="s">
        <v>319</v>
      </c>
      <c r="H8" s="43" t="s">
        <v>321</v>
      </c>
      <c r="I8" s="43" t="s">
        <v>323</v>
      </c>
      <c r="J8" s="43" t="s">
        <v>325</v>
      </c>
      <c r="K8" s="43" t="s">
        <v>324</v>
      </c>
      <c r="L8" s="43" t="s">
        <v>295</v>
      </c>
      <c r="M8" s="43" t="s">
        <v>330</v>
      </c>
      <c r="N8" s="43" t="s">
        <v>331</v>
      </c>
      <c r="O8" s="43" t="s">
        <v>294</v>
      </c>
      <c r="P8" s="43" t="s">
        <v>334</v>
      </c>
      <c r="Q8" s="43" t="s">
        <v>335</v>
      </c>
      <c r="R8" s="43" t="s">
        <v>352</v>
      </c>
    </row>
    <row r="9" spans="2:18" x14ac:dyDescent="0.2">
      <c r="B9" s="44" t="s">
        <v>353</v>
      </c>
      <c r="C9" s="64">
        <f>SUMPRODUCT(COUNTIFS(pbp_PlayType,EM_Type,pbp_BatTeam,$E$5,pbp_Batter,$E$6)*EM_PA)</f>
        <v>99</v>
      </c>
      <c r="D9" s="64">
        <f>SUMPRODUCT(COUNTIFS(pbp_PlayType,EM_Type,pbp_BatTeam,$E$5,pbp_Batter,$E$6)*EM_AB)</f>
        <v>84</v>
      </c>
      <c r="E9" s="64">
        <f>SUMPRODUCT(COUNTIFS(pbp_PlayType,EM_Type,pbp_BatTeam,$E$5,pbp_Batter,$E$6)*EM_H)</f>
        <v>25</v>
      </c>
      <c r="F9" s="64">
        <f>SUMPRODUCT(COUNTIFS(pbp_PlayType,EM_Type,pbp_BatTeam,$E$5,pbp_Batter,$E$6)*EM_1B)+2*(SUMPRODUCT(COUNTIFS(pbp_PlayType,EM_Type,pbp_BatTeam,$E$5,pbp_Batter,$E$6)*EM_2B))+3*(SUMPRODUCT(COUNTIFS(pbp_PlayType,EM_Type,pbp_BatTeam,$E$5,pbp_Batter,$E$6)*EM_3B))+4*(SUMPRODUCT(COUNTIFS(pbp_PlayType,EM_Type,pbp_BatTeam,$E$5,pbp_Batter,$E$6)*EM_HR))</f>
        <v>41</v>
      </c>
      <c r="G9" s="64">
        <f>SUMPRODUCT(COUNTIFS(pbp_PlayType,EM_Type,pbp_BatTeam,$E$5,pbp_Batter,$E$6)*EM_HR)</f>
        <v>4</v>
      </c>
      <c r="H9" s="64">
        <f>SUMPRODUCT(COUNTIFS(pbp_PlayType,EM_Type,pbp_BatTeam,$E$5,pbp_Batter,$E$6)*EM_BB)</f>
        <v>9</v>
      </c>
      <c r="I9" s="64">
        <f>SUMPRODUCT(COUNTIFS(pbp_PlayType,EM_Type,pbp_BatTeam,$E$5,pbp_Batter,$E$6)*EM_HBP)</f>
        <v>2</v>
      </c>
      <c r="J9" s="64">
        <f>SUMPRODUCT(COUNTIFS(pbp_PlayType,EM_Type,pbp_BatTeam,$E$5,pbp_Batter,$E$6)*EM_SF)</f>
        <v>2</v>
      </c>
      <c r="K9" s="64">
        <f>COUNTIFS(pbp_PlayType,"?*",pbp_Desc,"*struck out*",pbp_BatTeam,$E$5,pbp_Batter,$E$6)</f>
        <v>17</v>
      </c>
      <c r="L9" s="65">
        <f t="shared" ref="L9:L26" si="0">IF((D9)=0,"",(E9)/(D9))</f>
        <v>0.29761904761904762</v>
      </c>
      <c r="M9" s="65">
        <f t="shared" ref="M9:M26" si="1">IF(((D9+H9+I9+J9))=0,"",((E9+H9+I9))/((D9+H9+I9+J9)))</f>
        <v>0.37113402061855671</v>
      </c>
      <c r="N9" s="65">
        <f t="shared" ref="N9:N26" si="2">IF((D9)=0,"",(F9)/(D9))</f>
        <v>0.48809523809523808</v>
      </c>
      <c r="O9" s="65">
        <f t="shared" ref="O9:O26" si="3">IF(D9=0,"",M9+N9)</f>
        <v>0.85922925871379485</v>
      </c>
      <c r="P9" s="66">
        <f t="shared" ref="P9:P26" si="4">IF((C9)=0,"",(K9)/(C9))</f>
        <v>0.17171717171717171</v>
      </c>
      <c r="Q9" s="66">
        <f t="shared" ref="Q9:Q26" si="5">IF((C9)=0,"",(H9)/(C9))</f>
        <v>9.0909090909090912E-2</v>
      </c>
      <c r="R9" s="66">
        <f t="shared" ref="R9:R26" si="6">IF(($C$9)=0,"",(C9)/($C$9))</f>
        <v>1</v>
      </c>
    </row>
    <row r="10" spans="2:18" x14ac:dyDescent="0.2">
      <c r="B10" s="48" t="s">
        <v>354</v>
      </c>
      <c r="C10" s="67">
        <f>SUMPRODUCT(COUNTIFS(pbp_PlayType,EM_Type,pbp_BatTeam,$E$5,pbp_Batter,$E$6,pbp_PitHand,"L")*EM_PA)</f>
        <v>13</v>
      </c>
      <c r="D10" s="67">
        <f>SUMPRODUCT(COUNTIFS(pbp_PlayType,EM_Type,pbp_BatTeam,$E$5,pbp_Batter,$E$6,pbp_PitHand,"L")*EM_AB)</f>
        <v>11</v>
      </c>
      <c r="E10" s="67">
        <f>SUMPRODUCT(COUNTIFS(pbp_PlayType,EM_Type,pbp_BatTeam,$E$5,pbp_Batter,$E$6,pbp_PitHand,"L")*EM_H)</f>
        <v>3</v>
      </c>
      <c r="F10" s="67">
        <f>SUMPRODUCT(COUNTIFS(pbp_PlayType,EM_Type,pbp_BatTeam,$E$5,pbp_Batter,$E$6,pbp_PitHand,"L")*EM_1B)+2*(SUMPRODUCT(COUNTIFS(pbp_PlayType,EM_Type,pbp_BatTeam,$E$5,pbp_Batter,$E$6,pbp_PitHand,"L")*EM_2B))+3*(SUMPRODUCT(COUNTIFS(pbp_PlayType,EM_Type,pbp_BatTeam,$E$5,pbp_Batter,$E$6,pbp_PitHand,"L")*EM_3B))+4*(SUMPRODUCT(COUNTIFS(pbp_PlayType,EM_Type,pbp_BatTeam,$E$5,pbp_Batter,$E$6,pbp_PitHand,"L")*EM_HR))</f>
        <v>3</v>
      </c>
      <c r="G10" s="67">
        <f>SUMPRODUCT(COUNTIFS(pbp_PlayType,EM_Type,pbp_BatTeam,$E$5,pbp_Batter,$E$6,pbp_PitHand,"L")*EM_HR)</f>
        <v>0</v>
      </c>
      <c r="H10" s="67">
        <f>SUMPRODUCT(COUNTIFS(pbp_PlayType,EM_Type,pbp_BatTeam,$E$5,pbp_Batter,$E$6,pbp_PitHand,"L")*EM_BB)</f>
        <v>1</v>
      </c>
      <c r="I10" s="67">
        <f>SUMPRODUCT(COUNTIFS(pbp_PlayType,EM_Type,pbp_BatTeam,$E$5,pbp_Batter,$E$6,pbp_PitHand,"L")*EM_HBP)</f>
        <v>1</v>
      </c>
      <c r="J10" s="67">
        <f>SUMPRODUCT(COUNTIFS(pbp_PlayType,EM_Type,pbp_BatTeam,$E$5,pbp_Batter,$E$6,pbp_PitHand,"L")*EM_SF)</f>
        <v>0</v>
      </c>
      <c r="K10" s="67">
        <f>COUNTIFS(pbp_PlayType,"?*",pbp_Desc,"*struck out*",pbp_BatTeam,$E$5,pbp_Batter,$E$6,pbp_PitHand,"L")</f>
        <v>4</v>
      </c>
      <c r="L10" s="68">
        <f t="shared" si="0"/>
        <v>0.27272727272727271</v>
      </c>
      <c r="M10" s="68">
        <f t="shared" si="1"/>
        <v>0.38461538461538464</v>
      </c>
      <c r="N10" s="68">
        <f t="shared" si="2"/>
        <v>0.27272727272727271</v>
      </c>
      <c r="O10" s="68">
        <f t="shared" si="3"/>
        <v>0.65734265734265729</v>
      </c>
      <c r="P10" s="69">
        <f t="shared" si="4"/>
        <v>0.30769230769230771</v>
      </c>
      <c r="Q10" s="69">
        <f t="shared" si="5"/>
        <v>7.6923076923076927E-2</v>
      </c>
      <c r="R10" s="69">
        <f t="shared" si="6"/>
        <v>0.13131313131313133</v>
      </c>
    </row>
    <row r="11" spans="2:18" x14ac:dyDescent="0.2">
      <c r="B11" s="40" t="s">
        <v>355</v>
      </c>
      <c r="C11" s="42">
        <f>SUMPRODUCT(COUNTIFS(pbp_PlayType,EM_Type,pbp_BatTeam,$E$5,pbp_Batter,$E$6,pbp_PitHand,"R")*EM_PA)</f>
        <v>86</v>
      </c>
      <c r="D11" s="42">
        <f>SUMPRODUCT(COUNTIFS(pbp_PlayType,EM_Type,pbp_BatTeam,$E$5,pbp_Batter,$E$6,pbp_PitHand,"R")*EM_AB)</f>
        <v>73</v>
      </c>
      <c r="E11" s="42">
        <f>SUMPRODUCT(COUNTIFS(pbp_PlayType,EM_Type,pbp_BatTeam,$E$5,pbp_Batter,$E$6,pbp_PitHand,"R")*EM_H)</f>
        <v>22</v>
      </c>
      <c r="F11" s="42">
        <f>SUMPRODUCT(COUNTIFS(pbp_PlayType,EM_Type,pbp_BatTeam,$E$5,pbp_Batter,$E$6,pbp_PitHand,"R")*EM_1B)+2*(SUMPRODUCT(COUNTIFS(pbp_PlayType,EM_Type,pbp_BatTeam,$E$5,pbp_Batter,$E$6,pbp_PitHand,"R")*EM_2B))+3*(SUMPRODUCT(COUNTIFS(pbp_PlayType,EM_Type,pbp_BatTeam,$E$5,pbp_Batter,$E$6,pbp_PitHand,"R")*EM_3B))+4*(SUMPRODUCT(COUNTIFS(pbp_PlayType,EM_Type,pbp_BatTeam,$E$5,pbp_Batter,$E$6,pbp_PitHand,"R")*EM_HR))</f>
        <v>38</v>
      </c>
      <c r="G11" s="42">
        <f>SUMPRODUCT(COUNTIFS(pbp_PlayType,EM_Type,pbp_BatTeam,$E$5,pbp_Batter,$E$6,pbp_PitHand,"R")*EM_HR)</f>
        <v>4</v>
      </c>
      <c r="H11" s="42">
        <f>SUMPRODUCT(COUNTIFS(pbp_PlayType,EM_Type,pbp_BatTeam,$E$5,pbp_Batter,$E$6,pbp_PitHand,"R")*EM_BB)</f>
        <v>8</v>
      </c>
      <c r="I11" s="42">
        <f>SUMPRODUCT(COUNTIFS(pbp_PlayType,EM_Type,pbp_BatTeam,$E$5,pbp_Batter,$E$6,pbp_PitHand,"R")*EM_HBP)</f>
        <v>1</v>
      </c>
      <c r="J11" s="42">
        <f>SUMPRODUCT(COUNTIFS(pbp_PlayType,EM_Type,pbp_BatTeam,$E$5,pbp_Batter,$E$6,pbp_PitHand,"R")*EM_SF)</f>
        <v>2</v>
      </c>
      <c r="K11" s="42">
        <f>COUNTIFS(pbp_PlayType,"?*",pbp_Desc,"*struck out*",pbp_BatTeam,$E$5,pbp_Batter,$E$6,pbp_PitHand,"R")</f>
        <v>13</v>
      </c>
      <c r="L11" s="58">
        <f t="shared" si="0"/>
        <v>0.30136986301369861</v>
      </c>
      <c r="M11" s="58">
        <f t="shared" si="1"/>
        <v>0.36904761904761907</v>
      </c>
      <c r="N11" s="58">
        <f t="shared" si="2"/>
        <v>0.52054794520547942</v>
      </c>
      <c r="O11" s="58">
        <f t="shared" si="3"/>
        <v>0.88959556425309849</v>
      </c>
      <c r="P11" s="59">
        <f t="shared" si="4"/>
        <v>0.15116279069767441</v>
      </c>
      <c r="Q11" s="59">
        <f t="shared" si="5"/>
        <v>9.3023255813953487E-2</v>
      </c>
      <c r="R11" s="59">
        <f t="shared" si="6"/>
        <v>0.86868686868686873</v>
      </c>
    </row>
    <row r="12" spans="2:18" x14ac:dyDescent="0.2">
      <c r="B12" s="48" t="s">
        <v>356</v>
      </c>
      <c r="C12" s="67">
        <f>SUMPRODUCT(COUNTIFS(pbp_PlayType,EM_Type,pbp_BatTeam,$E$5,pbp_Batter,$E$6,pbp_On1B,"",pbp_On2B,"",pbp_On3B,"")*EM_PA)</f>
        <v>46</v>
      </c>
      <c r="D12" s="67">
        <f>SUMPRODUCT(COUNTIFS(pbp_PlayType,EM_Type,pbp_BatTeam,$E$5,pbp_Batter,$E$6,pbp_On1B,"",pbp_On2B,"",pbp_On3B,"")*EM_AB)</f>
        <v>41</v>
      </c>
      <c r="E12" s="67">
        <f>SUMPRODUCT(COUNTIFS(pbp_PlayType,EM_Type,pbp_BatTeam,$E$5,pbp_Batter,$E$6,pbp_On1B,"",pbp_On2B,"",pbp_On3B,"")*EM_H)</f>
        <v>15</v>
      </c>
      <c r="F12" s="67">
        <f>SUMPRODUCT(COUNTIFS(pbp_PlayType,EM_Type,pbp_BatTeam,$E$5,pbp_Batter,$E$6,pbp_On1B,"",pbp_On2B,"",pbp_On3B,"")*EM_1B)+2*(SUMPRODUCT(COUNTIFS(pbp_PlayType,EM_Type,pbp_BatTeam,$E$5,pbp_Batter,$E$6,pbp_On1B,"",pbp_On2B,"",pbp_On3B,"")*EM_2B))+3*(SUMPRODUCT(COUNTIFS(pbp_PlayType,EM_Type,pbp_BatTeam,$E$5,pbp_Batter,$E$6,pbp_On1B,"",pbp_On2B,"",pbp_On3B,"")*EM_3B))+4*(SUMPRODUCT(COUNTIFS(pbp_PlayType,EM_Type,pbp_BatTeam,$E$5,pbp_Batter,$E$6,pbp_On1B,"",pbp_On2B,"",pbp_On3B,"")*EM_HR))</f>
        <v>27</v>
      </c>
      <c r="G12" s="67">
        <f>SUMPRODUCT(COUNTIFS(pbp_PlayType,EM_Type,pbp_BatTeam,$E$5,pbp_Batter,$E$6,pbp_On1B,"",pbp_On2B,"",pbp_On3B,"")*EM_HR)</f>
        <v>3</v>
      </c>
      <c r="H12" s="67">
        <f>SUMPRODUCT(COUNTIFS(pbp_PlayType,EM_Type,pbp_BatTeam,$E$5,pbp_Batter,$E$6,pbp_On1B,"",pbp_On2B,"",pbp_On3B,"")*EM_BB)</f>
        <v>4</v>
      </c>
      <c r="I12" s="67">
        <f>SUMPRODUCT(COUNTIFS(pbp_PlayType,EM_Type,pbp_BatTeam,$E$5,pbp_Batter,$E$6,pbp_On1B,"",pbp_On2B,"",pbp_On3B,"")*EM_HBP)</f>
        <v>1</v>
      </c>
      <c r="J12" s="67">
        <f>SUMPRODUCT(COUNTIFS(pbp_PlayType,EM_Type,pbp_BatTeam,$E$5,pbp_Batter,$E$6,pbp_On1B,"",pbp_On2B,"",pbp_On3B,"")*EM_SF)</f>
        <v>0</v>
      </c>
      <c r="K12" s="67">
        <f>COUNTIFS(pbp_PlayType,"?*",pbp_Desc,"*struck out*",pbp_BatTeam,$E$5,pbp_Batter,$E$6,pbp_On1B,"",pbp_On2B,"",pbp_On3B,"")</f>
        <v>8</v>
      </c>
      <c r="L12" s="68">
        <f t="shared" si="0"/>
        <v>0.36585365853658536</v>
      </c>
      <c r="M12" s="68">
        <f t="shared" si="1"/>
        <v>0.43478260869565216</v>
      </c>
      <c r="N12" s="68">
        <f t="shared" si="2"/>
        <v>0.65853658536585369</v>
      </c>
      <c r="O12" s="68">
        <f t="shared" si="3"/>
        <v>1.0933191940615059</v>
      </c>
      <c r="P12" s="69">
        <f t="shared" si="4"/>
        <v>0.17391304347826086</v>
      </c>
      <c r="Q12" s="69">
        <f t="shared" si="5"/>
        <v>8.6956521739130432E-2</v>
      </c>
      <c r="R12" s="69">
        <f t="shared" si="6"/>
        <v>0.46464646464646464</v>
      </c>
    </row>
    <row r="13" spans="2:18" x14ac:dyDescent="0.2">
      <c r="B13" s="40" t="s">
        <v>357</v>
      </c>
      <c r="C13" s="42">
        <f>SUMPRODUCT(COUNTIFS(pbp_PlayType,EM_Type,pbp_BatTeam,$E$5,pbp_Batter,$E$6,pbp_On1B,"?*")*EM_PA)+SUMPRODUCT(COUNTIFS(pbp_PlayType,EM_Type,pbp_BatTeam,$E$5,pbp_Batter,$E$6,pbp_On1B,"",pbp_On2B,"?*")*EM_PA)+SUMPRODUCT(COUNTIFS(pbp_PlayType,EM_Type,pbp_BatTeam,$E$5,pbp_Batter,$E$6,pbp_On1B,"",pbp_On2B,"",pbp_On3B,"?*")*EM_PA)</f>
        <v>53</v>
      </c>
      <c r="D13" s="42">
        <f>SUMPRODUCT(COUNTIFS(pbp_PlayType,EM_Type,pbp_BatTeam,$E$5,pbp_Batter,$E$6,pbp_On1B,"?*")*EM_AB)+SUMPRODUCT(COUNTIFS(pbp_PlayType,EM_Type,pbp_BatTeam,$E$5,pbp_Batter,$E$6,pbp_On1B,"",pbp_On2B,"?*")*EM_AB)+SUMPRODUCT(COUNTIFS(pbp_PlayType,EM_Type,pbp_BatTeam,$E$5,pbp_Batter,$E$6,pbp_On1B,"",pbp_On2B,"",pbp_On3B,"?*")*EM_AB)</f>
        <v>43</v>
      </c>
      <c r="E13" s="42">
        <f>SUMPRODUCT(COUNTIFS(pbp_PlayType,EM_Type,pbp_BatTeam,$E$5,pbp_Batter,$E$6,pbp_On1B,"?*")*EM_H)+SUMPRODUCT(COUNTIFS(pbp_PlayType,EM_Type,pbp_BatTeam,$E$5,pbp_Batter,$E$6,pbp_On1B,"",pbp_On2B,"?*")*EM_H)+SUMPRODUCT(COUNTIFS(pbp_PlayType,EM_Type,pbp_BatTeam,$E$5,pbp_Batter,$E$6,pbp_On1B,"",pbp_On2B,"",pbp_On3B,"?*")*EM_H)</f>
        <v>10</v>
      </c>
      <c r="F13" s="42">
        <f>SUMPRODUCT(COUNTIFS(pbp_PlayType,EM_Type,pbp_BatTeam,$E$5,pbp_Batter,$E$6,pbp_On1B,"?*")*EM_1B)+SUMPRODUCT(COUNTIFS(pbp_PlayType,EM_Type,pbp_BatTeam,$E$5,pbp_Batter,$E$6,pbp_On1B,"",pbp_On2B,"?*")*EM_1B)+SUMPRODUCT(COUNTIFS(pbp_PlayType,EM_Type,pbp_BatTeam,$E$5,pbp_Batter,$E$6,pbp_On1B,"",pbp_On2B,"",pbp_On3B,"?*")*EM_1B)+2*(SUMPRODUCT(COUNTIFS(pbp_PlayType,EM_Type,pbp_BatTeam,$E$5,pbp_Batter,$E$6,pbp_On1B,"?*")*EM_2B)+SUMPRODUCT(COUNTIFS(pbp_PlayType,EM_Type,pbp_BatTeam,$E$5,pbp_Batter,$E$6,pbp_On1B,"",pbp_On2B,"?*")*EM_2B)+SUMPRODUCT(COUNTIFS(pbp_PlayType,EM_Type,pbp_BatTeam,$E$5,pbp_Batter,$E$6,pbp_On1B,"",pbp_On2B,"",pbp_On3B,"?*")*EM_2B))+3*(SUMPRODUCT(COUNTIFS(pbp_PlayType,EM_Type,pbp_BatTeam,$E$5,pbp_Batter,$E$6,pbp_On1B,"?*")*EM_3B)+SUMPRODUCT(COUNTIFS(pbp_PlayType,EM_Type,pbp_BatTeam,$E$5,pbp_Batter,$E$6,pbp_On1B,"",pbp_On2B,"?*")*EM_3B)+SUMPRODUCT(COUNTIFS(pbp_PlayType,EM_Type,pbp_BatTeam,$E$5,pbp_Batter,$E$6,pbp_On1B,"",pbp_On2B,"",pbp_On3B,"?*")*EM_3B))+4*(SUMPRODUCT(COUNTIFS(pbp_PlayType,EM_Type,pbp_BatTeam,$E$5,pbp_Batter,$E$6,pbp_On1B,"?*")*EM_HR)+SUMPRODUCT(COUNTIFS(pbp_PlayType,EM_Type,pbp_BatTeam,$E$5,pbp_Batter,$E$6,pbp_On1B,"",pbp_On2B,"?*")*EM_HR)+SUMPRODUCT(COUNTIFS(pbp_PlayType,EM_Type,pbp_BatTeam,$E$5,pbp_Batter,$E$6,pbp_On1B,"",pbp_On2B,"",pbp_On3B,"?*")*EM_HR))</f>
        <v>14</v>
      </c>
      <c r="G13" s="42">
        <f>SUMPRODUCT(COUNTIFS(pbp_PlayType,EM_Type,pbp_BatTeam,$E$5,pbp_Batter,$E$6,pbp_On1B,"?*")*EM_HR)+SUMPRODUCT(COUNTIFS(pbp_PlayType,EM_Type,pbp_BatTeam,$E$5,pbp_Batter,$E$6,pbp_On1B,"",pbp_On2B,"?*")*EM_HR)+SUMPRODUCT(COUNTIFS(pbp_PlayType,EM_Type,pbp_BatTeam,$E$5,pbp_Batter,$E$6,pbp_On1B,"",pbp_On2B,"",pbp_On3B,"?*")*EM_HR)</f>
        <v>1</v>
      </c>
      <c r="H13" s="42">
        <f>SUMPRODUCT(COUNTIFS(pbp_PlayType,EM_Type,pbp_BatTeam,$E$5,pbp_Batter,$E$6,pbp_On1B,"?*")*EM_BB)+SUMPRODUCT(COUNTIFS(pbp_PlayType,EM_Type,pbp_BatTeam,$E$5,pbp_Batter,$E$6,pbp_On1B,"",pbp_On2B,"?*")*EM_BB)+SUMPRODUCT(COUNTIFS(pbp_PlayType,EM_Type,pbp_BatTeam,$E$5,pbp_Batter,$E$6,pbp_On1B,"",pbp_On2B,"",pbp_On3B,"?*")*EM_BB)</f>
        <v>5</v>
      </c>
      <c r="I13" s="42">
        <f>SUMPRODUCT(COUNTIFS(pbp_PlayType,EM_Type,pbp_BatTeam,$E$5,pbp_Batter,$E$6,pbp_On1B,"?*")*EM_HBP)+SUMPRODUCT(COUNTIFS(pbp_PlayType,EM_Type,pbp_BatTeam,$E$5,pbp_Batter,$E$6,pbp_On1B,"",pbp_On2B,"?*")*EM_HBP)+SUMPRODUCT(COUNTIFS(pbp_PlayType,EM_Type,pbp_BatTeam,$E$5,pbp_Batter,$E$6,pbp_On1B,"",pbp_On2B,"",pbp_On3B,"?*")*EM_HBP)</f>
        <v>1</v>
      </c>
      <c r="J13" s="42">
        <f>SUMPRODUCT(COUNTIFS(pbp_PlayType,EM_Type,pbp_BatTeam,$E$5,pbp_Batter,$E$6,pbp_On1B,"?*")*EM_SF)+SUMPRODUCT(COUNTIFS(pbp_PlayType,EM_Type,pbp_BatTeam,$E$5,pbp_Batter,$E$6,pbp_On1B,"",pbp_On2B,"?*")*EM_SF)+SUMPRODUCT(COUNTIFS(pbp_PlayType,EM_Type,pbp_BatTeam,$E$5,pbp_Batter,$E$6,pbp_On1B,"",pbp_On2B,"",pbp_On3B,"?*")*EM_SF)</f>
        <v>2</v>
      </c>
      <c r="K13" s="42">
        <f>COUNTIFS(pbp_PlayType,"?*",pbp_Desc,"*struck out*",pbp_BatTeam,$E$5,pbp_Batter,$E$6,pbp_On1B,"?*")+COUNTIFS(pbp_PlayType,"?*",pbp_Desc,"*struck out*",pbp_BatTeam,$E$5,pbp_Batter,$E$6,pbp_On1B,"",pbp_On2B,"?*")+COUNTIFS(pbp_PlayType,"?*",pbp_Desc,"*struck out*",pbp_BatTeam,$E$5,pbp_Batter,$E$6,pbp_On1B,"",pbp_On2B,"",pbp_On3B,"?*")</f>
        <v>9</v>
      </c>
      <c r="L13" s="58">
        <f t="shared" si="0"/>
        <v>0.23255813953488372</v>
      </c>
      <c r="M13" s="58">
        <f t="shared" si="1"/>
        <v>0.31372549019607843</v>
      </c>
      <c r="N13" s="58">
        <f t="shared" si="2"/>
        <v>0.32558139534883723</v>
      </c>
      <c r="O13" s="58">
        <f t="shared" si="3"/>
        <v>0.63930688554491566</v>
      </c>
      <c r="P13" s="59">
        <f t="shared" si="4"/>
        <v>0.16981132075471697</v>
      </c>
      <c r="Q13" s="59">
        <f t="shared" si="5"/>
        <v>9.4339622641509441E-2</v>
      </c>
      <c r="R13" s="59">
        <f t="shared" si="6"/>
        <v>0.53535353535353536</v>
      </c>
    </row>
    <row r="14" spans="2:18" x14ac:dyDescent="0.2">
      <c r="B14" s="48" t="s">
        <v>358</v>
      </c>
      <c r="C14" s="67">
        <f>SUMPRODUCT(COUNTIFS(pbp_PlayType,EM_Type,pbp_BatTeam,$E$5,pbp_Batter,$E$6,pbp_On2B,"?*")*EM_PA)+SUMPRODUCT(COUNTIFS(pbp_PlayType,EM_Type,pbp_BatTeam,$E$5,pbp_Batter,$E$6,pbp_On2B,"",pbp_On3B,"?*")*EM_PA)</f>
        <v>36</v>
      </c>
      <c r="D14" s="67">
        <f>SUMPRODUCT(COUNTIFS(pbp_PlayType,EM_Type,pbp_BatTeam,$E$5,pbp_Batter,$E$6,pbp_On2B,"?*")*EM_AB)+SUMPRODUCT(COUNTIFS(pbp_PlayType,EM_Type,pbp_BatTeam,$E$5,pbp_Batter,$E$6,pbp_On2B,"",pbp_On3B,"?*")*EM_AB)</f>
        <v>28</v>
      </c>
      <c r="E14" s="67">
        <f>SUMPRODUCT(COUNTIFS(pbp_PlayType,EM_Type,pbp_BatTeam,$E$5,pbp_Batter,$E$6,pbp_On2B,"?*")*EM_H)+SUMPRODUCT(COUNTIFS(pbp_PlayType,EM_Type,pbp_BatTeam,$E$5,pbp_Batter,$E$6,pbp_On2B,"",pbp_On3B,"?*")*EM_H)</f>
        <v>4</v>
      </c>
      <c r="F14" s="67">
        <f>SUMPRODUCT(COUNTIFS(pbp_PlayType,EM_Type,pbp_BatTeam,$E$5,pbp_Batter,$E$6,pbp_On2B,"?*")*EM_1B)+SUMPRODUCT(COUNTIFS(pbp_PlayType,EM_Type,pbp_BatTeam,$E$5,pbp_Batter,$E$6,pbp_On2B,"",pbp_On3B,"?*")*EM_1B)+2*(SUMPRODUCT(COUNTIFS(pbp_PlayType,EM_Type,pbp_BatTeam,$E$5,pbp_Batter,$E$6,pbp_On2B,"?*")*EM_2B)+SUMPRODUCT(COUNTIFS(pbp_PlayType,EM_Type,pbp_BatTeam,$E$5,pbp_Batter,$E$6,pbp_On2B,"",pbp_On3B,"?*")*EM_2B))+3*(SUMPRODUCT(COUNTIFS(pbp_PlayType,EM_Type,pbp_BatTeam,$E$5,pbp_Batter,$E$6,pbp_On2B,"?*")*EM_3B)+SUMPRODUCT(COUNTIFS(pbp_PlayType,EM_Type,pbp_BatTeam,$E$5,pbp_Batter,$E$6,pbp_On2B,"",pbp_On3B,"?*")*EM_3B))+4*(SUMPRODUCT(COUNTIFS(pbp_PlayType,EM_Type,pbp_BatTeam,$E$5,pbp_Batter,$E$6,pbp_On2B,"?*")*EM_HR)+SUMPRODUCT(COUNTIFS(pbp_PlayType,EM_Type,pbp_BatTeam,$E$5,pbp_Batter,$E$6,pbp_On2B,"",pbp_On3B,"?*")*EM_HR))</f>
        <v>8</v>
      </c>
      <c r="G14" s="67">
        <f>SUMPRODUCT(COUNTIFS(pbp_PlayType,EM_Type,pbp_BatTeam,$E$5,pbp_Batter,$E$6,pbp_On2B,"?*")*EM_HR)+SUMPRODUCT(COUNTIFS(pbp_PlayType,EM_Type,pbp_BatTeam,$E$5,pbp_Batter,$E$6,pbp_On2B,"",pbp_On3B,"?*")*EM_HR)</f>
        <v>1</v>
      </c>
      <c r="H14" s="67">
        <f>SUMPRODUCT(COUNTIFS(pbp_PlayType,EM_Type,pbp_BatTeam,$E$5,pbp_Batter,$E$6,pbp_On2B,"?*")*EM_BB)+SUMPRODUCT(COUNTIFS(pbp_PlayType,EM_Type,pbp_BatTeam,$E$5,pbp_Batter,$E$6,pbp_On2B,"",pbp_On3B,"?*")*EM_BB)</f>
        <v>4</v>
      </c>
      <c r="I14" s="67">
        <f>SUMPRODUCT(COUNTIFS(pbp_PlayType,EM_Type,pbp_BatTeam,$E$5,pbp_Batter,$E$6,pbp_On2B,"?*")*EM_HBP)+SUMPRODUCT(COUNTIFS(pbp_PlayType,EM_Type,pbp_BatTeam,$E$5,pbp_Batter,$E$6,pbp_On2B,"",pbp_On3B,"?*")*EM_HBP)</f>
        <v>1</v>
      </c>
      <c r="J14" s="67">
        <f>SUMPRODUCT(COUNTIFS(pbp_PlayType,EM_Type,pbp_BatTeam,$E$5,pbp_Batter,$E$6,pbp_On2B,"?*")*EM_SF)+SUMPRODUCT(COUNTIFS(pbp_PlayType,EM_Type,pbp_BatTeam,$E$5,pbp_Batter,$E$6,pbp_On2B,"",pbp_On3B,"?*")*EM_SF)</f>
        <v>2</v>
      </c>
      <c r="K14" s="67">
        <f>COUNTIFS(pbp_PlayType,"?*",pbp_Desc,"*struck out*",pbp_BatTeam,$E$5,pbp_Batter,$E$6,pbp_On2B,"?*")+COUNTIFS(pbp_PlayType,"?*",pbp_Desc,"*struck out*",pbp_BatTeam,$E$5,pbp_Batter,$E$6,pbp_On2B,"",pbp_On3B,"?*")</f>
        <v>5</v>
      </c>
      <c r="L14" s="68">
        <f t="shared" si="0"/>
        <v>0.14285714285714285</v>
      </c>
      <c r="M14" s="68">
        <f t="shared" si="1"/>
        <v>0.25714285714285712</v>
      </c>
      <c r="N14" s="68">
        <f t="shared" si="2"/>
        <v>0.2857142857142857</v>
      </c>
      <c r="O14" s="68">
        <f t="shared" si="3"/>
        <v>0.54285714285714282</v>
      </c>
      <c r="P14" s="69">
        <f t="shared" si="4"/>
        <v>0.1388888888888889</v>
      </c>
      <c r="Q14" s="69">
        <f t="shared" si="5"/>
        <v>0.1111111111111111</v>
      </c>
      <c r="R14" s="69">
        <f t="shared" si="6"/>
        <v>0.36363636363636365</v>
      </c>
    </row>
    <row r="15" spans="2:18" x14ac:dyDescent="0.2">
      <c r="B15" s="40" t="s">
        <v>359</v>
      </c>
      <c r="C15" s="42">
        <f>SUMPRODUCT(COUNTIFS(pbp_PlayType,EM_Type,pbp_BatTeam,$E$5,pbp_Batter,$E$6,pbp_On1B,"?*",pbp_On2B,"?*",pbp_On3B,"?*")*EM_PA)</f>
        <v>6</v>
      </c>
      <c r="D15" s="42">
        <f>SUMPRODUCT(COUNTIFS(pbp_PlayType,EM_Type,pbp_BatTeam,$E$5,pbp_Batter,$E$6,pbp_On1B,"?*",pbp_On2B,"?*",pbp_On3B,"?*")*EM_AB)</f>
        <v>5</v>
      </c>
      <c r="E15" s="42">
        <f>SUMPRODUCT(COUNTIFS(pbp_PlayType,EM_Type,pbp_BatTeam,$E$5,pbp_Batter,$E$6,pbp_On1B,"?*",pbp_On2B,"?*",pbp_On3B,"?*")*EM_H)</f>
        <v>0</v>
      </c>
      <c r="F15" s="42">
        <f>SUMPRODUCT(COUNTIFS(pbp_PlayType,EM_Type,pbp_BatTeam,$E$5,pbp_Batter,$E$6,pbp_On1B,"?*",pbp_On2B,"?*",pbp_On3B,"?*")*EM_1B)+2*(SUMPRODUCT(COUNTIFS(pbp_PlayType,EM_Type,pbp_BatTeam,$E$5,pbp_Batter,$E$6,pbp_On1B,"?*",pbp_On2B,"?*",pbp_On3B,"?*")*EM_2B))+3*(SUMPRODUCT(COUNTIFS(pbp_PlayType,EM_Type,pbp_BatTeam,$E$5,pbp_Batter,$E$6,pbp_On1B,"?*",pbp_On2B,"?*",pbp_On3B,"?*")*EM_3B))+4*(SUMPRODUCT(COUNTIFS(pbp_PlayType,EM_Type,pbp_BatTeam,$E$5,pbp_Batter,$E$6,pbp_On1B,"?*",pbp_On2B,"?*",pbp_On3B,"?*")*EM_HR))</f>
        <v>0</v>
      </c>
      <c r="G15" s="42">
        <f>SUMPRODUCT(COUNTIFS(pbp_PlayType,EM_Type,pbp_BatTeam,$E$5,pbp_Batter,$E$6,pbp_On1B,"?*",pbp_On2B,"?*",pbp_On3B,"?*")*EM_HR)</f>
        <v>0</v>
      </c>
      <c r="H15" s="42">
        <f>SUMPRODUCT(COUNTIFS(pbp_PlayType,EM_Type,pbp_BatTeam,$E$5,pbp_Batter,$E$6,pbp_On1B,"?*",pbp_On2B,"?*",pbp_On3B,"?*")*EM_BB)</f>
        <v>0</v>
      </c>
      <c r="I15" s="42">
        <f>SUMPRODUCT(COUNTIFS(pbp_PlayType,EM_Type,pbp_BatTeam,$E$5,pbp_Batter,$E$6,pbp_On1B,"?*",pbp_On2B,"?*",pbp_On3B,"?*")*EM_HBP)</f>
        <v>0</v>
      </c>
      <c r="J15" s="42">
        <f>SUMPRODUCT(COUNTIFS(pbp_PlayType,EM_Type,pbp_BatTeam,$E$5,pbp_Batter,$E$6,pbp_On1B,"?*",pbp_On2B,"?*",pbp_On3B,"?*")*EM_SF)</f>
        <v>1</v>
      </c>
      <c r="K15" s="42">
        <f>COUNTIFS(pbp_PlayType,"?*",pbp_Desc,"*struck out*",pbp_BatTeam,$E$5,pbp_Batter,$E$6,pbp_On1B,"?*",pbp_On2B,"?*",pbp_On3B,"?*")</f>
        <v>1</v>
      </c>
      <c r="L15" s="58">
        <f t="shared" si="0"/>
        <v>0</v>
      </c>
      <c r="M15" s="58">
        <f t="shared" si="1"/>
        <v>0</v>
      </c>
      <c r="N15" s="58">
        <f t="shared" si="2"/>
        <v>0</v>
      </c>
      <c r="O15" s="58">
        <f t="shared" si="3"/>
        <v>0</v>
      </c>
      <c r="P15" s="59">
        <f t="shared" si="4"/>
        <v>0.16666666666666666</v>
      </c>
      <c r="Q15" s="59">
        <f t="shared" si="5"/>
        <v>0</v>
      </c>
      <c r="R15" s="59">
        <f t="shared" si="6"/>
        <v>6.0606060606060608E-2</v>
      </c>
    </row>
    <row r="16" spans="2:18" x14ac:dyDescent="0.2">
      <c r="B16" s="48" t="s">
        <v>360</v>
      </c>
      <c r="C16" s="67">
        <f>SUMPRODUCT(COUNTIFS(pbp_PlayType,EM_Type,pbp_BatTeam,$E$5,pbp_Batter,$E$6,pbp_Seq,"IN*")*EM_PA)</f>
        <v>11</v>
      </c>
      <c r="D16" s="67">
        <f>SUMPRODUCT(COUNTIFS(pbp_PlayType,EM_Type,pbp_BatTeam,$E$5,pbp_Batter,$E$6,pbp_Seq,"IN*")*EM_AB)</f>
        <v>9</v>
      </c>
      <c r="E16" s="67">
        <f>SUMPRODUCT(COUNTIFS(pbp_PlayType,EM_Type,pbp_BatTeam,$E$5,pbp_Batter,$E$6,pbp_Seq,"IN*")*EM_H)</f>
        <v>3</v>
      </c>
      <c r="F16" s="67">
        <f>SUMPRODUCT(COUNTIFS(pbp_PlayType,EM_Type,pbp_BatTeam,$E$5,pbp_Batter,$E$6,pbp_Seq,"IN*")*EM_1B)+2*(SUMPRODUCT(COUNTIFS(pbp_PlayType,EM_Type,pbp_BatTeam,$E$5,pbp_Batter,$E$6,pbp_Seq,"IN*")*EM_2B))+3*(SUMPRODUCT(COUNTIFS(pbp_PlayType,EM_Type,pbp_BatTeam,$E$5,pbp_Batter,$E$6,pbp_Seq,"IN*")*EM_3B))+4*(SUMPRODUCT(COUNTIFS(pbp_PlayType,EM_Type,pbp_BatTeam,$E$5,pbp_Batter,$E$6,pbp_Seq,"IN*")*EM_HR))</f>
        <v>7</v>
      </c>
      <c r="G16" s="67">
        <f>SUMPRODUCT(COUNTIFS(pbp_PlayType,EM_Type,pbp_BatTeam,$E$5,pbp_Batter,$E$6,pbp_Seq,"IN*")*EM_HR)</f>
        <v>1</v>
      </c>
      <c r="H16" s="67">
        <f>SUMPRODUCT(COUNTIFS(pbp_PlayType,EM_Type,pbp_BatTeam,$E$5,pbp_Batter,$E$6,pbp_Seq,"IN*")*EM_BB)</f>
        <v>0</v>
      </c>
      <c r="I16" s="67">
        <f>SUMPRODUCT(COUNTIFS(pbp_PlayType,EM_Type,pbp_BatTeam,$E$5,pbp_Batter,$E$6,pbp_Seq,"IN*")*EM_HBP)</f>
        <v>0</v>
      </c>
      <c r="J16" s="67">
        <f>SUMPRODUCT(COUNTIFS(pbp_PlayType,EM_Type,pbp_BatTeam,$E$5,pbp_Batter,$E$6,pbp_Seq,"IN*")*EM_SF)</f>
        <v>0</v>
      </c>
      <c r="K16" s="67">
        <f>COUNTIFS(pbp_PlayType,"?*",pbp_Desc,"*struck out*",pbp_BatTeam,$E$5,pbp_Batter,$E$6,pbp_Seq,"IN*")</f>
        <v>0</v>
      </c>
      <c r="L16" s="68">
        <f t="shared" si="0"/>
        <v>0.33333333333333331</v>
      </c>
      <c r="M16" s="68">
        <f t="shared" si="1"/>
        <v>0.33333333333333331</v>
      </c>
      <c r="N16" s="68">
        <f t="shared" si="2"/>
        <v>0.77777777777777779</v>
      </c>
      <c r="O16" s="68">
        <f t="shared" si="3"/>
        <v>1.1111111111111112</v>
      </c>
      <c r="P16" s="69">
        <f t="shared" si="4"/>
        <v>0</v>
      </c>
      <c r="Q16" s="69">
        <f t="shared" si="5"/>
        <v>0</v>
      </c>
      <c r="R16" s="69">
        <f t="shared" si="6"/>
        <v>0.1111111111111111</v>
      </c>
    </row>
    <row r="17" spans="2:18" x14ac:dyDescent="0.2">
      <c r="B17" s="40" t="s">
        <v>361</v>
      </c>
      <c r="C17" s="42">
        <f>SUMPRODUCT(COUNTIFS(pbp_PlayType,EM_Type,pbp_BatTeam,$E$5,pbp_Batter,$E$6,pbp_Strike2,"?*")*EM_PA)</f>
        <v>42</v>
      </c>
      <c r="D17" s="42">
        <f>SUMPRODUCT(COUNTIFS(pbp_PlayType,EM_Type,pbp_BatTeam,$E$5,pbp_Batter,$E$6,pbp_Strike2,"?*")*EM_AB)</f>
        <v>37</v>
      </c>
      <c r="E17" s="42">
        <f>SUMPRODUCT(COUNTIFS(pbp_PlayType,EM_Type,pbp_BatTeam,$E$5,pbp_Batter,$E$6,pbp_Strike2,"?*")*EM_H)</f>
        <v>11</v>
      </c>
      <c r="F17" s="42">
        <f>SUMPRODUCT(COUNTIFS(pbp_PlayType,EM_Type,pbp_BatTeam,$E$5,pbp_Batter,$E$6,pbp_Strike2,"?*")*EM_1B)+2*(SUMPRODUCT(COUNTIFS(pbp_PlayType,EM_Type,pbp_BatTeam,$E$5,pbp_Batter,$E$6,pbp_Strike2,"?*")*EM_2B))+3*(SUMPRODUCT(COUNTIFS(pbp_PlayType,EM_Type,pbp_BatTeam,$E$5,pbp_Batter,$E$6,pbp_Strike2,"?*")*EM_3B))+4*(SUMPRODUCT(COUNTIFS(pbp_PlayType,EM_Type,pbp_BatTeam,$E$5,pbp_Batter,$E$6,pbp_Strike2,"?*")*EM_HR))</f>
        <v>17</v>
      </c>
      <c r="G17" s="42">
        <f>SUMPRODUCT(COUNTIFS(pbp_PlayType,EM_Type,pbp_BatTeam,$E$5,pbp_Batter,$E$6,pbp_Strike2,"?*")*EM_HR)</f>
        <v>1</v>
      </c>
      <c r="H17" s="42">
        <f>SUMPRODUCT(COUNTIFS(pbp_PlayType,EM_Type,pbp_BatTeam,$E$5,pbp_Batter,$E$6,pbp_Strike2,"?*")*EM_BB)</f>
        <v>4</v>
      </c>
      <c r="I17" s="42">
        <f>SUMPRODUCT(COUNTIFS(pbp_PlayType,EM_Type,pbp_BatTeam,$E$5,pbp_Batter,$E$6,pbp_Strike2,"?*")*EM_HBP)</f>
        <v>1</v>
      </c>
      <c r="J17" s="42">
        <f>SUMPRODUCT(COUNTIFS(pbp_PlayType,EM_Type,pbp_BatTeam,$E$5,pbp_Batter,$E$6,pbp_Strike2,"?*")*EM_SF)</f>
        <v>0</v>
      </c>
      <c r="K17" s="42">
        <f>COUNTIFS(pbp_PlayType,"?*",pbp_Desc,"*struck out*",pbp_BatTeam,$E$5,pbp_Batter,$E$6,pbp_Strike2,"?*")</f>
        <v>17</v>
      </c>
      <c r="L17" s="58">
        <f t="shared" si="0"/>
        <v>0.29729729729729731</v>
      </c>
      <c r="M17" s="58">
        <f t="shared" si="1"/>
        <v>0.38095238095238093</v>
      </c>
      <c r="N17" s="58">
        <f t="shared" si="2"/>
        <v>0.45945945945945948</v>
      </c>
      <c r="O17" s="58">
        <f t="shared" si="3"/>
        <v>0.84041184041184036</v>
      </c>
      <c r="P17" s="59">
        <f t="shared" si="4"/>
        <v>0.40476190476190477</v>
      </c>
      <c r="Q17" s="59">
        <f t="shared" si="5"/>
        <v>9.5238095238095233E-2</v>
      </c>
      <c r="R17" s="59">
        <f t="shared" si="6"/>
        <v>0.42424242424242425</v>
      </c>
    </row>
    <row r="18" spans="2:18" x14ac:dyDescent="0.2">
      <c r="B18" s="48" t="s">
        <v>362</v>
      </c>
      <c r="C18" s="67">
        <f>SUMPRODUCT(COUNTIFS(pbp_PlayType,EM_Type,pbp_BatTeam,$E$5,pbp_Batter,$E$6,pbp_Ball3,"?*",pbp_Strike2,"?*")*EM_PA)</f>
        <v>13</v>
      </c>
      <c r="D18" s="67">
        <f>SUMPRODUCT(COUNTIFS(pbp_PlayType,EM_Type,pbp_BatTeam,$E$5,pbp_Batter,$E$6,pbp_Ball3,"?*",pbp_Strike2,"?*")*EM_AB)</f>
        <v>9</v>
      </c>
      <c r="E18" s="67">
        <f>SUMPRODUCT(COUNTIFS(pbp_PlayType,EM_Type,pbp_BatTeam,$E$5,pbp_Batter,$E$6,pbp_Ball3,"?*",pbp_Strike2,"?*")*EM_H)</f>
        <v>4</v>
      </c>
      <c r="F18" s="67">
        <f>SUMPRODUCT(COUNTIFS(pbp_PlayType,EM_Type,pbp_BatTeam,$E$5,pbp_Batter,$E$6,pbp_Ball3,"?*",pbp_Strike2,"?*")*EM_1B)+2*(SUMPRODUCT(COUNTIFS(pbp_PlayType,EM_Type,pbp_BatTeam,$E$5,pbp_Batter,$E$6,pbp_Ball3,"?*",pbp_Strike2,"?*")*EM_2B))+3*(SUMPRODUCT(COUNTIFS(pbp_PlayType,EM_Type,pbp_BatTeam,$E$5,pbp_Batter,$E$6,pbp_Ball3,"?*",pbp_Strike2,"?*")*EM_3B))+4*(SUMPRODUCT(COUNTIFS(pbp_PlayType,EM_Type,pbp_BatTeam,$E$5,pbp_Batter,$E$6,pbp_Ball3,"?*",pbp_Strike2,"?*")*EM_HR))</f>
        <v>9</v>
      </c>
      <c r="G18" s="67">
        <f>SUMPRODUCT(COUNTIFS(pbp_PlayType,EM_Type,pbp_BatTeam,$E$5,pbp_Batter,$E$6,pbp_Ball3,"?*",pbp_Strike2,"?*")*EM_HR)</f>
        <v>1</v>
      </c>
      <c r="H18" s="67">
        <f>SUMPRODUCT(COUNTIFS(pbp_PlayType,EM_Type,pbp_BatTeam,$E$5,pbp_Batter,$E$6,pbp_Ball3,"?*",pbp_Strike2,"?*")*EM_BB)</f>
        <v>4</v>
      </c>
      <c r="I18" s="67">
        <f>SUMPRODUCT(COUNTIFS(pbp_PlayType,EM_Type,pbp_BatTeam,$E$5,pbp_Batter,$E$6,pbp_Ball3,"?*",pbp_Strike2,"?*")*EM_HBP)</f>
        <v>0</v>
      </c>
      <c r="J18" s="67">
        <f>SUMPRODUCT(COUNTIFS(pbp_PlayType,EM_Type,pbp_BatTeam,$E$5,pbp_Batter,$E$6,pbp_Ball3,"?*",pbp_Strike2,"?*")*EM_SF)</f>
        <v>0</v>
      </c>
      <c r="K18" s="67">
        <f>COUNTIFS(pbp_PlayType,"?*",pbp_Desc,"*struck out*",pbp_BatTeam,$E$5,pbp_Batter,$E$6,pbp_Ball3,"?*",pbp_Strike2,"?*")</f>
        <v>3</v>
      </c>
      <c r="L18" s="68">
        <f t="shared" si="0"/>
        <v>0.44444444444444442</v>
      </c>
      <c r="M18" s="68">
        <f t="shared" si="1"/>
        <v>0.61538461538461542</v>
      </c>
      <c r="N18" s="68">
        <f t="shared" si="2"/>
        <v>1</v>
      </c>
      <c r="O18" s="68">
        <f t="shared" si="3"/>
        <v>1.6153846153846154</v>
      </c>
      <c r="P18" s="69">
        <f t="shared" si="4"/>
        <v>0.23076923076923078</v>
      </c>
      <c r="Q18" s="69">
        <f t="shared" si="5"/>
        <v>0.30769230769230771</v>
      </c>
      <c r="R18" s="69">
        <f t="shared" si="6"/>
        <v>0.13131313131313133</v>
      </c>
    </row>
    <row r="19" spans="2:18" x14ac:dyDescent="0.2">
      <c r="B19" s="40" t="s">
        <v>363</v>
      </c>
      <c r="C19" s="42">
        <f>SUMPRODUCT(COUNTIFS(pbp_PlayType,EM_Type,pbp_BatTeam,$E$5,pbp_Batter,$E$6,pbp_Pitches,1)*EM_PA)</f>
        <v>12</v>
      </c>
      <c r="D19" s="42">
        <f>SUMPRODUCT(COUNTIFS(pbp_PlayType,EM_Type,pbp_BatTeam,$E$5,pbp_Batter,$E$6,pbp_Pitches,1)*EM_AB)</f>
        <v>9</v>
      </c>
      <c r="E19" s="42">
        <f>SUMPRODUCT(COUNTIFS(pbp_PlayType,EM_Type,pbp_BatTeam,$E$5,pbp_Batter,$E$6,pbp_Pitches,1)*EM_H)</f>
        <v>3</v>
      </c>
      <c r="F19" s="42">
        <f>SUMPRODUCT(COUNTIFS(pbp_PlayType,EM_Type,pbp_BatTeam,$E$5,pbp_Batter,$E$6,pbp_Pitches,1)*EM_1B)+2*(SUMPRODUCT(COUNTIFS(pbp_PlayType,EM_Type,pbp_BatTeam,$E$5,pbp_Batter,$E$6,pbp_Pitches,1)*EM_2B))+3*(SUMPRODUCT(COUNTIFS(pbp_PlayType,EM_Type,pbp_BatTeam,$E$5,pbp_Batter,$E$6,pbp_Pitches,1)*EM_3B))+4*(SUMPRODUCT(COUNTIFS(pbp_PlayType,EM_Type,pbp_BatTeam,$E$5,pbp_Batter,$E$6,pbp_Pitches,1)*EM_HR))</f>
        <v>7</v>
      </c>
      <c r="G19" s="42">
        <f>SUMPRODUCT(COUNTIFS(pbp_PlayType,EM_Type,pbp_BatTeam,$E$5,pbp_Batter,$E$6,pbp_Pitches,1)*EM_HR)</f>
        <v>1</v>
      </c>
      <c r="H19" s="42">
        <f>SUMPRODUCT(COUNTIFS(pbp_PlayType,EM_Type,pbp_BatTeam,$E$5,pbp_Batter,$E$6,pbp_Pitches,1)*EM_BB)</f>
        <v>1</v>
      </c>
      <c r="I19" s="42">
        <f>SUMPRODUCT(COUNTIFS(pbp_PlayType,EM_Type,pbp_BatTeam,$E$5,pbp_Batter,$E$6,pbp_Pitches,1)*EM_HBP)</f>
        <v>0</v>
      </c>
      <c r="J19" s="42">
        <f>SUMPRODUCT(COUNTIFS(pbp_PlayType,EM_Type,pbp_BatTeam,$E$5,pbp_Batter,$E$6,pbp_Pitches,1)*EM_SF)</f>
        <v>0</v>
      </c>
      <c r="K19" s="42">
        <f>COUNTIFS(pbp_PlayType,"?*",pbp_Desc,"*struck out*",pbp_BatTeam,$E$5,pbp_Batter,$E$6,pbp_Pitches,1)</f>
        <v>0</v>
      </c>
      <c r="L19" s="58">
        <f t="shared" si="0"/>
        <v>0.33333333333333331</v>
      </c>
      <c r="M19" s="58">
        <f t="shared" si="1"/>
        <v>0.4</v>
      </c>
      <c r="N19" s="58">
        <f t="shared" si="2"/>
        <v>0.77777777777777779</v>
      </c>
      <c r="O19" s="58">
        <f t="shared" si="3"/>
        <v>1.1777777777777778</v>
      </c>
      <c r="P19" s="59">
        <f t="shared" si="4"/>
        <v>0</v>
      </c>
      <c r="Q19" s="59">
        <f t="shared" si="5"/>
        <v>8.3333333333333329E-2</v>
      </c>
      <c r="R19" s="59">
        <f t="shared" si="6"/>
        <v>0.12121212121212122</v>
      </c>
    </row>
    <row r="20" spans="2:18" x14ac:dyDescent="0.2">
      <c r="B20" s="48" t="s">
        <v>364</v>
      </c>
      <c r="C20" s="67">
        <f>SUMPRODUCT(COUNTIFS(pbp_PlayType,EM_Type,pbp_BatTeam,$E$5,pbp_Batter,$E$6,pbp_Pitches,"&gt;=2",pbp_Pitches,"&lt;=3")*EM_PA)</f>
        <v>39</v>
      </c>
      <c r="D20" s="67">
        <f>SUMPRODUCT(COUNTIFS(pbp_PlayType,EM_Type,pbp_BatTeam,$E$5,pbp_Batter,$E$6,pbp_Pitches,"&gt;=2",pbp_Pitches,"&lt;=3")*EM_AB)</f>
        <v>36</v>
      </c>
      <c r="E20" s="67">
        <f>SUMPRODUCT(COUNTIFS(pbp_PlayType,EM_Type,pbp_BatTeam,$E$5,pbp_Batter,$E$6,pbp_Pitches,"&gt;=2",pbp_Pitches,"&lt;=3")*EM_H)</f>
        <v>11</v>
      </c>
      <c r="F20" s="67">
        <f>SUMPRODUCT(COUNTIFS(pbp_PlayType,EM_Type,pbp_BatTeam,$E$5,pbp_Batter,$E$6,pbp_Pitches,"&gt;=2",pbp_Pitches,"&lt;=3")*EM_1B)+2*(SUMPRODUCT(COUNTIFS(pbp_PlayType,EM_Type,pbp_BatTeam,$E$5,pbp_Batter,$E$6,pbp_Pitches,"&gt;=2",pbp_Pitches,"&lt;=3")*EM_2B))+3*(SUMPRODUCT(COUNTIFS(pbp_PlayType,EM_Type,pbp_BatTeam,$E$5,pbp_Batter,$E$6,pbp_Pitches,"&gt;=2",pbp_Pitches,"&lt;=3")*EM_3B))+4*(SUMPRODUCT(COUNTIFS(pbp_PlayType,EM_Type,pbp_BatTeam,$E$5,pbp_Batter,$E$6,pbp_Pitches,"&gt;=2",pbp_Pitches,"&lt;=3")*EM_HR))</f>
        <v>17</v>
      </c>
      <c r="G20" s="67">
        <f>SUMPRODUCT(COUNTIFS(pbp_PlayType,EM_Type,pbp_BatTeam,$E$5,pbp_Batter,$E$6,pbp_Pitches,"&gt;=2",pbp_Pitches,"&lt;=3")*EM_HR)</f>
        <v>2</v>
      </c>
      <c r="H20" s="67">
        <f>SUMPRODUCT(COUNTIFS(pbp_PlayType,EM_Type,pbp_BatTeam,$E$5,pbp_Batter,$E$6,pbp_Pitches,"&gt;=2",pbp_Pitches,"&lt;=3")*EM_BB)</f>
        <v>0</v>
      </c>
      <c r="I20" s="67">
        <f>SUMPRODUCT(COUNTIFS(pbp_PlayType,EM_Type,pbp_BatTeam,$E$5,pbp_Batter,$E$6,pbp_Pitches,"&gt;=2",pbp_Pitches,"&lt;=3")*EM_HBP)</f>
        <v>1</v>
      </c>
      <c r="J20" s="67">
        <f>SUMPRODUCT(COUNTIFS(pbp_PlayType,EM_Type,pbp_BatTeam,$E$5,pbp_Batter,$E$6,pbp_Pitches,"&gt;=2",pbp_Pitches,"&lt;=3")*EM_SF)</f>
        <v>2</v>
      </c>
      <c r="K20" s="67">
        <f>COUNTIFS(pbp_PlayType,"?*",pbp_Desc,"*struck out*",pbp_BatTeam,$E$5,pbp_Batter,$E$6,pbp_Pitches,"&gt;=2",pbp_Pitches,"&lt;=3")</f>
        <v>1</v>
      </c>
      <c r="L20" s="68">
        <f t="shared" si="0"/>
        <v>0.30555555555555558</v>
      </c>
      <c r="M20" s="68">
        <f t="shared" si="1"/>
        <v>0.30769230769230771</v>
      </c>
      <c r="N20" s="68">
        <f t="shared" si="2"/>
        <v>0.47222222222222221</v>
      </c>
      <c r="O20" s="68">
        <f t="shared" si="3"/>
        <v>0.77991452991452992</v>
      </c>
      <c r="P20" s="69">
        <f t="shared" si="4"/>
        <v>2.564102564102564E-2</v>
      </c>
      <c r="Q20" s="69">
        <f t="shared" si="5"/>
        <v>0</v>
      </c>
      <c r="R20" s="69">
        <f t="shared" si="6"/>
        <v>0.39393939393939392</v>
      </c>
    </row>
    <row r="21" spans="2:18" x14ac:dyDescent="0.2">
      <c r="B21" s="40" t="s">
        <v>365</v>
      </c>
      <c r="C21" s="42">
        <f>SUMPRODUCT(COUNTIFS(pbp_PlayType,EM_Type,pbp_BatTeam,$E$5,pbp_Batter,$E$6,pbp_Pitches,"&gt;=4",pbp_Pitches,"&lt;=5")*EM_PA)</f>
        <v>33</v>
      </c>
      <c r="D21" s="42">
        <f>SUMPRODUCT(COUNTIFS(pbp_PlayType,EM_Type,pbp_BatTeam,$E$5,pbp_Batter,$E$6,pbp_Pitches,"&gt;=4",pbp_Pitches,"&lt;=5")*EM_AB)</f>
        <v>28</v>
      </c>
      <c r="E21" s="42">
        <f>SUMPRODUCT(COUNTIFS(pbp_PlayType,EM_Type,pbp_BatTeam,$E$5,pbp_Batter,$E$6,pbp_Pitches,"&gt;=4",pbp_Pitches,"&lt;=5")*EM_H)</f>
        <v>7</v>
      </c>
      <c r="F21" s="42">
        <f>SUMPRODUCT(COUNTIFS(pbp_PlayType,EM_Type,pbp_BatTeam,$E$5,pbp_Batter,$E$6,pbp_Pitches,"&gt;=4",pbp_Pitches,"&lt;=5")*EM_1B)+2*(SUMPRODUCT(COUNTIFS(pbp_PlayType,EM_Type,pbp_BatTeam,$E$5,pbp_Batter,$E$6,pbp_Pitches,"&gt;=4",pbp_Pitches,"&lt;=5")*EM_2B))+3*(SUMPRODUCT(COUNTIFS(pbp_PlayType,EM_Type,pbp_BatTeam,$E$5,pbp_Batter,$E$6,pbp_Pitches,"&gt;=4",pbp_Pitches,"&lt;=5")*EM_3B))+4*(SUMPRODUCT(COUNTIFS(pbp_PlayType,EM_Type,pbp_BatTeam,$E$5,pbp_Batter,$E$6,pbp_Pitches,"&gt;=4",pbp_Pitches,"&lt;=5")*EM_HR))</f>
        <v>8</v>
      </c>
      <c r="G21" s="42">
        <f>SUMPRODUCT(COUNTIFS(pbp_PlayType,EM_Type,pbp_BatTeam,$E$5,pbp_Batter,$E$6,pbp_Pitches,"&gt;=4",pbp_Pitches,"&lt;=5")*EM_HR)</f>
        <v>0</v>
      </c>
      <c r="H21" s="42">
        <f>SUMPRODUCT(COUNTIFS(pbp_PlayType,EM_Type,pbp_BatTeam,$E$5,pbp_Batter,$E$6,pbp_Pitches,"&gt;=4",pbp_Pitches,"&lt;=5")*EM_BB)</f>
        <v>4</v>
      </c>
      <c r="I21" s="42">
        <f>SUMPRODUCT(COUNTIFS(pbp_PlayType,EM_Type,pbp_BatTeam,$E$5,pbp_Batter,$E$6,pbp_Pitches,"&gt;=4",pbp_Pitches,"&lt;=5")*EM_HBP)</f>
        <v>1</v>
      </c>
      <c r="J21" s="42">
        <f>SUMPRODUCT(COUNTIFS(pbp_PlayType,EM_Type,pbp_BatTeam,$E$5,pbp_Batter,$E$6,pbp_Pitches,"&gt;=4",pbp_Pitches,"&lt;=5")*EM_SF)</f>
        <v>0</v>
      </c>
      <c r="K21" s="42">
        <f>COUNTIFS(pbp_PlayType,"?*",pbp_Desc,"*struck out*",pbp_BatTeam,$E$5,pbp_Batter,$E$6,pbp_Pitches,"&gt;=4",pbp_Pitches,"&lt;=5")</f>
        <v>11</v>
      </c>
      <c r="L21" s="58">
        <f t="shared" si="0"/>
        <v>0.25</v>
      </c>
      <c r="M21" s="58">
        <f t="shared" si="1"/>
        <v>0.36363636363636365</v>
      </c>
      <c r="N21" s="58">
        <f t="shared" si="2"/>
        <v>0.2857142857142857</v>
      </c>
      <c r="O21" s="58">
        <f t="shared" si="3"/>
        <v>0.64935064935064934</v>
      </c>
      <c r="P21" s="59">
        <f t="shared" si="4"/>
        <v>0.33333333333333331</v>
      </c>
      <c r="Q21" s="59">
        <f t="shared" si="5"/>
        <v>0.12121212121212122</v>
      </c>
      <c r="R21" s="59">
        <f t="shared" si="6"/>
        <v>0.33333333333333331</v>
      </c>
    </row>
    <row r="22" spans="2:18" x14ac:dyDescent="0.2">
      <c r="B22" s="48" t="s">
        <v>366</v>
      </c>
      <c r="C22" s="67">
        <f>SUMPRODUCT(COUNTIFS(pbp_PlayType,EM_Type,pbp_BatTeam,$E$5,pbp_Batter,$E$6,pbp_Pitches,"&gt;=6")*EM_PA)</f>
        <v>15</v>
      </c>
      <c r="D22" s="67">
        <f>SUMPRODUCT(COUNTIFS(pbp_PlayType,EM_Type,pbp_BatTeam,$E$5,pbp_Batter,$E$6,pbp_Pitches,"&gt;=6")*EM_AB)</f>
        <v>11</v>
      </c>
      <c r="E22" s="67">
        <f>SUMPRODUCT(COUNTIFS(pbp_PlayType,EM_Type,pbp_BatTeam,$E$5,pbp_Batter,$E$6,pbp_Pitches,"&gt;=6")*EM_H)</f>
        <v>4</v>
      </c>
      <c r="F22" s="67">
        <f>SUMPRODUCT(COUNTIFS(pbp_PlayType,EM_Type,pbp_BatTeam,$E$5,pbp_Batter,$E$6,pbp_Pitches,"&gt;=6")*EM_1B)+2*(SUMPRODUCT(COUNTIFS(pbp_PlayType,EM_Type,pbp_BatTeam,$E$5,pbp_Batter,$E$6,pbp_Pitches,"&gt;=6")*EM_2B))+3*(SUMPRODUCT(COUNTIFS(pbp_PlayType,EM_Type,pbp_BatTeam,$E$5,pbp_Batter,$E$6,pbp_Pitches,"&gt;=6")*EM_3B))+4*(SUMPRODUCT(COUNTIFS(pbp_PlayType,EM_Type,pbp_BatTeam,$E$5,pbp_Batter,$E$6,pbp_Pitches,"&gt;=6")*EM_HR))</f>
        <v>9</v>
      </c>
      <c r="G22" s="67">
        <f>SUMPRODUCT(COUNTIFS(pbp_PlayType,EM_Type,pbp_BatTeam,$E$5,pbp_Batter,$E$6,pbp_Pitches,"&gt;=6")*EM_HR)</f>
        <v>1</v>
      </c>
      <c r="H22" s="67">
        <f>SUMPRODUCT(COUNTIFS(pbp_PlayType,EM_Type,pbp_BatTeam,$E$5,pbp_Batter,$E$6,pbp_Pitches,"&gt;=6")*EM_BB)</f>
        <v>4</v>
      </c>
      <c r="I22" s="67">
        <f>SUMPRODUCT(COUNTIFS(pbp_PlayType,EM_Type,pbp_BatTeam,$E$5,pbp_Batter,$E$6,pbp_Pitches,"&gt;=6")*EM_HBP)</f>
        <v>0</v>
      </c>
      <c r="J22" s="67">
        <f>SUMPRODUCT(COUNTIFS(pbp_PlayType,EM_Type,pbp_BatTeam,$E$5,pbp_Batter,$E$6,pbp_Pitches,"&gt;=6")*EM_SF)</f>
        <v>0</v>
      </c>
      <c r="K22" s="67">
        <f>COUNTIFS(pbp_PlayType,"?*",pbp_Desc,"*struck out*",pbp_BatTeam,$E$5,pbp_Batter,$E$6,pbp_Pitches,"&gt;=6")</f>
        <v>5</v>
      </c>
      <c r="L22" s="68">
        <f t="shared" si="0"/>
        <v>0.36363636363636365</v>
      </c>
      <c r="M22" s="68">
        <f t="shared" si="1"/>
        <v>0.53333333333333333</v>
      </c>
      <c r="N22" s="68">
        <f t="shared" si="2"/>
        <v>0.81818181818181823</v>
      </c>
      <c r="O22" s="68">
        <f t="shared" si="3"/>
        <v>1.3515151515151516</v>
      </c>
      <c r="P22" s="69">
        <f t="shared" si="4"/>
        <v>0.33333333333333331</v>
      </c>
      <c r="Q22" s="69">
        <f t="shared" si="5"/>
        <v>0.26666666666666666</v>
      </c>
      <c r="R22" s="69">
        <f t="shared" si="6"/>
        <v>0.15151515151515152</v>
      </c>
    </row>
    <row r="23" spans="2:18" x14ac:dyDescent="0.2">
      <c r="B23" s="40" t="s">
        <v>367</v>
      </c>
      <c r="C23" s="42">
        <f>SUMPRODUCT(COUNTIFS(pbp_PlayType,EM_Type,pbp_BatTeam,$E$5,pbp_Batter,$E$6,pbp_Inning,"1?")*EM_PA)+SUMPRODUCT(COUNTIFS(pbp_PlayType,EM_Type,pbp_BatTeam,$E$5,pbp_Batter,$E$6,pbp_Inning,"2?")*EM_PA)+SUMPRODUCT(COUNTIFS(pbp_PlayType,EM_Type,pbp_BatTeam,$E$5,pbp_Batter,$E$6,pbp_Inning,"3?")*EM_PA)</f>
        <v>26</v>
      </c>
      <c r="D23" s="42">
        <f>SUMPRODUCT(COUNTIFS(pbp_PlayType,EM_Type,pbp_BatTeam,$E$5,pbp_Batter,$E$6,pbp_Inning,"1?")*EM_AB)+SUMPRODUCT(COUNTIFS(pbp_PlayType,EM_Type,pbp_BatTeam,$E$5,pbp_Batter,$E$6,pbp_Inning,"2?")*EM_AB)+SUMPRODUCT(COUNTIFS(pbp_PlayType,EM_Type,pbp_BatTeam,$E$5,pbp_Batter,$E$6,pbp_Inning,"3?")*EM_AB)</f>
        <v>23</v>
      </c>
      <c r="E23" s="42">
        <f>SUMPRODUCT(COUNTIFS(pbp_PlayType,EM_Type,pbp_BatTeam,$E$5,pbp_Batter,$E$6,pbp_Inning,"1?")*EM_H)+SUMPRODUCT(COUNTIFS(pbp_PlayType,EM_Type,pbp_BatTeam,$E$5,pbp_Batter,$E$6,pbp_Inning,"2?")*EM_H)+SUMPRODUCT(COUNTIFS(pbp_PlayType,EM_Type,pbp_BatTeam,$E$5,pbp_Batter,$E$6,pbp_Inning,"3?")*EM_H)</f>
        <v>7</v>
      </c>
      <c r="F23" s="42">
        <f>SUMPRODUCT(COUNTIFS(pbp_PlayType,EM_Type,pbp_BatTeam,$E$5,pbp_Batter,$E$6,pbp_Inning,"1?")*EM_1B)+SUMPRODUCT(COUNTIFS(pbp_PlayType,EM_Type,pbp_BatTeam,$E$5,pbp_Batter,$E$6,pbp_Inning,"2?")*EM_1B)+SUMPRODUCT(COUNTIFS(pbp_PlayType,EM_Type,pbp_BatTeam,$E$5,pbp_Batter,$E$6,pbp_Inning,"3?")*EM_1B)+2*(SUMPRODUCT(COUNTIFS(pbp_PlayType,EM_Type,pbp_BatTeam,$E$5,pbp_Batter,$E$6,pbp_Inning,"1?")*EM_2B)+SUMPRODUCT(COUNTIFS(pbp_PlayType,EM_Type,pbp_BatTeam,$E$5,pbp_Batter,$E$6,pbp_Inning,"2?")*EM_2B)+SUMPRODUCT(COUNTIFS(pbp_PlayType,EM_Type,pbp_BatTeam,$E$5,pbp_Batter,$E$6,pbp_Inning,"3?")*EM_2B))+3*(SUMPRODUCT(COUNTIFS(pbp_PlayType,EM_Type,pbp_BatTeam,$E$5,pbp_Batter,$E$6,pbp_Inning,"1?")*EM_3B)+SUMPRODUCT(COUNTIFS(pbp_PlayType,EM_Type,pbp_BatTeam,$E$5,pbp_Batter,$E$6,pbp_Inning,"2?")*EM_3B)+SUMPRODUCT(COUNTIFS(pbp_PlayType,EM_Type,pbp_BatTeam,$E$5,pbp_Batter,$E$6,pbp_Inning,"3?")*EM_3B))+4*(SUMPRODUCT(COUNTIFS(pbp_PlayType,EM_Type,pbp_BatTeam,$E$5,pbp_Batter,$E$6,pbp_Inning,"1?")*EM_HR)+SUMPRODUCT(COUNTIFS(pbp_PlayType,EM_Type,pbp_BatTeam,$E$5,pbp_Batter,$E$6,pbp_Inning,"2?")*EM_HR)+SUMPRODUCT(COUNTIFS(pbp_PlayType,EM_Type,pbp_BatTeam,$E$5,pbp_Batter,$E$6,pbp_Inning,"3?")*EM_HR))</f>
        <v>10</v>
      </c>
      <c r="G23" s="42">
        <f>SUMPRODUCT(COUNTIFS(pbp_PlayType,EM_Type,pbp_BatTeam,$E$5,pbp_Batter,$E$6,pbp_Inning,"1?")*EM_HR)+SUMPRODUCT(COUNTIFS(pbp_PlayType,EM_Type,pbp_BatTeam,$E$5,pbp_Batter,$E$6,pbp_Inning,"2?")*EM_HR)+SUMPRODUCT(COUNTIFS(pbp_PlayType,EM_Type,pbp_BatTeam,$E$5,pbp_Batter,$E$6,pbp_Inning,"3?")*EM_HR)</f>
        <v>1</v>
      </c>
      <c r="H23" s="42">
        <f>SUMPRODUCT(COUNTIFS(pbp_PlayType,EM_Type,pbp_BatTeam,$E$5,pbp_Batter,$E$6,pbp_Inning,"1?")*EM_BB)+SUMPRODUCT(COUNTIFS(pbp_PlayType,EM_Type,pbp_BatTeam,$E$5,pbp_Batter,$E$6,pbp_Inning,"2?")*EM_BB)+SUMPRODUCT(COUNTIFS(pbp_PlayType,EM_Type,pbp_BatTeam,$E$5,pbp_Batter,$E$6,pbp_Inning,"3?")*EM_BB)</f>
        <v>2</v>
      </c>
      <c r="I23" s="42">
        <f>SUMPRODUCT(COUNTIFS(pbp_PlayType,EM_Type,pbp_BatTeam,$E$5,pbp_Batter,$E$6,pbp_Inning,"1?")*EM_HBP)+SUMPRODUCT(COUNTIFS(pbp_PlayType,EM_Type,pbp_BatTeam,$E$5,pbp_Batter,$E$6,pbp_Inning,"2?")*EM_HBP)+SUMPRODUCT(COUNTIFS(pbp_PlayType,EM_Type,pbp_BatTeam,$E$5,pbp_Batter,$E$6,pbp_Inning,"3?")*EM_HBP)</f>
        <v>0</v>
      </c>
      <c r="J23" s="42">
        <f>SUMPRODUCT(COUNTIFS(pbp_PlayType,EM_Type,pbp_BatTeam,$E$5,pbp_Batter,$E$6,pbp_Inning,"1?")*EM_SF)+SUMPRODUCT(COUNTIFS(pbp_PlayType,EM_Type,pbp_BatTeam,$E$5,pbp_Batter,$E$6,pbp_Inning,"2?")*EM_SF)+SUMPRODUCT(COUNTIFS(pbp_PlayType,EM_Type,pbp_BatTeam,$E$5,pbp_Batter,$E$6,pbp_Inning,"3?")*EM_SF)</f>
        <v>0</v>
      </c>
      <c r="K23" s="42">
        <f>COUNTIFS(pbp_PlayType,"?*",pbp_Desc,"*struck out*",pbp_BatTeam,$E$5,pbp_Batter,$E$6,pbp_Inning,"1?")+COUNTIFS(pbp_PlayType,"?*",pbp_Desc,"*struck out*",pbp_BatTeam,$E$5,pbp_Batter,$E$6,pbp_Inning,"2?")+COUNTIFS(pbp_PlayType,"?*",pbp_Desc,"*struck out*",pbp_BatTeam,$E$5,pbp_Batter,$E$6,pbp_Inning,"3?")</f>
        <v>6</v>
      </c>
      <c r="L23" s="58">
        <f t="shared" si="0"/>
        <v>0.30434782608695654</v>
      </c>
      <c r="M23" s="58">
        <f t="shared" si="1"/>
        <v>0.36</v>
      </c>
      <c r="N23" s="58">
        <f t="shared" si="2"/>
        <v>0.43478260869565216</v>
      </c>
      <c r="O23" s="58">
        <f t="shared" si="3"/>
        <v>0.7947826086956522</v>
      </c>
      <c r="P23" s="59">
        <f t="shared" si="4"/>
        <v>0.23076923076923078</v>
      </c>
      <c r="Q23" s="59">
        <f t="shared" si="5"/>
        <v>7.6923076923076927E-2</v>
      </c>
      <c r="R23" s="59">
        <f t="shared" si="6"/>
        <v>0.26262626262626265</v>
      </c>
    </row>
    <row r="24" spans="2:18" x14ac:dyDescent="0.2">
      <c r="B24" s="48" t="s">
        <v>368</v>
      </c>
      <c r="C24" s="67">
        <f>SUMPRODUCT(COUNTIFS(pbp_PlayType,EM_Type,pbp_BatTeam,$E$5,pbp_Batter,$E$6,pbp_Inning,"4?")*EM_PA)+SUMPRODUCT(COUNTIFS(pbp_PlayType,EM_Type,pbp_BatTeam,$E$5,pbp_Batter,$E$6,pbp_Inning,"5?")*EM_PA)+SUMPRODUCT(COUNTIFS(pbp_PlayType,EM_Type,pbp_BatTeam,$E$5,pbp_Batter,$E$6,pbp_Inning,"6?")*EM_PA)</f>
        <v>31</v>
      </c>
      <c r="D24" s="67">
        <f>SUMPRODUCT(COUNTIFS(pbp_PlayType,EM_Type,pbp_BatTeam,$E$5,pbp_Batter,$E$6,pbp_Inning,"4?")*EM_AB)+SUMPRODUCT(COUNTIFS(pbp_PlayType,EM_Type,pbp_BatTeam,$E$5,pbp_Batter,$E$6,pbp_Inning,"5?")*EM_AB)+SUMPRODUCT(COUNTIFS(pbp_PlayType,EM_Type,pbp_BatTeam,$E$5,pbp_Batter,$E$6,pbp_Inning,"6?")*EM_AB)</f>
        <v>26</v>
      </c>
      <c r="E24" s="67">
        <f>SUMPRODUCT(COUNTIFS(pbp_PlayType,EM_Type,pbp_BatTeam,$E$5,pbp_Batter,$E$6,pbp_Inning,"4?")*EM_H)+SUMPRODUCT(COUNTIFS(pbp_PlayType,EM_Type,pbp_BatTeam,$E$5,pbp_Batter,$E$6,pbp_Inning,"5?")*EM_H)+SUMPRODUCT(COUNTIFS(pbp_PlayType,EM_Type,pbp_BatTeam,$E$5,pbp_Batter,$E$6,pbp_Inning,"6?")*EM_H)</f>
        <v>10</v>
      </c>
      <c r="F24" s="67">
        <f>SUMPRODUCT(COUNTIFS(pbp_PlayType,EM_Type,pbp_BatTeam,$E$5,pbp_Batter,$E$6,pbp_Inning,"4?")*EM_1B)+SUMPRODUCT(COUNTIFS(pbp_PlayType,EM_Type,pbp_BatTeam,$E$5,pbp_Batter,$E$6,pbp_Inning,"5?")*EM_1B)+SUMPRODUCT(COUNTIFS(pbp_PlayType,EM_Type,pbp_BatTeam,$E$5,pbp_Batter,$E$6,pbp_Inning,"6?")*EM_1B)+2*(SUMPRODUCT(COUNTIFS(pbp_PlayType,EM_Type,pbp_BatTeam,$E$5,pbp_Batter,$E$6,pbp_Inning,"4?")*EM_2B)+SUMPRODUCT(COUNTIFS(pbp_PlayType,EM_Type,pbp_BatTeam,$E$5,pbp_Batter,$E$6,pbp_Inning,"5?")*EM_2B)+SUMPRODUCT(COUNTIFS(pbp_PlayType,EM_Type,pbp_BatTeam,$E$5,pbp_Batter,$E$6,pbp_Inning,"6?")*EM_2B))+3*(SUMPRODUCT(COUNTIFS(pbp_PlayType,EM_Type,pbp_BatTeam,$E$5,pbp_Batter,$E$6,pbp_Inning,"4?")*EM_3B)+SUMPRODUCT(COUNTIFS(pbp_PlayType,EM_Type,pbp_BatTeam,$E$5,pbp_Batter,$E$6,pbp_Inning,"5?")*EM_3B)+SUMPRODUCT(COUNTIFS(pbp_PlayType,EM_Type,pbp_BatTeam,$E$5,pbp_Batter,$E$6,pbp_Inning,"6?")*EM_3B))+4*(SUMPRODUCT(COUNTIFS(pbp_PlayType,EM_Type,pbp_BatTeam,$E$5,pbp_Batter,$E$6,pbp_Inning,"4?")*EM_HR)+SUMPRODUCT(COUNTIFS(pbp_PlayType,EM_Type,pbp_BatTeam,$E$5,pbp_Batter,$E$6,pbp_Inning,"5?")*EM_HR)+SUMPRODUCT(COUNTIFS(pbp_PlayType,EM_Type,pbp_BatTeam,$E$5,pbp_Batter,$E$6,pbp_Inning,"6?")*EM_HR))</f>
        <v>12</v>
      </c>
      <c r="G24" s="67">
        <f>SUMPRODUCT(COUNTIFS(pbp_PlayType,EM_Type,pbp_BatTeam,$E$5,pbp_Batter,$E$6,pbp_Inning,"4?")*EM_HR)+SUMPRODUCT(COUNTIFS(pbp_PlayType,EM_Type,pbp_BatTeam,$E$5,pbp_Batter,$E$6,pbp_Inning,"5?")*EM_HR)+SUMPRODUCT(COUNTIFS(pbp_PlayType,EM_Type,pbp_BatTeam,$E$5,pbp_Batter,$E$6,pbp_Inning,"6?")*EM_HR)</f>
        <v>0</v>
      </c>
      <c r="H24" s="67">
        <f>SUMPRODUCT(COUNTIFS(pbp_PlayType,EM_Type,pbp_BatTeam,$E$5,pbp_Batter,$E$6,pbp_Inning,"4?")*EM_BB)+SUMPRODUCT(COUNTIFS(pbp_PlayType,EM_Type,pbp_BatTeam,$E$5,pbp_Batter,$E$6,pbp_Inning,"5?")*EM_BB)+SUMPRODUCT(COUNTIFS(pbp_PlayType,EM_Type,pbp_BatTeam,$E$5,pbp_Batter,$E$6,pbp_Inning,"6?")*EM_BB)</f>
        <v>2</v>
      </c>
      <c r="I24" s="67">
        <f>SUMPRODUCT(COUNTIFS(pbp_PlayType,EM_Type,pbp_BatTeam,$E$5,pbp_Batter,$E$6,pbp_Inning,"4?")*EM_HBP)+SUMPRODUCT(COUNTIFS(pbp_PlayType,EM_Type,pbp_BatTeam,$E$5,pbp_Batter,$E$6,pbp_Inning,"5?")*EM_HBP)+SUMPRODUCT(COUNTIFS(pbp_PlayType,EM_Type,pbp_BatTeam,$E$5,pbp_Batter,$E$6,pbp_Inning,"6?")*EM_HBP)</f>
        <v>1</v>
      </c>
      <c r="J24" s="67">
        <f>SUMPRODUCT(COUNTIFS(pbp_PlayType,EM_Type,pbp_BatTeam,$E$5,pbp_Batter,$E$6,pbp_Inning,"4?")*EM_SF)+SUMPRODUCT(COUNTIFS(pbp_PlayType,EM_Type,pbp_BatTeam,$E$5,pbp_Batter,$E$6,pbp_Inning,"5?")*EM_SF)+SUMPRODUCT(COUNTIFS(pbp_PlayType,EM_Type,pbp_BatTeam,$E$5,pbp_Batter,$E$6,pbp_Inning,"6?")*EM_SF)</f>
        <v>2</v>
      </c>
      <c r="K24" s="67">
        <f>COUNTIFS(pbp_PlayType,"?*",pbp_Desc,"*struck out*",pbp_BatTeam,$E$5,pbp_Batter,$E$6,pbp_Inning,"4?")+COUNTIFS(pbp_PlayType,"?*",pbp_Desc,"*struck out*",pbp_BatTeam,$E$5,pbp_Batter,$E$6,pbp_Inning,"5?")+COUNTIFS(pbp_PlayType,"?*",pbp_Desc,"*struck out*",pbp_BatTeam,$E$5,pbp_Batter,$E$6,pbp_Inning,"6?")</f>
        <v>4</v>
      </c>
      <c r="L24" s="68">
        <f t="shared" si="0"/>
        <v>0.38461538461538464</v>
      </c>
      <c r="M24" s="68">
        <f t="shared" si="1"/>
        <v>0.41935483870967744</v>
      </c>
      <c r="N24" s="68">
        <f t="shared" si="2"/>
        <v>0.46153846153846156</v>
      </c>
      <c r="O24" s="68">
        <f t="shared" si="3"/>
        <v>0.88089330024813894</v>
      </c>
      <c r="P24" s="69">
        <f t="shared" si="4"/>
        <v>0.12903225806451613</v>
      </c>
      <c r="Q24" s="69">
        <f t="shared" si="5"/>
        <v>6.4516129032258063E-2</v>
      </c>
      <c r="R24" s="69">
        <f t="shared" si="6"/>
        <v>0.31313131313131315</v>
      </c>
    </row>
    <row r="25" spans="2:18" x14ac:dyDescent="0.2">
      <c r="B25" s="40" t="s">
        <v>369</v>
      </c>
      <c r="C25" s="42">
        <f>SUMPRODUCT(COUNTIFS(pbp_PlayType,EM_Type,pbp_BatTeam,$E$5,pbp_Batter,$E$6,pbp_Inning,"7?")*EM_PA)+SUMPRODUCT(COUNTIFS(pbp_PlayType,EM_Type,pbp_BatTeam,$E$5,pbp_Batter,$E$6,pbp_Inning,"8?")*EM_PA)+SUMPRODUCT(COUNTIFS(pbp_PlayType,EM_Type,pbp_BatTeam,$E$5,pbp_Batter,$E$6,pbp_Inning,"9?")*EM_PA)</f>
        <v>25</v>
      </c>
      <c r="D25" s="42">
        <f>SUMPRODUCT(COUNTIFS(pbp_PlayType,EM_Type,pbp_BatTeam,$E$5,pbp_Batter,$E$6,pbp_Inning,"7?")*EM_AB)+SUMPRODUCT(COUNTIFS(pbp_PlayType,EM_Type,pbp_BatTeam,$E$5,pbp_Batter,$E$6,pbp_Inning,"8?")*EM_AB)+SUMPRODUCT(COUNTIFS(pbp_PlayType,EM_Type,pbp_BatTeam,$E$5,pbp_Batter,$E$6,pbp_Inning,"9?")*EM_AB)</f>
        <v>22</v>
      </c>
      <c r="E25" s="42">
        <f>SUMPRODUCT(COUNTIFS(pbp_PlayType,EM_Type,pbp_BatTeam,$E$5,pbp_Batter,$E$6,pbp_Inning,"7?")*EM_H)+SUMPRODUCT(COUNTIFS(pbp_PlayType,EM_Type,pbp_BatTeam,$E$5,pbp_Batter,$E$6,pbp_Inning,"8?")*EM_H)+SUMPRODUCT(COUNTIFS(pbp_PlayType,EM_Type,pbp_BatTeam,$E$5,pbp_Batter,$E$6,pbp_Inning,"9?")*EM_H)</f>
        <v>5</v>
      </c>
      <c r="F25" s="42">
        <f>SUMPRODUCT(COUNTIFS(pbp_PlayType,EM_Type,pbp_BatTeam,$E$5,pbp_Batter,$E$6,pbp_Inning,"7?")*EM_1B)+SUMPRODUCT(COUNTIFS(pbp_PlayType,EM_Type,pbp_BatTeam,$E$5,pbp_Batter,$E$6,pbp_Inning,"8?")*EM_1B)+SUMPRODUCT(COUNTIFS(pbp_PlayType,EM_Type,pbp_BatTeam,$E$5,pbp_Batter,$E$6,pbp_Inning,"9?")*EM_1B)+2*(SUMPRODUCT(COUNTIFS(pbp_PlayType,EM_Type,pbp_BatTeam,$E$5,pbp_Batter,$E$6,pbp_Inning,"7?")*EM_2B)+SUMPRODUCT(COUNTIFS(pbp_PlayType,EM_Type,pbp_BatTeam,$E$5,pbp_Batter,$E$6,pbp_Inning,"8?")*EM_2B)+SUMPRODUCT(COUNTIFS(pbp_PlayType,EM_Type,pbp_BatTeam,$E$5,pbp_Batter,$E$6,pbp_Inning,"9?")*EM_2B))+3*(SUMPRODUCT(COUNTIFS(pbp_PlayType,EM_Type,pbp_BatTeam,$E$5,pbp_Batter,$E$6,pbp_Inning,"7?")*EM_3B)+SUMPRODUCT(COUNTIFS(pbp_PlayType,EM_Type,pbp_BatTeam,$E$5,pbp_Batter,$E$6,pbp_Inning,"8?")*EM_3B)+SUMPRODUCT(COUNTIFS(pbp_PlayType,EM_Type,pbp_BatTeam,$E$5,pbp_Batter,$E$6,pbp_Inning,"9?")*EM_3B))+4*(SUMPRODUCT(COUNTIFS(pbp_PlayType,EM_Type,pbp_BatTeam,$E$5,pbp_Batter,$E$6,pbp_Inning,"7?")*EM_HR)+SUMPRODUCT(COUNTIFS(pbp_PlayType,EM_Type,pbp_BatTeam,$E$5,pbp_Batter,$E$6,pbp_Inning,"8?")*EM_HR)+SUMPRODUCT(COUNTIFS(pbp_PlayType,EM_Type,pbp_BatTeam,$E$5,pbp_Batter,$E$6,pbp_Inning,"9?")*EM_HR))</f>
        <v>12</v>
      </c>
      <c r="G25" s="42">
        <f>SUMPRODUCT(COUNTIFS(pbp_PlayType,EM_Type,pbp_BatTeam,$E$5,pbp_Batter,$E$6,pbp_Inning,"7?")*EM_HR)+SUMPRODUCT(COUNTIFS(pbp_PlayType,EM_Type,pbp_BatTeam,$E$5,pbp_Batter,$E$6,pbp_Inning,"8?")*EM_HR)+SUMPRODUCT(COUNTIFS(pbp_PlayType,EM_Type,pbp_BatTeam,$E$5,pbp_Batter,$E$6,pbp_Inning,"9?")*EM_HR)</f>
        <v>2</v>
      </c>
      <c r="H25" s="42">
        <f>SUMPRODUCT(COUNTIFS(pbp_PlayType,EM_Type,pbp_BatTeam,$E$5,pbp_Batter,$E$6,pbp_Inning,"7?")*EM_BB)+SUMPRODUCT(COUNTIFS(pbp_PlayType,EM_Type,pbp_BatTeam,$E$5,pbp_Batter,$E$6,pbp_Inning,"8?")*EM_BB)+SUMPRODUCT(COUNTIFS(pbp_PlayType,EM_Type,pbp_BatTeam,$E$5,pbp_Batter,$E$6,pbp_Inning,"9?")*EM_BB)</f>
        <v>2</v>
      </c>
      <c r="I25" s="42">
        <f>SUMPRODUCT(COUNTIFS(pbp_PlayType,EM_Type,pbp_BatTeam,$E$5,pbp_Batter,$E$6,pbp_Inning,"7?")*EM_HBP)+SUMPRODUCT(COUNTIFS(pbp_PlayType,EM_Type,pbp_BatTeam,$E$5,pbp_Batter,$E$6,pbp_Inning,"8?")*EM_HBP)+SUMPRODUCT(COUNTIFS(pbp_PlayType,EM_Type,pbp_BatTeam,$E$5,pbp_Batter,$E$6,pbp_Inning,"9?")*EM_HBP)</f>
        <v>1</v>
      </c>
      <c r="J25" s="42">
        <f>SUMPRODUCT(COUNTIFS(pbp_PlayType,EM_Type,pbp_BatTeam,$E$5,pbp_Batter,$E$6,pbp_Inning,"7?")*EM_SF)+SUMPRODUCT(COUNTIFS(pbp_PlayType,EM_Type,pbp_BatTeam,$E$5,pbp_Batter,$E$6,pbp_Inning,"8?")*EM_SF)+SUMPRODUCT(COUNTIFS(pbp_PlayType,EM_Type,pbp_BatTeam,$E$5,pbp_Batter,$E$6,pbp_Inning,"9?")*EM_SF)</f>
        <v>0</v>
      </c>
      <c r="K25" s="42">
        <f>COUNTIFS(pbp_PlayType,"?*",pbp_Desc,"*struck out*",pbp_BatTeam,$E$5,pbp_Batter,$E$6,pbp_Inning,"7?")+COUNTIFS(pbp_PlayType,"?*",pbp_Desc,"*struck out*",pbp_BatTeam,$E$5,pbp_Batter,$E$6,pbp_Inning,"8?")+COUNTIFS(pbp_PlayType,"?*",pbp_Desc,"*struck out*",pbp_BatTeam,$E$5,pbp_Batter,$E$6,pbp_Inning,"9?")</f>
        <v>6</v>
      </c>
      <c r="L25" s="58">
        <f t="shared" si="0"/>
        <v>0.22727272727272727</v>
      </c>
      <c r="M25" s="58">
        <f t="shared" si="1"/>
        <v>0.32</v>
      </c>
      <c r="N25" s="58">
        <f t="shared" si="2"/>
        <v>0.54545454545454541</v>
      </c>
      <c r="O25" s="58">
        <f t="shared" si="3"/>
        <v>0.86545454545454548</v>
      </c>
      <c r="P25" s="59">
        <f t="shared" si="4"/>
        <v>0.24</v>
      </c>
      <c r="Q25" s="59">
        <f t="shared" si="5"/>
        <v>0.08</v>
      </c>
      <c r="R25" s="59">
        <f t="shared" si="6"/>
        <v>0.25252525252525254</v>
      </c>
    </row>
    <row r="26" spans="2:18" x14ac:dyDescent="0.2">
      <c r="B26" s="48" t="s">
        <v>370</v>
      </c>
      <c r="C26" s="67">
        <f>SUMPRODUCT(COUNTIFS(pbp_PlayType,EM_Type,pbp_BatTeam,$E$5,pbp_Batter,$E$6,pbp_Inning,"1??")*EM_PA)</f>
        <v>17</v>
      </c>
      <c r="D26" s="67">
        <f>SUMPRODUCT(COUNTIFS(pbp_PlayType,EM_Type,pbp_BatTeam,$E$5,pbp_Batter,$E$6,pbp_Inning,"1??")*EM_AB)</f>
        <v>13</v>
      </c>
      <c r="E26" s="67">
        <f>SUMPRODUCT(COUNTIFS(pbp_PlayType,EM_Type,pbp_BatTeam,$E$5,pbp_Batter,$E$6,pbp_Inning,"1??")*EM_H)</f>
        <v>3</v>
      </c>
      <c r="F26" s="67">
        <f>SUMPRODUCT(COUNTIFS(pbp_PlayType,EM_Type,pbp_BatTeam,$E$5,pbp_Batter,$E$6,pbp_Inning,"1??")*EM_1B)+2*(SUMPRODUCT(COUNTIFS(pbp_PlayType,EM_Type,pbp_BatTeam,$E$5,pbp_Batter,$E$6,pbp_Inning,"1??")*EM_2B))+3*(SUMPRODUCT(COUNTIFS(pbp_PlayType,EM_Type,pbp_BatTeam,$E$5,pbp_Batter,$E$6,pbp_Inning,"1??")*EM_3B))+4*(SUMPRODUCT(COUNTIFS(pbp_PlayType,EM_Type,pbp_BatTeam,$E$5,pbp_Batter,$E$6,pbp_Inning,"1??")*EM_HR))</f>
        <v>7</v>
      </c>
      <c r="G26" s="67">
        <f>SUMPRODUCT(COUNTIFS(pbp_PlayType,EM_Type,pbp_BatTeam,$E$5,pbp_Batter,$E$6,pbp_Inning,"1??")*EM_HR)</f>
        <v>1</v>
      </c>
      <c r="H26" s="67">
        <f>SUMPRODUCT(COUNTIFS(pbp_PlayType,EM_Type,pbp_BatTeam,$E$5,pbp_Batter,$E$6,pbp_Inning,"1??")*EM_BB)</f>
        <v>3</v>
      </c>
      <c r="I26" s="67">
        <f>SUMPRODUCT(COUNTIFS(pbp_PlayType,EM_Type,pbp_BatTeam,$E$5,pbp_Batter,$E$6,pbp_Inning,"1??")*EM_HBP)</f>
        <v>0</v>
      </c>
      <c r="J26" s="67">
        <f>SUMPRODUCT(COUNTIFS(pbp_PlayType,EM_Type,pbp_BatTeam,$E$5,pbp_Batter,$E$6,pbp_Inning,"1??")*EM_SF)</f>
        <v>0</v>
      </c>
      <c r="K26" s="67">
        <f>COUNTIFS(pbp_PlayType,"?*",pbp_Desc,"*struck out*",pbp_BatTeam,$E$5,pbp_Batter,$E$6,pbp_Inning,"1??")</f>
        <v>1</v>
      </c>
      <c r="L26" s="68">
        <f t="shared" si="0"/>
        <v>0.23076923076923078</v>
      </c>
      <c r="M26" s="68">
        <f t="shared" si="1"/>
        <v>0.375</v>
      </c>
      <c r="N26" s="68">
        <f t="shared" si="2"/>
        <v>0.53846153846153844</v>
      </c>
      <c r="O26" s="68">
        <f t="shared" si="3"/>
        <v>0.91346153846153844</v>
      </c>
      <c r="P26" s="69">
        <f t="shared" si="4"/>
        <v>5.8823529411764705E-2</v>
      </c>
      <c r="Q26" s="69">
        <f t="shared" si="5"/>
        <v>0.17647058823529413</v>
      </c>
      <c r="R26" s="69">
        <f t="shared" si="6"/>
        <v>0.17171717171717171</v>
      </c>
    </row>
    <row r="28" spans="2:18" x14ac:dyDescent="0.2">
      <c r="B28" s="38" t="s">
        <v>371</v>
      </c>
    </row>
  </sheetData>
  <conditionalFormatting sqref="O9:O26">
    <cfRule type="colorScale" priority="2">
      <colorScale>
        <cfvo type="min"/>
        <cfvo type="percentile" val="50"/>
        <cfvo type="max"/>
        <color rgb="FFF8CBAD"/>
        <color rgb="FFFFFFFF"/>
        <color rgb="FFA9D08E"/>
      </colorScale>
    </cfRule>
  </conditionalFormatting>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0000000}">
          <x14:formula1>
            <xm:f>Lists!$E$6:$E$36</xm:f>
          </x14:formula1>
          <x14:formula2>
            <xm:f>0</xm:f>
          </x14:formula2>
          <xm:sqref>C5</xm:sqref>
        </x14:dataValidation>
        <x14:dataValidation type="list" allowBlank="1" xr:uid="{00000000-0002-0000-0400-000001000000}">
          <x14:formula1>
            <xm:f>Lists!$G$6:$G$256</xm:f>
          </x14:formula1>
          <x14:formula2>
            <xm:f>0</xm:f>
          </x14:formula2>
          <xm:sqref>C6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B2:AG35"/>
  <sheetViews>
    <sheetView showGridLines="0" zoomScaleNormal="100" workbookViewId="0">
      <pane xSplit="2" ySplit="5" topLeftCell="C6" activePane="bottomRight" state="frozen"/>
      <selection pane="topRight"/>
      <selection pane="bottomLeft"/>
      <selection pane="bottomRight"/>
    </sheetView>
  </sheetViews>
  <sheetFormatPr baseColWidth="10" defaultColWidth="8.6640625" defaultRowHeight="15" x14ac:dyDescent="0.2"/>
  <cols>
    <col min="1" max="1" width="3" customWidth="1"/>
    <col min="2" max="2" width="24" customWidth="1"/>
    <col min="3" max="13" width="6" customWidth="1"/>
    <col min="14" max="16" width="8" customWidth="1"/>
    <col min="17" max="17" width="9" customWidth="1"/>
    <col min="18" max="23" width="7" customWidth="1"/>
    <col min="24" max="24" width="8" customWidth="1"/>
    <col min="25" max="25" width="7" customWidth="1"/>
    <col min="26" max="27" width="6" customWidth="1"/>
    <col min="28" max="29" width="7" customWidth="1"/>
    <col min="30" max="30" width="8" customWidth="1"/>
    <col min="31" max="31" width="7" customWidth="1"/>
    <col min="32" max="33" width="6" customWidth="1"/>
  </cols>
  <sheetData>
    <row r="2" spans="2:33" ht="21" x14ac:dyDescent="0.25">
      <c r="B2" s="37" t="s">
        <v>372</v>
      </c>
    </row>
    <row r="3" spans="2:33" x14ac:dyDescent="0.2">
      <c r="B3" s="38" t="s">
        <v>373</v>
      </c>
    </row>
    <row r="5" spans="2:33" ht="31.5" customHeight="1" x14ac:dyDescent="0.2">
      <c r="B5" s="43" t="s">
        <v>292</v>
      </c>
      <c r="C5" s="43" t="s">
        <v>312</v>
      </c>
      <c r="D5" s="43" t="s">
        <v>374</v>
      </c>
      <c r="E5" s="43" t="s">
        <v>375</v>
      </c>
      <c r="F5" s="43" t="s">
        <v>318</v>
      </c>
      <c r="G5" s="43" t="s">
        <v>319</v>
      </c>
      <c r="H5" s="43" t="s">
        <v>321</v>
      </c>
      <c r="I5" s="43" t="s">
        <v>323</v>
      </c>
      <c r="J5" s="43" t="s">
        <v>324</v>
      </c>
      <c r="K5" s="43" t="s">
        <v>55</v>
      </c>
      <c r="L5" s="43" t="s">
        <v>317</v>
      </c>
      <c r="M5" s="43" t="s">
        <v>325</v>
      </c>
      <c r="N5" s="43" t="s">
        <v>376</v>
      </c>
      <c r="O5" s="43" t="s">
        <v>377</v>
      </c>
      <c r="P5" s="43" t="s">
        <v>378</v>
      </c>
      <c r="Q5" s="43" t="s">
        <v>379</v>
      </c>
      <c r="R5" s="43" t="s">
        <v>334</v>
      </c>
      <c r="S5" s="43" t="s">
        <v>335</v>
      </c>
      <c r="T5" s="43" t="s">
        <v>380</v>
      </c>
      <c r="U5" s="43" t="s">
        <v>303</v>
      </c>
      <c r="V5" s="43" t="s">
        <v>302</v>
      </c>
      <c r="W5" s="43" t="s">
        <v>381</v>
      </c>
      <c r="X5" s="43" t="s">
        <v>382</v>
      </c>
      <c r="Y5" s="43" t="s">
        <v>383</v>
      </c>
      <c r="Z5" s="43" t="s">
        <v>384</v>
      </c>
      <c r="AA5" s="43" t="s">
        <v>385</v>
      </c>
      <c r="AB5" s="43" t="s">
        <v>386</v>
      </c>
      <c r="AC5" s="43" t="s">
        <v>387</v>
      </c>
      <c r="AD5" s="43" t="s">
        <v>388</v>
      </c>
      <c r="AE5" s="43" t="s">
        <v>389</v>
      </c>
      <c r="AF5" s="43" t="s">
        <v>390</v>
      </c>
      <c r="AG5" s="43" t="s">
        <v>391</v>
      </c>
    </row>
    <row r="6" spans="2:33" x14ac:dyDescent="0.2">
      <c r="B6" s="44" t="str">
        <f t="array" ref="B6">IFERROR(INDEX(pbp_PitTeam,MATCH(0,COUNTIF($B$5:B5,pbp_PitTeam),0)),"")</f>
        <v>Toronto Blue Jays</v>
      </c>
      <c r="C6" s="42">
        <f>IF($B6="","",SUMPRODUCT(COUNTIFS(pbp_PlayType,EM_Type,pbp_PitTeam,$B6)*EM_PA))</f>
        <v>48</v>
      </c>
      <c r="D6" s="42">
        <f>IF($B6="","",SUMIFS(pbp_Outs,pbp_PitTeam,$B6))</f>
        <v>33</v>
      </c>
      <c r="E6" s="70">
        <f t="shared" ref="E6:E35" si="0">IF($B6="","",INT(D6/3)+MOD(D6,3)/10)</f>
        <v>11</v>
      </c>
      <c r="F6" s="42">
        <f>IF($B6="","",SUMPRODUCT(COUNTIFS(pbp_PlayType,EM_Type,pbp_PitTeam,$B6)*EM_H))</f>
        <v>11</v>
      </c>
      <c r="G6" s="42">
        <f>IF($B6="","",SUMPRODUCT(COUNTIFS(pbp_PlayType,EM_Type,pbp_PitTeam,$B6)*EM_HR))</f>
        <v>3</v>
      </c>
      <c r="H6" s="42">
        <f>IF($B6="","",SUMPRODUCT(COUNTIFS(pbp_PlayType,EM_Type,pbp_PitTeam,$B6)*EM_BB))</f>
        <v>5</v>
      </c>
      <c r="I6" s="42">
        <f>IF($B6="","",SUMPRODUCT(COUNTIFS(pbp_PlayType,EM_Type,pbp_PitTeam,$B6)*EM_HBP))</f>
        <v>0</v>
      </c>
      <c r="J6" s="42">
        <f>IF($B6="","",COUNTIFS(pbp_PlayType,"?*",pbp_Desc,"*struck out*",pbp_PitTeam,$B6))</f>
        <v>5</v>
      </c>
      <c r="K6" s="42">
        <f>IF($B6="","",SUMIFS(pbp_Runs,pbp_PitTeam,$B6))</f>
        <v>5</v>
      </c>
      <c r="L6" s="42">
        <f>IF($B6="","",SUMPRODUCT(COUNTIFS(pbp_PlayType,EM_Type,pbp_PitTeam,$B6)*EM_AB))</f>
        <v>41</v>
      </c>
      <c r="M6" s="42">
        <f>IF($B6="","",SUMPRODUCT(COUNTIFS(pbp_PlayType,EM_Type,pbp_PitTeam,$B6)*EM_SF))</f>
        <v>2</v>
      </c>
      <c r="N6" s="42">
        <f>IF($B6="","",SUMIFS(pbp_Pitches,pbp_PitTeam,$B6,pbp_PlayType,"?*"))</f>
        <v>172</v>
      </c>
      <c r="O6" s="60">
        <f t="shared" ref="O6:O35" si="1">IF($B6="","",IF((C6)=0,"",(N6)/(C6)))</f>
        <v>3.5833333333333335</v>
      </c>
      <c r="P6" s="59">
        <f>IF($B6="","",IF(C6=0,"",1-SUMPRODUCT((pbp_PitTeam=$B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0.60465116279069764</v>
      </c>
      <c r="Q6" s="59">
        <f>IF($B6="","",IF((SUMPRODUCT((pbp_PitTeam=$B6)*(LEN(pbp_PlayType)&gt;0)))=0,"",(SUMPRODUCT((pbp_PitTeam=$B6)*(LEN(pbp_PlayType)&gt;0)*ISNUMBER(MATCH(LEFT(TRIM(pbp_Seq)&amp;"/",FIND("/",TRIM(pbp_Seq)&amp;"/")-1),{"S","F","FT","FB","IN","MB","POS"},0))))/(SUMPRODUCT((pbp_PitTeam=$B6)*(LEN(pbp_PlayType)&gt;0)))))</f>
        <v>0.625</v>
      </c>
      <c r="R6" s="59">
        <f t="shared" ref="R6:R35" si="2">IF($B6="","",IF((C6)=0,"",(J6)/(C6)))</f>
        <v>0.10416666666666667</v>
      </c>
      <c r="S6" s="59">
        <f t="shared" ref="S6:S35" si="3">IF($B6="","",IF((C6)=0,"",(H6)/(C6)))</f>
        <v>0.10416666666666667</v>
      </c>
      <c r="T6" s="59">
        <f t="shared" ref="T6:T35" si="4">IF($B6="","",IF(C6=0,"",R6-S6))</f>
        <v>0</v>
      </c>
      <c r="U6" s="60">
        <f t="shared" ref="U6:U35" si="5">IF($B6="","",IF((D6)=0,"",(3*(F6+H6))/(D6)))</f>
        <v>1.4545454545454546</v>
      </c>
      <c r="V6" s="60">
        <f t="shared" ref="V6:V35" si="6">IF($B6="","",IF(D6=0,"",(13*G6+3*(H6+I6)-2*J6)/(D6/3)+FIP_C))</f>
        <v>7.1</v>
      </c>
      <c r="W6" s="58">
        <f t="shared" ref="W6:W35" si="7">IF($B6="","",IF((L6)=0,"",(F6)/(L6)))</f>
        <v>0.26829268292682928</v>
      </c>
      <c r="X6" s="58">
        <f t="shared" ref="X6:X35" si="8">IF($B6="","",IF(((L6-J6-G6+M6))=0,"",((F6-G6))/((L6-J6-G6+M6))))</f>
        <v>0.22857142857142856</v>
      </c>
      <c r="Y6" s="58">
        <f t="shared" ref="Y6:Y35" si="9">IF($B6="","",IF((Z6)=0,"",((Z6-(F6-G6)-AA6))/(Z6)))</f>
        <v>0.77142857142857146</v>
      </c>
      <c r="Z6" s="42">
        <f t="shared" ref="Z6:Z35" si="10">IF($B6="","",L6-J6-G6+M6)</f>
        <v>35</v>
      </c>
      <c r="AA6" s="42">
        <f>IF($B6="","",SUMPRODUCT(COUNTIFS(pbp_PlayType,EM_Type,pbp_PitTeam,$B6)*EM_ROE))</f>
        <v>0</v>
      </c>
      <c r="AB6" s="42">
        <f>IF($B6="","",SUMPRODUCT(COUNTIFS(pbp_PlayType,EM_Type,pbp_PitTeam,$B6)*EM_DP))</f>
        <v>1</v>
      </c>
      <c r="AC6" s="42">
        <f>IF($B6="","",SUMIFS(pbp_SB,pbp_PitTeam,$B6))</f>
        <v>0</v>
      </c>
      <c r="AD6" s="42">
        <f>IF($B6="","",SUMIFS(pbp_CS,pbp_PitTeam,$B6))</f>
        <v>0</v>
      </c>
      <c r="AE6" s="59" t="str">
        <f t="shared" ref="AE6:AE35" si="11">IF($B6="","",IF(((AC6+AD6))=0,"",(AD6)/((AC6+AD6))))</f>
        <v/>
      </c>
      <c r="AF6" s="42">
        <f>IF($B6="","",SUMIFS(pbp_WP,pbp_PitTeam,$B6))</f>
        <v>0</v>
      </c>
      <c r="AG6" s="42">
        <f>IF($B6="","",SUMIFS(pbp_PB,pbp_PitTeam,$B6))</f>
        <v>0</v>
      </c>
    </row>
    <row r="7" spans="2:33" x14ac:dyDescent="0.2">
      <c r="B7" s="44" t="str">
        <f t="array" ref="B7">IFERROR(INDEX(pbp_PitTeam,MATCH(0,COUNTIF($B$5:B6,pbp_PitTeam),0)),"")</f>
        <v>Los Angeles Dodgers</v>
      </c>
      <c r="C7" s="42">
        <f>IF($B7="","",SUMPRODUCT(COUNTIFS(pbp_PlayType,EM_Type,pbp_PitTeam,$B7)*EM_PA))</f>
        <v>51</v>
      </c>
      <c r="D7" s="42">
        <f>IF($B7="","",SUMIFS(pbp_Outs,pbp_PitTeam,$B7))</f>
        <v>33</v>
      </c>
      <c r="E7" s="70">
        <f t="shared" si="0"/>
        <v>11</v>
      </c>
      <c r="F7" s="42">
        <f>IF($B7="","",SUMPRODUCT(COUNTIFS(pbp_PlayType,EM_Type,pbp_PitTeam,$B7)*EM_H))</f>
        <v>14</v>
      </c>
      <c r="G7" s="42">
        <f>IF($B7="","",SUMPRODUCT(COUNTIFS(pbp_PlayType,EM_Type,pbp_PitTeam,$B7)*EM_HR))</f>
        <v>1</v>
      </c>
      <c r="H7" s="42">
        <f>IF($B7="","",SUMPRODUCT(COUNTIFS(pbp_PlayType,EM_Type,pbp_PitTeam,$B7)*EM_BB))</f>
        <v>4</v>
      </c>
      <c r="I7" s="42">
        <f>IF($B7="","",SUMPRODUCT(COUNTIFS(pbp_PlayType,EM_Type,pbp_PitTeam,$B7)*EM_HBP))</f>
        <v>2</v>
      </c>
      <c r="J7" s="42">
        <f>IF($B7="","",COUNTIFS(pbp_PlayType,"?*",pbp_Desc,"*struck out*",pbp_PitTeam,$B7))</f>
        <v>12</v>
      </c>
      <c r="K7" s="42">
        <f>IF($B7="","",SUMIFS(pbp_Runs,pbp_PitTeam,$B7))</f>
        <v>4</v>
      </c>
      <c r="L7" s="42">
        <f>IF($B7="","",SUMPRODUCT(COUNTIFS(pbp_PlayType,EM_Type,pbp_PitTeam,$B7)*EM_AB))</f>
        <v>43</v>
      </c>
      <c r="M7" s="42">
        <f>IF($B7="","",SUMPRODUCT(COUNTIFS(pbp_PlayType,EM_Type,pbp_PitTeam,$B7)*EM_SF))</f>
        <v>0</v>
      </c>
      <c r="N7" s="42">
        <f>IF($B7="","",SUMIFS(pbp_Pitches,pbp_PitTeam,$B7,pbp_PlayType,"?*"))</f>
        <v>192</v>
      </c>
      <c r="O7" s="60">
        <f t="shared" si="1"/>
        <v>3.7647058823529411</v>
      </c>
      <c r="P7" s="59">
        <f>IF($B7="","",IF(C7=0,"",1-SUMPRODUCT((pbp_PitTeam=$B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0.61538461538461542</v>
      </c>
      <c r="Q7" s="59">
        <f>IF($B7="","",IF((SUMPRODUCT((pbp_PitTeam=$B7)*(LEN(pbp_PlayType)&gt;0)))=0,"",(SUMPRODUCT((pbp_PitTeam=$B7)*(LEN(pbp_PlayType)&gt;0)*ISNUMBER(MATCH(LEFT(TRIM(pbp_Seq)&amp;"/",FIND("/",TRIM(pbp_Seq)&amp;"/")-1),{"S","F","FT","FB","IN","MB","POS"},0))))/(SUMPRODUCT((pbp_PitTeam=$B7)*(LEN(pbp_PlayType)&gt;0)))))</f>
        <v>0.5490196078431373</v>
      </c>
      <c r="R7" s="59">
        <f t="shared" si="2"/>
        <v>0.23529411764705882</v>
      </c>
      <c r="S7" s="59">
        <f t="shared" si="3"/>
        <v>7.8431372549019607E-2</v>
      </c>
      <c r="T7" s="59">
        <f t="shared" si="4"/>
        <v>0.15686274509803921</v>
      </c>
      <c r="U7" s="60">
        <f t="shared" si="5"/>
        <v>1.6363636363636365</v>
      </c>
      <c r="V7" s="60">
        <f t="shared" si="6"/>
        <v>3.7363636363636363</v>
      </c>
      <c r="W7" s="58">
        <f t="shared" si="7"/>
        <v>0.32558139534883723</v>
      </c>
      <c r="X7" s="58">
        <f t="shared" si="8"/>
        <v>0.43333333333333335</v>
      </c>
      <c r="Y7" s="58">
        <f t="shared" si="9"/>
        <v>0.56666666666666665</v>
      </c>
      <c r="Z7" s="42">
        <f t="shared" si="10"/>
        <v>30</v>
      </c>
      <c r="AA7" s="42">
        <f>IF($B7="","",SUMPRODUCT(COUNTIFS(pbp_PlayType,EM_Type,pbp_PitTeam,$B7)*EM_ROE))</f>
        <v>0</v>
      </c>
      <c r="AB7" s="42">
        <f>IF($B7="","",SUMPRODUCT(COUNTIFS(pbp_PlayType,EM_Type,pbp_PitTeam,$B7)*EM_DP))</f>
        <v>2</v>
      </c>
      <c r="AC7" s="42">
        <f>IF($B7="","",SUMIFS(pbp_SB,pbp_PitTeam,$B7))</f>
        <v>1</v>
      </c>
      <c r="AD7" s="42">
        <f>IF($B7="","",SUMIFS(pbp_CS,pbp_PitTeam,$B7))</f>
        <v>1</v>
      </c>
      <c r="AE7" s="59">
        <f t="shared" si="11"/>
        <v>0.5</v>
      </c>
      <c r="AF7" s="42">
        <f>IF($B7="","",SUMIFS(pbp_WP,pbp_PitTeam,$B7))</f>
        <v>1</v>
      </c>
      <c r="AG7" s="42">
        <f>IF($B7="","",SUMIFS(pbp_PB,pbp_PitTeam,$B7))</f>
        <v>0</v>
      </c>
    </row>
    <row r="8" spans="2:33" x14ac:dyDescent="0.2">
      <c r="B8" s="44" t="str">
        <f t="array" ref="B8">IFERROR(INDEX(pbp_PitTeam,MATCH(0,COUNTIF($B$5:B7,pbp_PitTeam),0)),"")</f>
        <v/>
      </c>
      <c r="C8" s="42" t="str">
        <f>IF($B8="","",SUMPRODUCT(COUNTIFS(pbp_PlayType,EM_Type,pbp_PitTeam,$B8)*EM_PA))</f>
        <v/>
      </c>
      <c r="D8" s="42" t="str">
        <f>IF($B8="","",SUMIFS(pbp_Outs,pbp_PitTeam,$B8))</f>
        <v/>
      </c>
      <c r="E8" s="70" t="str">
        <f t="shared" si="0"/>
        <v/>
      </c>
      <c r="F8" s="42" t="str">
        <f>IF($B8="","",SUMPRODUCT(COUNTIFS(pbp_PlayType,EM_Type,pbp_PitTeam,$B8)*EM_H))</f>
        <v/>
      </c>
      <c r="G8" s="42" t="str">
        <f>IF($B8="","",SUMPRODUCT(COUNTIFS(pbp_PlayType,EM_Type,pbp_PitTeam,$B8)*EM_HR))</f>
        <v/>
      </c>
      <c r="H8" s="42" t="str">
        <f>IF($B8="","",SUMPRODUCT(COUNTIFS(pbp_PlayType,EM_Type,pbp_PitTeam,$B8)*EM_BB))</f>
        <v/>
      </c>
      <c r="I8" s="42" t="str">
        <f>IF($B8="","",SUMPRODUCT(COUNTIFS(pbp_PlayType,EM_Type,pbp_PitTeam,$B8)*EM_HBP))</f>
        <v/>
      </c>
      <c r="J8" s="42" t="str">
        <f>IF($B8="","",COUNTIFS(pbp_PlayType,"?*",pbp_Desc,"*struck out*",pbp_PitTeam,$B8))</f>
        <v/>
      </c>
      <c r="K8" s="42" t="str">
        <f>IF($B8="","",SUMIFS(pbp_Runs,pbp_PitTeam,$B8))</f>
        <v/>
      </c>
      <c r="L8" s="42" t="str">
        <f>IF($B8="","",SUMPRODUCT(COUNTIFS(pbp_PlayType,EM_Type,pbp_PitTeam,$B8)*EM_AB))</f>
        <v/>
      </c>
      <c r="M8" s="42" t="str">
        <f>IF($B8="","",SUMPRODUCT(COUNTIFS(pbp_PlayType,EM_Type,pbp_PitTeam,$B8)*EM_SF))</f>
        <v/>
      </c>
      <c r="N8" s="42" t="str">
        <f>IF($B8="","",SUMIFS(pbp_Pitches,pbp_PitTeam,$B8,pbp_PlayType,"?*"))</f>
        <v/>
      </c>
      <c r="O8" s="60" t="str">
        <f t="shared" si="1"/>
        <v/>
      </c>
      <c r="P8" s="59" t="str">
        <f>IF($B8="","",IF(C8=0,"",1-SUMPRODUCT((pbp_PitTeam=$B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8" s="59" t="str">
        <f>IF($B8="","",IF((SUMPRODUCT((pbp_PitTeam=$B8)*(LEN(pbp_PlayType)&gt;0)))=0,"",(SUMPRODUCT((pbp_PitTeam=$B8)*(LEN(pbp_PlayType)&gt;0)*ISNUMBER(MATCH(LEFT(TRIM(pbp_Seq)&amp;"/",FIND("/",TRIM(pbp_Seq)&amp;"/")-1),{"S","F","FT","FB","IN","MB","POS"},0))))/(SUMPRODUCT((pbp_PitTeam=$B8)*(LEN(pbp_PlayType)&gt;0)))))</f>
        <v/>
      </c>
      <c r="R8" s="59" t="str">
        <f t="shared" si="2"/>
        <v/>
      </c>
      <c r="S8" s="59" t="str">
        <f t="shared" si="3"/>
        <v/>
      </c>
      <c r="T8" s="59" t="str">
        <f t="shared" si="4"/>
        <v/>
      </c>
      <c r="U8" s="60" t="str">
        <f t="shared" si="5"/>
        <v/>
      </c>
      <c r="V8" s="60" t="str">
        <f t="shared" si="6"/>
        <v/>
      </c>
      <c r="W8" s="58" t="str">
        <f t="shared" si="7"/>
        <v/>
      </c>
      <c r="X8" s="58" t="str">
        <f t="shared" si="8"/>
        <v/>
      </c>
      <c r="Y8" s="58" t="str">
        <f t="shared" si="9"/>
        <v/>
      </c>
      <c r="Z8" s="42" t="str">
        <f t="shared" si="10"/>
        <v/>
      </c>
      <c r="AA8" s="42" t="str">
        <f>IF($B8="","",SUMPRODUCT(COUNTIFS(pbp_PlayType,EM_Type,pbp_PitTeam,$B8)*EM_ROE))</f>
        <v/>
      </c>
      <c r="AB8" s="42" t="str">
        <f>IF($B8="","",SUMPRODUCT(COUNTIFS(pbp_PlayType,EM_Type,pbp_PitTeam,$B8)*EM_DP))</f>
        <v/>
      </c>
      <c r="AC8" s="42" t="str">
        <f>IF($B8="","",SUMIFS(pbp_SB,pbp_PitTeam,$B8))</f>
        <v/>
      </c>
      <c r="AD8" s="42" t="str">
        <f>IF($B8="","",SUMIFS(pbp_CS,pbp_PitTeam,$B8))</f>
        <v/>
      </c>
      <c r="AE8" s="59" t="str">
        <f t="shared" si="11"/>
        <v/>
      </c>
      <c r="AF8" s="42" t="str">
        <f>IF($B8="","",SUMIFS(pbp_WP,pbp_PitTeam,$B8))</f>
        <v/>
      </c>
      <c r="AG8" s="42" t="str">
        <f>IF($B8="","",SUMIFS(pbp_PB,pbp_PitTeam,$B8))</f>
        <v/>
      </c>
    </row>
    <row r="9" spans="2:33" x14ac:dyDescent="0.2">
      <c r="B9" s="44" t="str">
        <f t="array" ref="B9">IFERROR(INDEX(pbp_PitTeam,MATCH(0,COUNTIF($B$5:B8,pbp_PitTeam),0)),"")</f>
        <v/>
      </c>
      <c r="C9" s="42" t="str">
        <f>IF($B9="","",SUMPRODUCT(COUNTIFS(pbp_PlayType,EM_Type,pbp_PitTeam,$B9)*EM_PA))</f>
        <v/>
      </c>
      <c r="D9" s="42" t="str">
        <f>IF($B9="","",SUMIFS(pbp_Outs,pbp_PitTeam,$B9))</f>
        <v/>
      </c>
      <c r="E9" s="70" t="str">
        <f t="shared" si="0"/>
        <v/>
      </c>
      <c r="F9" s="42" t="str">
        <f>IF($B9="","",SUMPRODUCT(COUNTIFS(pbp_PlayType,EM_Type,pbp_PitTeam,$B9)*EM_H))</f>
        <v/>
      </c>
      <c r="G9" s="42" t="str">
        <f>IF($B9="","",SUMPRODUCT(COUNTIFS(pbp_PlayType,EM_Type,pbp_PitTeam,$B9)*EM_HR))</f>
        <v/>
      </c>
      <c r="H9" s="42" t="str">
        <f>IF($B9="","",SUMPRODUCT(COUNTIFS(pbp_PlayType,EM_Type,pbp_PitTeam,$B9)*EM_BB))</f>
        <v/>
      </c>
      <c r="I9" s="42" t="str">
        <f>IF($B9="","",SUMPRODUCT(COUNTIFS(pbp_PlayType,EM_Type,pbp_PitTeam,$B9)*EM_HBP))</f>
        <v/>
      </c>
      <c r="J9" s="42" t="str">
        <f>IF($B9="","",COUNTIFS(pbp_PlayType,"?*",pbp_Desc,"*struck out*",pbp_PitTeam,$B9))</f>
        <v/>
      </c>
      <c r="K9" s="42" t="str">
        <f>IF($B9="","",SUMIFS(pbp_Runs,pbp_PitTeam,$B9))</f>
        <v/>
      </c>
      <c r="L9" s="42" t="str">
        <f>IF($B9="","",SUMPRODUCT(COUNTIFS(pbp_PlayType,EM_Type,pbp_PitTeam,$B9)*EM_AB))</f>
        <v/>
      </c>
      <c r="M9" s="42" t="str">
        <f>IF($B9="","",SUMPRODUCT(COUNTIFS(pbp_PlayType,EM_Type,pbp_PitTeam,$B9)*EM_SF))</f>
        <v/>
      </c>
      <c r="N9" s="42" t="str">
        <f>IF($B9="","",SUMIFS(pbp_Pitches,pbp_PitTeam,$B9,pbp_PlayType,"?*"))</f>
        <v/>
      </c>
      <c r="O9" s="60" t="str">
        <f t="shared" si="1"/>
        <v/>
      </c>
      <c r="P9" s="59" t="str">
        <f>IF($B9="","",IF(C9=0,"",1-SUMPRODUCT((pbp_PitTeam=$B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9" s="59" t="str">
        <f>IF($B9="","",IF((SUMPRODUCT((pbp_PitTeam=$B9)*(LEN(pbp_PlayType)&gt;0)))=0,"",(SUMPRODUCT((pbp_PitTeam=$B9)*(LEN(pbp_PlayType)&gt;0)*ISNUMBER(MATCH(LEFT(TRIM(pbp_Seq)&amp;"/",FIND("/",TRIM(pbp_Seq)&amp;"/")-1),{"S","F","FT","FB","IN","MB","POS"},0))))/(SUMPRODUCT((pbp_PitTeam=$B9)*(LEN(pbp_PlayType)&gt;0)))))</f>
        <v/>
      </c>
      <c r="R9" s="59" t="str">
        <f t="shared" si="2"/>
        <v/>
      </c>
      <c r="S9" s="59" t="str">
        <f t="shared" si="3"/>
        <v/>
      </c>
      <c r="T9" s="59" t="str">
        <f t="shared" si="4"/>
        <v/>
      </c>
      <c r="U9" s="60" t="str">
        <f t="shared" si="5"/>
        <v/>
      </c>
      <c r="V9" s="60" t="str">
        <f t="shared" si="6"/>
        <v/>
      </c>
      <c r="W9" s="58" t="str">
        <f t="shared" si="7"/>
        <v/>
      </c>
      <c r="X9" s="58" t="str">
        <f t="shared" si="8"/>
        <v/>
      </c>
      <c r="Y9" s="58" t="str">
        <f t="shared" si="9"/>
        <v/>
      </c>
      <c r="Z9" s="42" t="str">
        <f t="shared" si="10"/>
        <v/>
      </c>
      <c r="AA9" s="42" t="str">
        <f>IF($B9="","",SUMPRODUCT(COUNTIFS(pbp_PlayType,EM_Type,pbp_PitTeam,$B9)*EM_ROE))</f>
        <v/>
      </c>
      <c r="AB9" s="42" t="str">
        <f>IF($B9="","",SUMPRODUCT(COUNTIFS(pbp_PlayType,EM_Type,pbp_PitTeam,$B9)*EM_DP))</f>
        <v/>
      </c>
      <c r="AC9" s="42" t="str">
        <f>IF($B9="","",SUMIFS(pbp_SB,pbp_PitTeam,$B9))</f>
        <v/>
      </c>
      <c r="AD9" s="42" t="str">
        <f>IF($B9="","",SUMIFS(pbp_CS,pbp_PitTeam,$B9))</f>
        <v/>
      </c>
      <c r="AE9" s="59" t="str">
        <f t="shared" si="11"/>
        <v/>
      </c>
      <c r="AF9" s="42" t="str">
        <f>IF($B9="","",SUMIFS(pbp_WP,pbp_PitTeam,$B9))</f>
        <v/>
      </c>
      <c r="AG9" s="42" t="str">
        <f>IF($B9="","",SUMIFS(pbp_PB,pbp_PitTeam,$B9))</f>
        <v/>
      </c>
    </row>
    <row r="10" spans="2:33" x14ac:dyDescent="0.2">
      <c r="B10" s="44" t="str">
        <f t="array" ref="B10">IFERROR(INDEX(pbp_PitTeam,MATCH(0,COUNTIF($B$5:B9,pbp_PitTeam),0)),"")</f>
        <v/>
      </c>
      <c r="C10" s="42" t="str">
        <f>IF($B10="","",SUMPRODUCT(COUNTIFS(pbp_PlayType,EM_Type,pbp_PitTeam,$B10)*EM_PA))</f>
        <v/>
      </c>
      <c r="D10" s="42" t="str">
        <f>IF($B10="","",SUMIFS(pbp_Outs,pbp_PitTeam,$B10))</f>
        <v/>
      </c>
      <c r="E10" s="70" t="str">
        <f t="shared" si="0"/>
        <v/>
      </c>
      <c r="F10" s="42" t="str">
        <f>IF($B10="","",SUMPRODUCT(COUNTIFS(pbp_PlayType,EM_Type,pbp_PitTeam,$B10)*EM_H))</f>
        <v/>
      </c>
      <c r="G10" s="42" t="str">
        <f>IF($B10="","",SUMPRODUCT(COUNTIFS(pbp_PlayType,EM_Type,pbp_PitTeam,$B10)*EM_HR))</f>
        <v/>
      </c>
      <c r="H10" s="42" t="str">
        <f>IF($B10="","",SUMPRODUCT(COUNTIFS(pbp_PlayType,EM_Type,pbp_PitTeam,$B10)*EM_BB))</f>
        <v/>
      </c>
      <c r="I10" s="42" t="str">
        <f>IF($B10="","",SUMPRODUCT(COUNTIFS(pbp_PlayType,EM_Type,pbp_PitTeam,$B10)*EM_HBP))</f>
        <v/>
      </c>
      <c r="J10" s="42" t="str">
        <f>IF($B10="","",COUNTIFS(pbp_PlayType,"?*",pbp_Desc,"*struck out*",pbp_PitTeam,$B10))</f>
        <v/>
      </c>
      <c r="K10" s="42" t="str">
        <f>IF($B10="","",SUMIFS(pbp_Runs,pbp_PitTeam,$B10))</f>
        <v/>
      </c>
      <c r="L10" s="42" t="str">
        <f>IF($B10="","",SUMPRODUCT(COUNTIFS(pbp_PlayType,EM_Type,pbp_PitTeam,$B10)*EM_AB))</f>
        <v/>
      </c>
      <c r="M10" s="42" t="str">
        <f>IF($B10="","",SUMPRODUCT(COUNTIFS(pbp_PlayType,EM_Type,pbp_PitTeam,$B10)*EM_SF))</f>
        <v/>
      </c>
      <c r="N10" s="42" t="str">
        <f>IF($B10="","",SUMIFS(pbp_Pitches,pbp_PitTeam,$B10,pbp_PlayType,"?*"))</f>
        <v/>
      </c>
      <c r="O10" s="60" t="str">
        <f t="shared" si="1"/>
        <v/>
      </c>
      <c r="P10" s="59" t="str">
        <f>IF($B10="","",IF(C10=0,"",1-SUMPRODUCT((pbp_PitTeam=$B10)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10)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10" s="59" t="str">
        <f>IF($B10="","",IF((SUMPRODUCT((pbp_PitTeam=$B10)*(LEN(pbp_PlayType)&gt;0)))=0,"",(SUMPRODUCT((pbp_PitTeam=$B10)*(LEN(pbp_PlayType)&gt;0)*ISNUMBER(MATCH(LEFT(TRIM(pbp_Seq)&amp;"/",FIND("/",TRIM(pbp_Seq)&amp;"/")-1),{"S","F","FT","FB","IN","MB","POS"},0))))/(SUMPRODUCT((pbp_PitTeam=$B10)*(LEN(pbp_PlayType)&gt;0)))))</f>
        <v/>
      </c>
      <c r="R10" s="59" t="str">
        <f t="shared" si="2"/>
        <v/>
      </c>
      <c r="S10" s="59" t="str">
        <f t="shared" si="3"/>
        <v/>
      </c>
      <c r="T10" s="59" t="str">
        <f t="shared" si="4"/>
        <v/>
      </c>
      <c r="U10" s="60" t="str">
        <f t="shared" si="5"/>
        <v/>
      </c>
      <c r="V10" s="60" t="str">
        <f t="shared" si="6"/>
        <v/>
      </c>
      <c r="W10" s="58" t="str">
        <f t="shared" si="7"/>
        <v/>
      </c>
      <c r="X10" s="58" t="str">
        <f t="shared" si="8"/>
        <v/>
      </c>
      <c r="Y10" s="58" t="str">
        <f t="shared" si="9"/>
        <v/>
      </c>
      <c r="Z10" s="42" t="str">
        <f t="shared" si="10"/>
        <v/>
      </c>
      <c r="AA10" s="42" t="str">
        <f>IF($B10="","",SUMPRODUCT(COUNTIFS(pbp_PlayType,EM_Type,pbp_PitTeam,$B10)*EM_ROE))</f>
        <v/>
      </c>
      <c r="AB10" s="42" t="str">
        <f>IF($B10="","",SUMPRODUCT(COUNTIFS(pbp_PlayType,EM_Type,pbp_PitTeam,$B10)*EM_DP))</f>
        <v/>
      </c>
      <c r="AC10" s="42" t="str">
        <f>IF($B10="","",SUMIFS(pbp_SB,pbp_PitTeam,$B10))</f>
        <v/>
      </c>
      <c r="AD10" s="42" t="str">
        <f>IF($B10="","",SUMIFS(pbp_CS,pbp_PitTeam,$B10))</f>
        <v/>
      </c>
      <c r="AE10" s="59" t="str">
        <f t="shared" si="11"/>
        <v/>
      </c>
      <c r="AF10" s="42" t="str">
        <f>IF($B10="","",SUMIFS(pbp_WP,pbp_PitTeam,$B10))</f>
        <v/>
      </c>
      <c r="AG10" s="42" t="str">
        <f>IF($B10="","",SUMIFS(pbp_PB,pbp_PitTeam,$B10))</f>
        <v/>
      </c>
    </row>
    <row r="11" spans="2:33" x14ac:dyDescent="0.2">
      <c r="B11" s="44" t="str">
        <f t="array" ref="B11">IFERROR(INDEX(pbp_PitTeam,MATCH(0,COUNTIF($B$5:B10,pbp_PitTeam),0)),"")</f>
        <v/>
      </c>
      <c r="C11" s="42" t="str">
        <f>IF($B11="","",SUMPRODUCT(COUNTIFS(pbp_PlayType,EM_Type,pbp_PitTeam,$B11)*EM_PA))</f>
        <v/>
      </c>
      <c r="D11" s="42" t="str">
        <f>IF($B11="","",SUMIFS(pbp_Outs,pbp_PitTeam,$B11))</f>
        <v/>
      </c>
      <c r="E11" s="70" t="str">
        <f t="shared" si="0"/>
        <v/>
      </c>
      <c r="F11" s="42" t="str">
        <f>IF($B11="","",SUMPRODUCT(COUNTIFS(pbp_PlayType,EM_Type,pbp_PitTeam,$B11)*EM_H))</f>
        <v/>
      </c>
      <c r="G11" s="42" t="str">
        <f>IF($B11="","",SUMPRODUCT(COUNTIFS(pbp_PlayType,EM_Type,pbp_PitTeam,$B11)*EM_HR))</f>
        <v/>
      </c>
      <c r="H11" s="42" t="str">
        <f>IF($B11="","",SUMPRODUCT(COUNTIFS(pbp_PlayType,EM_Type,pbp_PitTeam,$B11)*EM_BB))</f>
        <v/>
      </c>
      <c r="I11" s="42" t="str">
        <f>IF($B11="","",SUMPRODUCT(COUNTIFS(pbp_PlayType,EM_Type,pbp_PitTeam,$B11)*EM_HBP))</f>
        <v/>
      </c>
      <c r="J11" s="42" t="str">
        <f>IF($B11="","",COUNTIFS(pbp_PlayType,"?*",pbp_Desc,"*struck out*",pbp_PitTeam,$B11))</f>
        <v/>
      </c>
      <c r="K11" s="42" t="str">
        <f>IF($B11="","",SUMIFS(pbp_Runs,pbp_PitTeam,$B11))</f>
        <v/>
      </c>
      <c r="L11" s="42" t="str">
        <f>IF($B11="","",SUMPRODUCT(COUNTIFS(pbp_PlayType,EM_Type,pbp_PitTeam,$B11)*EM_AB))</f>
        <v/>
      </c>
      <c r="M11" s="42" t="str">
        <f>IF($B11="","",SUMPRODUCT(COUNTIFS(pbp_PlayType,EM_Type,pbp_PitTeam,$B11)*EM_SF))</f>
        <v/>
      </c>
      <c r="N11" s="42" t="str">
        <f>IF($B11="","",SUMIFS(pbp_Pitches,pbp_PitTeam,$B11,pbp_PlayType,"?*"))</f>
        <v/>
      </c>
      <c r="O11" s="60" t="str">
        <f t="shared" si="1"/>
        <v/>
      </c>
      <c r="P11" s="59" t="str">
        <f>IF($B11="","",IF(C11=0,"",1-SUMPRODUCT((pbp_PitTeam=$B11)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11)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11" s="59" t="str">
        <f>IF($B11="","",IF((SUMPRODUCT((pbp_PitTeam=$B11)*(LEN(pbp_PlayType)&gt;0)))=0,"",(SUMPRODUCT((pbp_PitTeam=$B11)*(LEN(pbp_PlayType)&gt;0)*ISNUMBER(MATCH(LEFT(TRIM(pbp_Seq)&amp;"/",FIND("/",TRIM(pbp_Seq)&amp;"/")-1),{"S","F","FT","FB","IN","MB","POS"},0))))/(SUMPRODUCT((pbp_PitTeam=$B11)*(LEN(pbp_PlayType)&gt;0)))))</f>
        <v/>
      </c>
      <c r="R11" s="59" t="str">
        <f t="shared" si="2"/>
        <v/>
      </c>
      <c r="S11" s="59" t="str">
        <f t="shared" si="3"/>
        <v/>
      </c>
      <c r="T11" s="59" t="str">
        <f t="shared" si="4"/>
        <v/>
      </c>
      <c r="U11" s="60" t="str">
        <f t="shared" si="5"/>
        <v/>
      </c>
      <c r="V11" s="60" t="str">
        <f t="shared" si="6"/>
        <v/>
      </c>
      <c r="W11" s="58" t="str">
        <f t="shared" si="7"/>
        <v/>
      </c>
      <c r="X11" s="58" t="str">
        <f t="shared" si="8"/>
        <v/>
      </c>
      <c r="Y11" s="58" t="str">
        <f t="shared" si="9"/>
        <v/>
      </c>
      <c r="Z11" s="42" t="str">
        <f t="shared" si="10"/>
        <v/>
      </c>
      <c r="AA11" s="42" t="str">
        <f>IF($B11="","",SUMPRODUCT(COUNTIFS(pbp_PlayType,EM_Type,pbp_PitTeam,$B11)*EM_ROE))</f>
        <v/>
      </c>
      <c r="AB11" s="42" t="str">
        <f>IF($B11="","",SUMPRODUCT(COUNTIFS(pbp_PlayType,EM_Type,pbp_PitTeam,$B11)*EM_DP))</f>
        <v/>
      </c>
      <c r="AC11" s="42" t="str">
        <f>IF($B11="","",SUMIFS(pbp_SB,pbp_PitTeam,$B11))</f>
        <v/>
      </c>
      <c r="AD11" s="42" t="str">
        <f>IF($B11="","",SUMIFS(pbp_CS,pbp_PitTeam,$B11))</f>
        <v/>
      </c>
      <c r="AE11" s="59" t="str">
        <f t="shared" si="11"/>
        <v/>
      </c>
      <c r="AF11" s="42" t="str">
        <f>IF($B11="","",SUMIFS(pbp_WP,pbp_PitTeam,$B11))</f>
        <v/>
      </c>
      <c r="AG11" s="42" t="str">
        <f>IF($B11="","",SUMIFS(pbp_PB,pbp_PitTeam,$B11))</f>
        <v/>
      </c>
    </row>
    <row r="12" spans="2:33" x14ac:dyDescent="0.2">
      <c r="B12" s="44" t="str">
        <f t="array" ref="B12">IFERROR(INDEX(pbp_PitTeam,MATCH(0,COUNTIF($B$5:B11,pbp_PitTeam),0)),"")</f>
        <v/>
      </c>
      <c r="C12" s="42" t="str">
        <f>IF($B12="","",SUMPRODUCT(COUNTIFS(pbp_PlayType,EM_Type,pbp_PitTeam,$B12)*EM_PA))</f>
        <v/>
      </c>
      <c r="D12" s="42" t="str">
        <f>IF($B12="","",SUMIFS(pbp_Outs,pbp_PitTeam,$B12))</f>
        <v/>
      </c>
      <c r="E12" s="70" t="str">
        <f t="shared" si="0"/>
        <v/>
      </c>
      <c r="F12" s="42" t="str">
        <f>IF($B12="","",SUMPRODUCT(COUNTIFS(pbp_PlayType,EM_Type,pbp_PitTeam,$B12)*EM_H))</f>
        <v/>
      </c>
      <c r="G12" s="42" t="str">
        <f>IF($B12="","",SUMPRODUCT(COUNTIFS(pbp_PlayType,EM_Type,pbp_PitTeam,$B12)*EM_HR))</f>
        <v/>
      </c>
      <c r="H12" s="42" t="str">
        <f>IF($B12="","",SUMPRODUCT(COUNTIFS(pbp_PlayType,EM_Type,pbp_PitTeam,$B12)*EM_BB))</f>
        <v/>
      </c>
      <c r="I12" s="42" t="str">
        <f>IF($B12="","",SUMPRODUCT(COUNTIFS(pbp_PlayType,EM_Type,pbp_PitTeam,$B12)*EM_HBP))</f>
        <v/>
      </c>
      <c r="J12" s="42" t="str">
        <f>IF($B12="","",COUNTIFS(pbp_PlayType,"?*",pbp_Desc,"*struck out*",pbp_PitTeam,$B12))</f>
        <v/>
      </c>
      <c r="K12" s="42" t="str">
        <f>IF($B12="","",SUMIFS(pbp_Runs,pbp_PitTeam,$B12))</f>
        <v/>
      </c>
      <c r="L12" s="42" t="str">
        <f>IF($B12="","",SUMPRODUCT(COUNTIFS(pbp_PlayType,EM_Type,pbp_PitTeam,$B12)*EM_AB))</f>
        <v/>
      </c>
      <c r="M12" s="42" t="str">
        <f>IF($B12="","",SUMPRODUCT(COUNTIFS(pbp_PlayType,EM_Type,pbp_PitTeam,$B12)*EM_SF))</f>
        <v/>
      </c>
      <c r="N12" s="42" t="str">
        <f>IF($B12="","",SUMIFS(pbp_Pitches,pbp_PitTeam,$B12,pbp_PlayType,"?*"))</f>
        <v/>
      </c>
      <c r="O12" s="60" t="str">
        <f t="shared" si="1"/>
        <v/>
      </c>
      <c r="P12" s="59" t="str">
        <f>IF($B12="","",IF(C12=0,"",1-SUMPRODUCT((pbp_PitTeam=$B12)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12)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12" s="59" t="str">
        <f>IF($B12="","",IF((SUMPRODUCT((pbp_PitTeam=$B12)*(LEN(pbp_PlayType)&gt;0)))=0,"",(SUMPRODUCT((pbp_PitTeam=$B12)*(LEN(pbp_PlayType)&gt;0)*ISNUMBER(MATCH(LEFT(TRIM(pbp_Seq)&amp;"/",FIND("/",TRIM(pbp_Seq)&amp;"/")-1),{"S","F","FT","FB","IN","MB","POS"},0))))/(SUMPRODUCT((pbp_PitTeam=$B12)*(LEN(pbp_PlayType)&gt;0)))))</f>
        <v/>
      </c>
      <c r="R12" s="59" t="str">
        <f t="shared" si="2"/>
        <v/>
      </c>
      <c r="S12" s="59" t="str">
        <f t="shared" si="3"/>
        <v/>
      </c>
      <c r="T12" s="59" t="str">
        <f t="shared" si="4"/>
        <v/>
      </c>
      <c r="U12" s="60" t="str">
        <f t="shared" si="5"/>
        <v/>
      </c>
      <c r="V12" s="60" t="str">
        <f t="shared" si="6"/>
        <v/>
      </c>
      <c r="W12" s="58" t="str">
        <f t="shared" si="7"/>
        <v/>
      </c>
      <c r="X12" s="58" t="str">
        <f t="shared" si="8"/>
        <v/>
      </c>
      <c r="Y12" s="58" t="str">
        <f t="shared" si="9"/>
        <v/>
      </c>
      <c r="Z12" s="42" t="str">
        <f t="shared" si="10"/>
        <v/>
      </c>
      <c r="AA12" s="42" t="str">
        <f>IF($B12="","",SUMPRODUCT(COUNTIFS(pbp_PlayType,EM_Type,pbp_PitTeam,$B12)*EM_ROE))</f>
        <v/>
      </c>
      <c r="AB12" s="42" t="str">
        <f>IF($B12="","",SUMPRODUCT(COUNTIFS(pbp_PlayType,EM_Type,pbp_PitTeam,$B12)*EM_DP))</f>
        <v/>
      </c>
      <c r="AC12" s="42" t="str">
        <f>IF($B12="","",SUMIFS(pbp_SB,pbp_PitTeam,$B12))</f>
        <v/>
      </c>
      <c r="AD12" s="42" t="str">
        <f>IF($B12="","",SUMIFS(pbp_CS,pbp_PitTeam,$B12))</f>
        <v/>
      </c>
      <c r="AE12" s="59" t="str">
        <f t="shared" si="11"/>
        <v/>
      </c>
      <c r="AF12" s="42" t="str">
        <f>IF($B12="","",SUMIFS(pbp_WP,pbp_PitTeam,$B12))</f>
        <v/>
      </c>
      <c r="AG12" s="42" t="str">
        <f>IF($B12="","",SUMIFS(pbp_PB,pbp_PitTeam,$B12))</f>
        <v/>
      </c>
    </row>
    <row r="13" spans="2:33" x14ac:dyDescent="0.2">
      <c r="B13" s="44" t="str">
        <f t="array" ref="B13">IFERROR(INDEX(pbp_PitTeam,MATCH(0,COUNTIF($B$5:B12,pbp_PitTeam),0)),"")</f>
        <v/>
      </c>
      <c r="C13" s="42" t="str">
        <f>IF($B13="","",SUMPRODUCT(COUNTIFS(pbp_PlayType,EM_Type,pbp_PitTeam,$B13)*EM_PA))</f>
        <v/>
      </c>
      <c r="D13" s="42" t="str">
        <f>IF($B13="","",SUMIFS(pbp_Outs,pbp_PitTeam,$B13))</f>
        <v/>
      </c>
      <c r="E13" s="70" t="str">
        <f t="shared" si="0"/>
        <v/>
      </c>
      <c r="F13" s="42" t="str">
        <f>IF($B13="","",SUMPRODUCT(COUNTIFS(pbp_PlayType,EM_Type,pbp_PitTeam,$B13)*EM_H))</f>
        <v/>
      </c>
      <c r="G13" s="42" t="str">
        <f>IF($B13="","",SUMPRODUCT(COUNTIFS(pbp_PlayType,EM_Type,pbp_PitTeam,$B13)*EM_HR))</f>
        <v/>
      </c>
      <c r="H13" s="42" t="str">
        <f>IF($B13="","",SUMPRODUCT(COUNTIFS(pbp_PlayType,EM_Type,pbp_PitTeam,$B13)*EM_BB))</f>
        <v/>
      </c>
      <c r="I13" s="42" t="str">
        <f>IF($B13="","",SUMPRODUCT(COUNTIFS(pbp_PlayType,EM_Type,pbp_PitTeam,$B13)*EM_HBP))</f>
        <v/>
      </c>
      <c r="J13" s="42" t="str">
        <f>IF($B13="","",COUNTIFS(pbp_PlayType,"?*",pbp_Desc,"*struck out*",pbp_PitTeam,$B13))</f>
        <v/>
      </c>
      <c r="K13" s="42" t="str">
        <f>IF($B13="","",SUMIFS(pbp_Runs,pbp_PitTeam,$B13))</f>
        <v/>
      </c>
      <c r="L13" s="42" t="str">
        <f>IF($B13="","",SUMPRODUCT(COUNTIFS(pbp_PlayType,EM_Type,pbp_PitTeam,$B13)*EM_AB))</f>
        <v/>
      </c>
      <c r="M13" s="42" t="str">
        <f>IF($B13="","",SUMPRODUCT(COUNTIFS(pbp_PlayType,EM_Type,pbp_PitTeam,$B13)*EM_SF))</f>
        <v/>
      </c>
      <c r="N13" s="42" t="str">
        <f>IF($B13="","",SUMIFS(pbp_Pitches,pbp_PitTeam,$B13,pbp_PlayType,"?*"))</f>
        <v/>
      </c>
      <c r="O13" s="60" t="str">
        <f t="shared" si="1"/>
        <v/>
      </c>
      <c r="P13" s="59" t="str">
        <f>IF($B13="","",IF(C13=0,"",1-SUMPRODUCT((pbp_PitTeam=$B13)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13)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13" s="59" t="str">
        <f>IF($B13="","",IF((SUMPRODUCT((pbp_PitTeam=$B13)*(LEN(pbp_PlayType)&gt;0)))=0,"",(SUMPRODUCT((pbp_PitTeam=$B13)*(LEN(pbp_PlayType)&gt;0)*ISNUMBER(MATCH(LEFT(TRIM(pbp_Seq)&amp;"/",FIND("/",TRIM(pbp_Seq)&amp;"/")-1),{"S","F","FT","FB","IN","MB","POS"},0))))/(SUMPRODUCT((pbp_PitTeam=$B13)*(LEN(pbp_PlayType)&gt;0)))))</f>
        <v/>
      </c>
      <c r="R13" s="59" t="str">
        <f t="shared" si="2"/>
        <v/>
      </c>
      <c r="S13" s="59" t="str">
        <f t="shared" si="3"/>
        <v/>
      </c>
      <c r="T13" s="59" t="str">
        <f t="shared" si="4"/>
        <v/>
      </c>
      <c r="U13" s="60" t="str">
        <f t="shared" si="5"/>
        <v/>
      </c>
      <c r="V13" s="60" t="str">
        <f t="shared" si="6"/>
        <v/>
      </c>
      <c r="W13" s="58" t="str">
        <f t="shared" si="7"/>
        <v/>
      </c>
      <c r="X13" s="58" t="str">
        <f t="shared" si="8"/>
        <v/>
      </c>
      <c r="Y13" s="58" t="str">
        <f t="shared" si="9"/>
        <v/>
      </c>
      <c r="Z13" s="42" t="str">
        <f t="shared" si="10"/>
        <v/>
      </c>
      <c r="AA13" s="42" t="str">
        <f>IF($B13="","",SUMPRODUCT(COUNTIFS(pbp_PlayType,EM_Type,pbp_PitTeam,$B13)*EM_ROE))</f>
        <v/>
      </c>
      <c r="AB13" s="42" t="str">
        <f>IF($B13="","",SUMPRODUCT(COUNTIFS(pbp_PlayType,EM_Type,pbp_PitTeam,$B13)*EM_DP))</f>
        <v/>
      </c>
      <c r="AC13" s="42" t="str">
        <f>IF($B13="","",SUMIFS(pbp_SB,pbp_PitTeam,$B13))</f>
        <v/>
      </c>
      <c r="AD13" s="42" t="str">
        <f>IF($B13="","",SUMIFS(pbp_CS,pbp_PitTeam,$B13))</f>
        <v/>
      </c>
      <c r="AE13" s="59" t="str">
        <f t="shared" si="11"/>
        <v/>
      </c>
      <c r="AF13" s="42" t="str">
        <f>IF($B13="","",SUMIFS(pbp_WP,pbp_PitTeam,$B13))</f>
        <v/>
      </c>
      <c r="AG13" s="42" t="str">
        <f>IF($B13="","",SUMIFS(pbp_PB,pbp_PitTeam,$B13))</f>
        <v/>
      </c>
    </row>
    <row r="14" spans="2:33" x14ac:dyDescent="0.2">
      <c r="B14" s="44" t="str">
        <f t="array" ref="B14">IFERROR(INDEX(pbp_PitTeam,MATCH(0,COUNTIF($B$5:B13,pbp_PitTeam),0)),"")</f>
        <v/>
      </c>
      <c r="C14" s="42" t="str">
        <f>IF($B14="","",SUMPRODUCT(COUNTIFS(pbp_PlayType,EM_Type,pbp_PitTeam,$B14)*EM_PA))</f>
        <v/>
      </c>
      <c r="D14" s="42" t="str">
        <f>IF($B14="","",SUMIFS(pbp_Outs,pbp_PitTeam,$B14))</f>
        <v/>
      </c>
      <c r="E14" s="70" t="str">
        <f t="shared" si="0"/>
        <v/>
      </c>
      <c r="F14" s="42" t="str">
        <f>IF($B14="","",SUMPRODUCT(COUNTIFS(pbp_PlayType,EM_Type,pbp_PitTeam,$B14)*EM_H))</f>
        <v/>
      </c>
      <c r="G14" s="42" t="str">
        <f>IF($B14="","",SUMPRODUCT(COUNTIFS(pbp_PlayType,EM_Type,pbp_PitTeam,$B14)*EM_HR))</f>
        <v/>
      </c>
      <c r="H14" s="42" t="str">
        <f>IF($B14="","",SUMPRODUCT(COUNTIFS(pbp_PlayType,EM_Type,pbp_PitTeam,$B14)*EM_BB))</f>
        <v/>
      </c>
      <c r="I14" s="42" t="str">
        <f>IF($B14="","",SUMPRODUCT(COUNTIFS(pbp_PlayType,EM_Type,pbp_PitTeam,$B14)*EM_HBP))</f>
        <v/>
      </c>
      <c r="J14" s="42" t="str">
        <f>IF($B14="","",COUNTIFS(pbp_PlayType,"?*",pbp_Desc,"*struck out*",pbp_PitTeam,$B14))</f>
        <v/>
      </c>
      <c r="K14" s="42" t="str">
        <f>IF($B14="","",SUMIFS(pbp_Runs,pbp_PitTeam,$B14))</f>
        <v/>
      </c>
      <c r="L14" s="42" t="str">
        <f>IF($B14="","",SUMPRODUCT(COUNTIFS(pbp_PlayType,EM_Type,pbp_PitTeam,$B14)*EM_AB))</f>
        <v/>
      </c>
      <c r="M14" s="42" t="str">
        <f>IF($B14="","",SUMPRODUCT(COUNTIFS(pbp_PlayType,EM_Type,pbp_PitTeam,$B14)*EM_SF))</f>
        <v/>
      </c>
      <c r="N14" s="42" t="str">
        <f>IF($B14="","",SUMIFS(pbp_Pitches,pbp_PitTeam,$B14,pbp_PlayType,"?*"))</f>
        <v/>
      </c>
      <c r="O14" s="60" t="str">
        <f t="shared" si="1"/>
        <v/>
      </c>
      <c r="P14" s="59" t="str">
        <f>IF($B14="","",IF(C14=0,"",1-SUMPRODUCT((pbp_PitTeam=$B14)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14)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14" s="59" t="str">
        <f>IF($B14="","",IF((SUMPRODUCT((pbp_PitTeam=$B14)*(LEN(pbp_PlayType)&gt;0)))=0,"",(SUMPRODUCT((pbp_PitTeam=$B14)*(LEN(pbp_PlayType)&gt;0)*ISNUMBER(MATCH(LEFT(TRIM(pbp_Seq)&amp;"/",FIND("/",TRIM(pbp_Seq)&amp;"/")-1),{"S","F","FT","FB","IN","MB","POS"},0))))/(SUMPRODUCT((pbp_PitTeam=$B14)*(LEN(pbp_PlayType)&gt;0)))))</f>
        <v/>
      </c>
      <c r="R14" s="59" t="str">
        <f t="shared" si="2"/>
        <v/>
      </c>
      <c r="S14" s="59" t="str">
        <f t="shared" si="3"/>
        <v/>
      </c>
      <c r="T14" s="59" t="str">
        <f t="shared" si="4"/>
        <v/>
      </c>
      <c r="U14" s="60" t="str">
        <f t="shared" si="5"/>
        <v/>
      </c>
      <c r="V14" s="60" t="str">
        <f t="shared" si="6"/>
        <v/>
      </c>
      <c r="W14" s="58" t="str">
        <f t="shared" si="7"/>
        <v/>
      </c>
      <c r="X14" s="58" t="str">
        <f t="shared" si="8"/>
        <v/>
      </c>
      <c r="Y14" s="58" t="str">
        <f t="shared" si="9"/>
        <v/>
      </c>
      <c r="Z14" s="42" t="str">
        <f t="shared" si="10"/>
        <v/>
      </c>
      <c r="AA14" s="42" t="str">
        <f>IF($B14="","",SUMPRODUCT(COUNTIFS(pbp_PlayType,EM_Type,pbp_PitTeam,$B14)*EM_ROE))</f>
        <v/>
      </c>
      <c r="AB14" s="42" t="str">
        <f>IF($B14="","",SUMPRODUCT(COUNTIFS(pbp_PlayType,EM_Type,pbp_PitTeam,$B14)*EM_DP))</f>
        <v/>
      </c>
      <c r="AC14" s="42" t="str">
        <f>IF($B14="","",SUMIFS(pbp_SB,pbp_PitTeam,$B14))</f>
        <v/>
      </c>
      <c r="AD14" s="42" t="str">
        <f>IF($B14="","",SUMIFS(pbp_CS,pbp_PitTeam,$B14))</f>
        <v/>
      </c>
      <c r="AE14" s="59" t="str">
        <f t="shared" si="11"/>
        <v/>
      </c>
      <c r="AF14" s="42" t="str">
        <f>IF($B14="","",SUMIFS(pbp_WP,pbp_PitTeam,$B14))</f>
        <v/>
      </c>
      <c r="AG14" s="42" t="str">
        <f>IF($B14="","",SUMIFS(pbp_PB,pbp_PitTeam,$B14))</f>
        <v/>
      </c>
    </row>
    <row r="15" spans="2:33" x14ac:dyDescent="0.2">
      <c r="B15" s="44" t="str">
        <f t="array" ref="B15">IFERROR(INDEX(pbp_PitTeam,MATCH(0,COUNTIF($B$5:B14,pbp_PitTeam),0)),"")</f>
        <v/>
      </c>
      <c r="C15" s="42" t="str">
        <f>IF($B15="","",SUMPRODUCT(COUNTIFS(pbp_PlayType,EM_Type,pbp_PitTeam,$B15)*EM_PA))</f>
        <v/>
      </c>
      <c r="D15" s="42" t="str">
        <f>IF($B15="","",SUMIFS(pbp_Outs,pbp_PitTeam,$B15))</f>
        <v/>
      </c>
      <c r="E15" s="70" t="str">
        <f t="shared" si="0"/>
        <v/>
      </c>
      <c r="F15" s="42" t="str">
        <f>IF($B15="","",SUMPRODUCT(COUNTIFS(pbp_PlayType,EM_Type,pbp_PitTeam,$B15)*EM_H))</f>
        <v/>
      </c>
      <c r="G15" s="42" t="str">
        <f>IF($B15="","",SUMPRODUCT(COUNTIFS(pbp_PlayType,EM_Type,pbp_PitTeam,$B15)*EM_HR))</f>
        <v/>
      </c>
      <c r="H15" s="42" t="str">
        <f>IF($B15="","",SUMPRODUCT(COUNTIFS(pbp_PlayType,EM_Type,pbp_PitTeam,$B15)*EM_BB))</f>
        <v/>
      </c>
      <c r="I15" s="42" t="str">
        <f>IF($B15="","",SUMPRODUCT(COUNTIFS(pbp_PlayType,EM_Type,pbp_PitTeam,$B15)*EM_HBP))</f>
        <v/>
      </c>
      <c r="J15" s="42" t="str">
        <f>IF($B15="","",COUNTIFS(pbp_PlayType,"?*",pbp_Desc,"*struck out*",pbp_PitTeam,$B15))</f>
        <v/>
      </c>
      <c r="K15" s="42" t="str">
        <f>IF($B15="","",SUMIFS(pbp_Runs,pbp_PitTeam,$B15))</f>
        <v/>
      </c>
      <c r="L15" s="42" t="str">
        <f>IF($B15="","",SUMPRODUCT(COUNTIFS(pbp_PlayType,EM_Type,pbp_PitTeam,$B15)*EM_AB))</f>
        <v/>
      </c>
      <c r="M15" s="42" t="str">
        <f>IF($B15="","",SUMPRODUCT(COUNTIFS(pbp_PlayType,EM_Type,pbp_PitTeam,$B15)*EM_SF))</f>
        <v/>
      </c>
      <c r="N15" s="42" t="str">
        <f>IF($B15="","",SUMIFS(pbp_Pitches,pbp_PitTeam,$B15,pbp_PlayType,"?*"))</f>
        <v/>
      </c>
      <c r="O15" s="60" t="str">
        <f t="shared" si="1"/>
        <v/>
      </c>
      <c r="P15" s="59" t="str">
        <f>IF($B15="","",IF(C15=0,"",1-SUMPRODUCT((pbp_PitTeam=$B15)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15)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15" s="59" t="str">
        <f>IF($B15="","",IF((SUMPRODUCT((pbp_PitTeam=$B15)*(LEN(pbp_PlayType)&gt;0)))=0,"",(SUMPRODUCT((pbp_PitTeam=$B15)*(LEN(pbp_PlayType)&gt;0)*ISNUMBER(MATCH(LEFT(TRIM(pbp_Seq)&amp;"/",FIND("/",TRIM(pbp_Seq)&amp;"/")-1),{"S","F","FT","FB","IN","MB","POS"},0))))/(SUMPRODUCT((pbp_PitTeam=$B15)*(LEN(pbp_PlayType)&gt;0)))))</f>
        <v/>
      </c>
      <c r="R15" s="59" t="str">
        <f t="shared" si="2"/>
        <v/>
      </c>
      <c r="S15" s="59" t="str">
        <f t="shared" si="3"/>
        <v/>
      </c>
      <c r="T15" s="59" t="str">
        <f t="shared" si="4"/>
        <v/>
      </c>
      <c r="U15" s="60" t="str">
        <f t="shared" si="5"/>
        <v/>
      </c>
      <c r="V15" s="60" t="str">
        <f t="shared" si="6"/>
        <v/>
      </c>
      <c r="W15" s="58" t="str">
        <f t="shared" si="7"/>
        <v/>
      </c>
      <c r="X15" s="58" t="str">
        <f t="shared" si="8"/>
        <v/>
      </c>
      <c r="Y15" s="58" t="str">
        <f t="shared" si="9"/>
        <v/>
      </c>
      <c r="Z15" s="42" t="str">
        <f t="shared" si="10"/>
        <v/>
      </c>
      <c r="AA15" s="42" t="str">
        <f>IF($B15="","",SUMPRODUCT(COUNTIFS(pbp_PlayType,EM_Type,pbp_PitTeam,$B15)*EM_ROE))</f>
        <v/>
      </c>
      <c r="AB15" s="42" t="str">
        <f>IF($B15="","",SUMPRODUCT(COUNTIFS(pbp_PlayType,EM_Type,pbp_PitTeam,$B15)*EM_DP))</f>
        <v/>
      </c>
      <c r="AC15" s="42" t="str">
        <f>IF($B15="","",SUMIFS(pbp_SB,pbp_PitTeam,$B15))</f>
        <v/>
      </c>
      <c r="AD15" s="42" t="str">
        <f>IF($B15="","",SUMIFS(pbp_CS,pbp_PitTeam,$B15))</f>
        <v/>
      </c>
      <c r="AE15" s="59" t="str">
        <f t="shared" si="11"/>
        <v/>
      </c>
      <c r="AF15" s="42" t="str">
        <f>IF($B15="","",SUMIFS(pbp_WP,pbp_PitTeam,$B15))</f>
        <v/>
      </c>
      <c r="AG15" s="42" t="str">
        <f>IF($B15="","",SUMIFS(pbp_PB,pbp_PitTeam,$B15))</f>
        <v/>
      </c>
    </row>
    <row r="16" spans="2:33" x14ac:dyDescent="0.2">
      <c r="B16" s="44" t="str">
        <f t="array" ref="B16">IFERROR(INDEX(pbp_PitTeam,MATCH(0,COUNTIF($B$5:B15,pbp_PitTeam),0)),"")</f>
        <v/>
      </c>
      <c r="C16" s="42" t="str">
        <f>IF($B16="","",SUMPRODUCT(COUNTIFS(pbp_PlayType,EM_Type,pbp_PitTeam,$B16)*EM_PA))</f>
        <v/>
      </c>
      <c r="D16" s="42" t="str">
        <f>IF($B16="","",SUMIFS(pbp_Outs,pbp_PitTeam,$B16))</f>
        <v/>
      </c>
      <c r="E16" s="70" t="str">
        <f t="shared" si="0"/>
        <v/>
      </c>
      <c r="F16" s="42" t="str">
        <f>IF($B16="","",SUMPRODUCT(COUNTIFS(pbp_PlayType,EM_Type,pbp_PitTeam,$B16)*EM_H))</f>
        <v/>
      </c>
      <c r="G16" s="42" t="str">
        <f>IF($B16="","",SUMPRODUCT(COUNTIFS(pbp_PlayType,EM_Type,pbp_PitTeam,$B16)*EM_HR))</f>
        <v/>
      </c>
      <c r="H16" s="42" t="str">
        <f>IF($B16="","",SUMPRODUCT(COUNTIFS(pbp_PlayType,EM_Type,pbp_PitTeam,$B16)*EM_BB))</f>
        <v/>
      </c>
      <c r="I16" s="42" t="str">
        <f>IF($B16="","",SUMPRODUCT(COUNTIFS(pbp_PlayType,EM_Type,pbp_PitTeam,$B16)*EM_HBP))</f>
        <v/>
      </c>
      <c r="J16" s="42" t="str">
        <f>IF($B16="","",COUNTIFS(pbp_PlayType,"?*",pbp_Desc,"*struck out*",pbp_PitTeam,$B16))</f>
        <v/>
      </c>
      <c r="K16" s="42" t="str">
        <f>IF($B16="","",SUMIFS(pbp_Runs,pbp_PitTeam,$B16))</f>
        <v/>
      </c>
      <c r="L16" s="42" t="str">
        <f>IF($B16="","",SUMPRODUCT(COUNTIFS(pbp_PlayType,EM_Type,pbp_PitTeam,$B16)*EM_AB))</f>
        <v/>
      </c>
      <c r="M16" s="42" t="str">
        <f>IF($B16="","",SUMPRODUCT(COUNTIFS(pbp_PlayType,EM_Type,pbp_PitTeam,$B16)*EM_SF))</f>
        <v/>
      </c>
      <c r="N16" s="42" t="str">
        <f>IF($B16="","",SUMIFS(pbp_Pitches,pbp_PitTeam,$B16,pbp_PlayType,"?*"))</f>
        <v/>
      </c>
      <c r="O16" s="60" t="str">
        <f t="shared" si="1"/>
        <v/>
      </c>
      <c r="P16" s="59" t="str">
        <f>IF($B16="","",IF(C16=0,"",1-SUMPRODUCT((pbp_PitTeam=$B16)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16)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16" s="59" t="str">
        <f>IF($B16="","",IF((SUMPRODUCT((pbp_PitTeam=$B16)*(LEN(pbp_PlayType)&gt;0)))=0,"",(SUMPRODUCT((pbp_PitTeam=$B16)*(LEN(pbp_PlayType)&gt;0)*ISNUMBER(MATCH(LEFT(TRIM(pbp_Seq)&amp;"/",FIND("/",TRIM(pbp_Seq)&amp;"/")-1),{"S","F","FT","FB","IN","MB","POS"},0))))/(SUMPRODUCT((pbp_PitTeam=$B16)*(LEN(pbp_PlayType)&gt;0)))))</f>
        <v/>
      </c>
      <c r="R16" s="59" t="str">
        <f t="shared" si="2"/>
        <v/>
      </c>
      <c r="S16" s="59" t="str">
        <f t="shared" si="3"/>
        <v/>
      </c>
      <c r="T16" s="59" t="str">
        <f t="shared" si="4"/>
        <v/>
      </c>
      <c r="U16" s="60" t="str">
        <f t="shared" si="5"/>
        <v/>
      </c>
      <c r="V16" s="60" t="str">
        <f t="shared" si="6"/>
        <v/>
      </c>
      <c r="W16" s="58" t="str">
        <f t="shared" si="7"/>
        <v/>
      </c>
      <c r="X16" s="58" t="str">
        <f t="shared" si="8"/>
        <v/>
      </c>
      <c r="Y16" s="58" t="str">
        <f t="shared" si="9"/>
        <v/>
      </c>
      <c r="Z16" s="42" t="str">
        <f t="shared" si="10"/>
        <v/>
      </c>
      <c r="AA16" s="42" t="str">
        <f>IF($B16="","",SUMPRODUCT(COUNTIFS(pbp_PlayType,EM_Type,pbp_PitTeam,$B16)*EM_ROE))</f>
        <v/>
      </c>
      <c r="AB16" s="42" t="str">
        <f>IF($B16="","",SUMPRODUCT(COUNTIFS(pbp_PlayType,EM_Type,pbp_PitTeam,$B16)*EM_DP))</f>
        <v/>
      </c>
      <c r="AC16" s="42" t="str">
        <f>IF($B16="","",SUMIFS(pbp_SB,pbp_PitTeam,$B16))</f>
        <v/>
      </c>
      <c r="AD16" s="42" t="str">
        <f>IF($B16="","",SUMIFS(pbp_CS,pbp_PitTeam,$B16))</f>
        <v/>
      </c>
      <c r="AE16" s="59" t="str">
        <f t="shared" si="11"/>
        <v/>
      </c>
      <c r="AF16" s="42" t="str">
        <f>IF($B16="","",SUMIFS(pbp_WP,pbp_PitTeam,$B16))</f>
        <v/>
      </c>
      <c r="AG16" s="42" t="str">
        <f>IF($B16="","",SUMIFS(pbp_PB,pbp_PitTeam,$B16))</f>
        <v/>
      </c>
    </row>
    <row r="17" spans="2:33" x14ac:dyDescent="0.2">
      <c r="B17" s="44" t="str">
        <f t="array" ref="B17">IFERROR(INDEX(pbp_PitTeam,MATCH(0,COUNTIF($B$5:B16,pbp_PitTeam),0)),"")</f>
        <v/>
      </c>
      <c r="C17" s="42" t="str">
        <f>IF($B17="","",SUMPRODUCT(COUNTIFS(pbp_PlayType,EM_Type,pbp_PitTeam,$B17)*EM_PA))</f>
        <v/>
      </c>
      <c r="D17" s="42" t="str">
        <f>IF($B17="","",SUMIFS(pbp_Outs,pbp_PitTeam,$B17))</f>
        <v/>
      </c>
      <c r="E17" s="70" t="str">
        <f t="shared" si="0"/>
        <v/>
      </c>
      <c r="F17" s="42" t="str">
        <f>IF($B17="","",SUMPRODUCT(COUNTIFS(pbp_PlayType,EM_Type,pbp_PitTeam,$B17)*EM_H))</f>
        <v/>
      </c>
      <c r="G17" s="42" t="str">
        <f>IF($B17="","",SUMPRODUCT(COUNTIFS(pbp_PlayType,EM_Type,pbp_PitTeam,$B17)*EM_HR))</f>
        <v/>
      </c>
      <c r="H17" s="42" t="str">
        <f>IF($B17="","",SUMPRODUCT(COUNTIFS(pbp_PlayType,EM_Type,pbp_PitTeam,$B17)*EM_BB))</f>
        <v/>
      </c>
      <c r="I17" s="42" t="str">
        <f>IF($B17="","",SUMPRODUCT(COUNTIFS(pbp_PlayType,EM_Type,pbp_PitTeam,$B17)*EM_HBP))</f>
        <v/>
      </c>
      <c r="J17" s="42" t="str">
        <f>IF($B17="","",COUNTIFS(pbp_PlayType,"?*",pbp_Desc,"*struck out*",pbp_PitTeam,$B17))</f>
        <v/>
      </c>
      <c r="K17" s="42" t="str">
        <f>IF($B17="","",SUMIFS(pbp_Runs,pbp_PitTeam,$B17))</f>
        <v/>
      </c>
      <c r="L17" s="42" t="str">
        <f>IF($B17="","",SUMPRODUCT(COUNTIFS(pbp_PlayType,EM_Type,pbp_PitTeam,$B17)*EM_AB))</f>
        <v/>
      </c>
      <c r="M17" s="42" t="str">
        <f>IF($B17="","",SUMPRODUCT(COUNTIFS(pbp_PlayType,EM_Type,pbp_PitTeam,$B17)*EM_SF))</f>
        <v/>
      </c>
      <c r="N17" s="42" t="str">
        <f>IF($B17="","",SUMIFS(pbp_Pitches,pbp_PitTeam,$B17,pbp_PlayType,"?*"))</f>
        <v/>
      </c>
      <c r="O17" s="60" t="str">
        <f t="shared" si="1"/>
        <v/>
      </c>
      <c r="P17" s="59" t="str">
        <f>IF($B17="","",IF(C17=0,"",1-SUMPRODUCT((pbp_PitTeam=$B17)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17)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17" s="59" t="str">
        <f>IF($B17="","",IF((SUMPRODUCT((pbp_PitTeam=$B17)*(LEN(pbp_PlayType)&gt;0)))=0,"",(SUMPRODUCT((pbp_PitTeam=$B17)*(LEN(pbp_PlayType)&gt;0)*ISNUMBER(MATCH(LEFT(TRIM(pbp_Seq)&amp;"/",FIND("/",TRIM(pbp_Seq)&amp;"/")-1),{"S","F","FT","FB","IN","MB","POS"},0))))/(SUMPRODUCT((pbp_PitTeam=$B17)*(LEN(pbp_PlayType)&gt;0)))))</f>
        <v/>
      </c>
      <c r="R17" s="59" t="str">
        <f t="shared" si="2"/>
        <v/>
      </c>
      <c r="S17" s="59" t="str">
        <f t="shared" si="3"/>
        <v/>
      </c>
      <c r="T17" s="59" t="str">
        <f t="shared" si="4"/>
        <v/>
      </c>
      <c r="U17" s="60" t="str">
        <f t="shared" si="5"/>
        <v/>
      </c>
      <c r="V17" s="60" t="str">
        <f t="shared" si="6"/>
        <v/>
      </c>
      <c r="W17" s="58" t="str">
        <f t="shared" si="7"/>
        <v/>
      </c>
      <c r="X17" s="58" t="str">
        <f t="shared" si="8"/>
        <v/>
      </c>
      <c r="Y17" s="58" t="str">
        <f t="shared" si="9"/>
        <v/>
      </c>
      <c r="Z17" s="42" t="str">
        <f t="shared" si="10"/>
        <v/>
      </c>
      <c r="AA17" s="42" t="str">
        <f>IF($B17="","",SUMPRODUCT(COUNTIFS(pbp_PlayType,EM_Type,pbp_PitTeam,$B17)*EM_ROE))</f>
        <v/>
      </c>
      <c r="AB17" s="42" t="str">
        <f>IF($B17="","",SUMPRODUCT(COUNTIFS(pbp_PlayType,EM_Type,pbp_PitTeam,$B17)*EM_DP))</f>
        <v/>
      </c>
      <c r="AC17" s="42" t="str">
        <f>IF($B17="","",SUMIFS(pbp_SB,pbp_PitTeam,$B17))</f>
        <v/>
      </c>
      <c r="AD17" s="42" t="str">
        <f>IF($B17="","",SUMIFS(pbp_CS,pbp_PitTeam,$B17))</f>
        <v/>
      </c>
      <c r="AE17" s="59" t="str">
        <f t="shared" si="11"/>
        <v/>
      </c>
      <c r="AF17" s="42" t="str">
        <f>IF($B17="","",SUMIFS(pbp_WP,pbp_PitTeam,$B17))</f>
        <v/>
      </c>
      <c r="AG17" s="42" t="str">
        <f>IF($B17="","",SUMIFS(pbp_PB,pbp_PitTeam,$B17))</f>
        <v/>
      </c>
    </row>
    <row r="18" spans="2:33" x14ac:dyDescent="0.2">
      <c r="B18" s="44" t="str">
        <f t="array" ref="B18">IFERROR(INDEX(pbp_PitTeam,MATCH(0,COUNTIF($B$5:B17,pbp_PitTeam),0)),"")</f>
        <v/>
      </c>
      <c r="C18" s="42" t="str">
        <f>IF($B18="","",SUMPRODUCT(COUNTIFS(pbp_PlayType,EM_Type,pbp_PitTeam,$B18)*EM_PA))</f>
        <v/>
      </c>
      <c r="D18" s="42" t="str">
        <f>IF($B18="","",SUMIFS(pbp_Outs,pbp_PitTeam,$B18))</f>
        <v/>
      </c>
      <c r="E18" s="70" t="str">
        <f t="shared" si="0"/>
        <v/>
      </c>
      <c r="F18" s="42" t="str">
        <f>IF($B18="","",SUMPRODUCT(COUNTIFS(pbp_PlayType,EM_Type,pbp_PitTeam,$B18)*EM_H))</f>
        <v/>
      </c>
      <c r="G18" s="42" t="str">
        <f>IF($B18="","",SUMPRODUCT(COUNTIFS(pbp_PlayType,EM_Type,pbp_PitTeam,$B18)*EM_HR))</f>
        <v/>
      </c>
      <c r="H18" s="42" t="str">
        <f>IF($B18="","",SUMPRODUCT(COUNTIFS(pbp_PlayType,EM_Type,pbp_PitTeam,$B18)*EM_BB))</f>
        <v/>
      </c>
      <c r="I18" s="42" t="str">
        <f>IF($B18="","",SUMPRODUCT(COUNTIFS(pbp_PlayType,EM_Type,pbp_PitTeam,$B18)*EM_HBP))</f>
        <v/>
      </c>
      <c r="J18" s="42" t="str">
        <f>IF($B18="","",COUNTIFS(pbp_PlayType,"?*",pbp_Desc,"*struck out*",pbp_PitTeam,$B18))</f>
        <v/>
      </c>
      <c r="K18" s="42" t="str">
        <f>IF($B18="","",SUMIFS(pbp_Runs,pbp_PitTeam,$B18))</f>
        <v/>
      </c>
      <c r="L18" s="42" t="str">
        <f>IF($B18="","",SUMPRODUCT(COUNTIFS(pbp_PlayType,EM_Type,pbp_PitTeam,$B18)*EM_AB))</f>
        <v/>
      </c>
      <c r="M18" s="42" t="str">
        <f>IF($B18="","",SUMPRODUCT(COUNTIFS(pbp_PlayType,EM_Type,pbp_PitTeam,$B18)*EM_SF))</f>
        <v/>
      </c>
      <c r="N18" s="42" t="str">
        <f>IF($B18="","",SUMIFS(pbp_Pitches,pbp_PitTeam,$B18,pbp_PlayType,"?*"))</f>
        <v/>
      </c>
      <c r="O18" s="60" t="str">
        <f t="shared" si="1"/>
        <v/>
      </c>
      <c r="P18" s="59" t="str">
        <f>IF($B18="","",IF(C18=0,"",1-SUMPRODUCT((pbp_PitTeam=$B18)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18)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18" s="59" t="str">
        <f>IF($B18="","",IF((SUMPRODUCT((pbp_PitTeam=$B18)*(LEN(pbp_PlayType)&gt;0)))=0,"",(SUMPRODUCT((pbp_PitTeam=$B18)*(LEN(pbp_PlayType)&gt;0)*ISNUMBER(MATCH(LEFT(TRIM(pbp_Seq)&amp;"/",FIND("/",TRIM(pbp_Seq)&amp;"/")-1),{"S","F","FT","FB","IN","MB","POS"},0))))/(SUMPRODUCT((pbp_PitTeam=$B18)*(LEN(pbp_PlayType)&gt;0)))))</f>
        <v/>
      </c>
      <c r="R18" s="59" t="str">
        <f t="shared" si="2"/>
        <v/>
      </c>
      <c r="S18" s="59" t="str">
        <f t="shared" si="3"/>
        <v/>
      </c>
      <c r="T18" s="59" t="str">
        <f t="shared" si="4"/>
        <v/>
      </c>
      <c r="U18" s="60" t="str">
        <f t="shared" si="5"/>
        <v/>
      </c>
      <c r="V18" s="60" t="str">
        <f t="shared" si="6"/>
        <v/>
      </c>
      <c r="W18" s="58" t="str">
        <f t="shared" si="7"/>
        <v/>
      </c>
      <c r="X18" s="58" t="str">
        <f t="shared" si="8"/>
        <v/>
      </c>
      <c r="Y18" s="58" t="str">
        <f t="shared" si="9"/>
        <v/>
      </c>
      <c r="Z18" s="42" t="str">
        <f t="shared" si="10"/>
        <v/>
      </c>
      <c r="AA18" s="42" t="str">
        <f>IF($B18="","",SUMPRODUCT(COUNTIFS(pbp_PlayType,EM_Type,pbp_PitTeam,$B18)*EM_ROE))</f>
        <v/>
      </c>
      <c r="AB18" s="42" t="str">
        <f>IF($B18="","",SUMPRODUCT(COUNTIFS(pbp_PlayType,EM_Type,pbp_PitTeam,$B18)*EM_DP))</f>
        <v/>
      </c>
      <c r="AC18" s="42" t="str">
        <f>IF($B18="","",SUMIFS(pbp_SB,pbp_PitTeam,$B18))</f>
        <v/>
      </c>
      <c r="AD18" s="42" t="str">
        <f>IF($B18="","",SUMIFS(pbp_CS,pbp_PitTeam,$B18))</f>
        <v/>
      </c>
      <c r="AE18" s="59" t="str">
        <f t="shared" si="11"/>
        <v/>
      </c>
      <c r="AF18" s="42" t="str">
        <f>IF($B18="","",SUMIFS(pbp_WP,pbp_PitTeam,$B18))</f>
        <v/>
      </c>
      <c r="AG18" s="42" t="str">
        <f>IF($B18="","",SUMIFS(pbp_PB,pbp_PitTeam,$B18))</f>
        <v/>
      </c>
    </row>
    <row r="19" spans="2:33" x14ac:dyDescent="0.2">
      <c r="B19" s="44" t="str">
        <f t="array" ref="B19">IFERROR(INDEX(pbp_PitTeam,MATCH(0,COUNTIF($B$5:B18,pbp_PitTeam),0)),"")</f>
        <v/>
      </c>
      <c r="C19" s="42" t="str">
        <f>IF($B19="","",SUMPRODUCT(COUNTIFS(pbp_PlayType,EM_Type,pbp_PitTeam,$B19)*EM_PA))</f>
        <v/>
      </c>
      <c r="D19" s="42" t="str">
        <f>IF($B19="","",SUMIFS(pbp_Outs,pbp_PitTeam,$B19))</f>
        <v/>
      </c>
      <c r="E19" s="70" t="str">
        <f t="shared" si="0"/>
        <v/>
      </c>
      <c r="F19" s="42" t="str">
        <f>IF($B19="","",SUMPRODUCT(COUNTIFS(pbp_PlayType,EM_Type,pbp_PitTeam,$B19)*EM_H))</f>
        <v/>
      </c>
      <c r="G19" s="42" t="str">
        <f>IF($B19="","",SUMPRODUCT(COUNTIFS(pbp_PlayType,EM_Type,pbp_PitTeam,$B19)*EM_HR))</f>
        <v/>
      </c>
      <c r="H19" s="42" t="str">
        <f>IF($B19="","",SUMPRODUCT(COUNTIFS(pbp_PlayType,EM_Type,pbp_PitTeam,$B19)*EM_BB))</f>
        <v/>
      </c>
      <c r="I19" s="42" t="str">
        <f>IF($B19="","",SUMPRODUCT(COUNTIFS(pbp_PlayType,EM_Type,pbp_PitTeam,$B19)*EM_HBP))</f>
        <v/>
      </c>
      <c r="J19" s="42" t="str">
        <f>IF($B19="","",COUNTIFS(pbp_PlayType,"?*",pbp_Desc,"*struck out*",pbp_PitTeam,$B19))</f>
        <v/>
      </c>
      <c r="K19" s="42" t="str">
        <f>IF($B19="","",SUMIFS(pbp_Runs,pbp_PitTeam,$B19))</f>
        <v/>
      </c>
      <c r="L19" s="42" t="str">
        <f>IF($B19="","",SUMPRODUCT(COUNTIFS(pbp_PlayType,EM_Type,pbp_PitTeam,$B19)*EM_AB))</f>
        <v/>
      </c>
      <c r="M19" s="42" t="str">
        <f>IF($B19="","",SUMPRODUCT(COUNTIFS(pbp_PlayType,EM_Type,pbp_PitTeam,$B19)*EM_SF))</f>
        <v/>
      </c>
      <c r="N19" s="42" t="str">
        <f>IF($B19="","",SUMIFS(pbp_Pitches,pbp_PitTeam,$B19,pbp_PlayType,"?*"))</f>
        <v/>
      </c>
      <c r="O19" s="60" t="str">
        <f t="shared" si="1"/>
        <v/>
      </c>
      <c r="P19" s="59" t="str">
        <f>IF($B19="","",IF(C19=0,"",1-SUMPRODUCT((pbp_PitTeam=$B19)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19)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19" s="59" t="str">
        <f>IF($B19="","",IF((SUMPRODUCT((pbp_PitTeam=$B19)*(LEN(pbp_PlayType)&gt;0)))=0,"",(SUMPRODUCT((pbp_PitTeam=$B19)*(LEN(pbp_PlayType)&gt;0)*ISNUMBER(MATCH(LEFT(TRIM(pbp_Seq)&amp;"/",FIND("/",TRIM(pbp_Seq)&amp;"/")-1),{"S","F","FT","FB","IN","MB","POS"},0))))/(SUMPRODUCT((pbp_PitTeam=$B19)*(LEN(pbp_PlayType)&gt;0)))))</f>
        <v/>
      </c>
      <c r="R19" s="59" t="str">
        <f t="shared" si="2"/>
        <v/>
      </c>
      <c r="S19" s="59" t="str">
        <f t="shared" si="3"/>
        <v/>
      </c>
      <c r="T19" s="59" t="str">
        <f t="shared" si="4"/>
        <v/>
      </c>
      <c r="U19" s="60" t="str">
        <f t="shared" si="5"/>
        <v/>
      </c>
      <c r="V19" s="60" t="str">
        <f t="shared" si="6"/>
        <v/>
      </c>
      <c r="W19" s="58" t="str">
        <f t="shared" si="7"/>
        <v/>
      </c>
      <c r="X19" s="58" t="str">
        <f t="shared" si="8"/>
        <v/>
      </c>
      <c r="Y19" s="58" t="str">
        <f t="shared" si="9"/>
        <v/>
      </c>
      <c r="Z19" s="42" t="str">
        <f t="shared" si="10"/>
        <v/>
      </c>
      <c r="AA19" s="42" t="str">
        <f>IF($B19="","",SUMPRODUCT(COUNTIFS(pbp_PlayType,EM_Type,pbp_PitTeam,$B19)*EM_ROE))</f>
        <v/>
      </c>
      <c r="AB19" s="42" t="str">
        <f>IF($B19="","",SUMPRODUCT(COUNTIFS(pbp_PlayType,EM_Type,pbp_PitTeam,$B19)*EM_DP))</f>
        <v/>
      </c>
      <c r="AC19" s="42" t="str">
        <f>IF($B19="","",SUMIFS(pbp_SB,pbp_PitTeam,$B19))</f>
        <v/>
      </c>
      <c r="AD19" s="42" t="str">
        <f>IF($B19="","",SUMIFS(pbp_CS,pbp_PitTeam,$B19))</f>
        <v/>
      </c>
      <c r="AE19" s="59" t="str">
        <f t="shared" si="11"/>
        <v/>
      </c>
      <c r="AF19" s="42" t="str">
        <f>IF($B19="","",SUMIFS(pbp_WP,pbp_PitTeam,$B19))</f>
        <v/>
      </c>
      <c r="AG19" s="42" t="str">
        <f>IF($B19="","",SUMIFS(pbp_PB,pbp_PitTeam,$B19))</f>
        <v/>
      </c>
    </row>
    <row r="20" spans="2:33" x14ac:dyDescent="0.2">
      <c r="B20" s="44" t="str">
        <f t="array" ref="B20">IFERROR(INDEX(pbp_PitTeam,MATCH(0,COUNTIF($B$5:B19,pbp_PitTeam),0)),"")</f>
        <v/>
      </c>
      <c r="C20" s="42" t="str">
        <f>IF($B20="","",SUMPRODUCT(COUNTIFS(pbp_PlayType,EM_Type,pbp_PitTeam,$B20)*EM_PA))</f>
        <v/>
      </c>
      <c r="D20" s="42" t="str">
        <f>IF($B20="","",SUMIFS(pbp_Outs,pbp_PitTeam,$B20))</f>
        <v/>
      </c>
      <c r="E20" s="70" t="str">
        <f t="shared" si="0"/>
        <v/>
      </c>
      <c r="F20" s="42" t="str">
        <f>IF($B20="","",SUMPRODUCT(COUNTIFS(pbp_PlayType,EM_Type,pbp_PitTeam,$B20)*EM_H))</f>
        <v/>
      </c>
      <c r="G20" s="42" t="str">
        <f>IF($B20="","",SUMPRODUCT(COUNTIFS(pbp_PlayType,EM_Type,pbp_PitTeam,$B20)*EM_HR))</f>
        <v/>
      </c>
      <c r="H20" s="42" t="str">
        <f>IF($B20="","",SUMPRODUCT(COUNTIFS(pbp_PlayType,EM_Type,pbp_PitTeam,$B20)*EM_BB))</f>
        <v/>
      </c>
      <c r="I20" s="42" t="str">
        <f>IF($B20="","",SUMPRODUCT(COUNTIFS(pbp_PlayType,EM_Type,pbp_PitTeam,$B20)*EM_HBP))</f>
        <v/>
      </c>
      <c r="J20" s="42" t="str">
        <f>IF($B20="","",COUNTIFS(pbp_PlayType,"?*",pbp_Desc,"*struck out*",pbp_PitTeam,$B20))</f>
        <v/>
      </c>
      <c r="K20" s="42" t="str">
        <f>IF($B20="","",SUMIFS(pbp_Runs,pbp_PitTeam,$B20))</f>
        <v/>
      </c>
      <c r="L20" s="42" t="str">
        <f>IF($B20="","",SUMPRODUCT(COUNTIFS(pbp_PlayType,EM_Type,pbp_PitTeam,$B20)*EM_AB))</f>
        <v/>
      </c>
      <c r="M20" s="42" t="str">
        <f>IF($B20="","",SUMPRODUCT(COUNTIFS(pbp_PlayType,EM_Type,pbp_PitTeam,$B20)*EM_SF))</f>
        <v/>
      </c>
      <c r="N20" s="42" t="str">
        <f>IF($B20="","",SUMIFS(pbp_Pitches,pbp_PitTeam,$B20,pbp_PlayType,"?*"))</f>
        <v/>
      </c>
      <c r="O20" s="60" t="str">
        <f t="shared" si="1"/>
        <v/>
      </c>
      <c r="P20" s="59" t="str">
        <f>IF($B20="","",IF(C20=0,"",1-SUMPRODUCT((pbp_PitTeam=$B20)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20)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20" s="59" t="str">
        <f>IF($B20="","",IF((SUMPRODUCT((pbp_PitTeam=$B20)*(LEN(pbp_PlayType)&gt;0)))=0,"",(SUMPRODUCT((pbp_PitTeam=$B20)*(LEN(pbp_PlayType)&gt;0)*ISNUMBER(MATCH(LEFT(TRIM(pbp_Seq)&amp;"/",FIND("/",TRIM(pbp_Seq)&amp;"/")-1),{"S","F","FT","FB","IN","MB","POS"},0))))/(SUMPRODUCT((pbp_PitTeam=$B20)*(LEN(pbp_PlayType)&gt;0)))))</f>
        <v/>
      </c>
      <c r="R20" s="59" t="str">
        <f t="shared" si="2"/>
        <v/>
      </c>
      <c r="S20" s="59" t="str">
        <f t="shared" si="3"/>
        <v/>
      </c>
      <c r="T20" s="59" t="str">
        <f t="shared" si="4"/>
        <v/>
      </c>
      <c r="U20" s="60" t="str">
        <f t="shared" si="5"/>
        <v/>
      </c>
      <c r="V20" s="60" t="str">
        <f t="shared" si="6"/>
        <v/>
      </c>
      <c r="W20" s="58" t="str">
        <f t="shared" si="7"/>
        <v/>
      </c>
      <c r="X20" s="58" t="str">
        <f t="shared" si="8"/>
        <v/>
      </c>
      <c r="Y20" s="58" t="str">
        <f t="shared" si="9"/>
        <v/>
      </c>
      <c r="Z20" s="42" t="str">
        <f t="shared" si="10"/>
        <v/>
      </c>
      <c r="AA20" s="42" t="str">
        <f>IF($B20="","",SUMPRODUCT(COUNTIFS(pbp_PlayType,EM_Type,pbp_PitTeam,$B20)*EM_ROE))</f>
        <v/>
      </c>
      <c r="AB20" s="42" t="str">
        <f>IF($B20="","",SUMPRODUCT(COUNTIFS(pbp_PlayType,EM_Type,pbp_PitTeam,$B20)*EM_DP))</f>
        <v/>
      </c>
      <c r="AC20" s="42" t="str">
        <f>IF($B20="","",SUMIFS(pbp_SB,pbp_PitTeam,$B20))</f>
        <v/>
      </c>
      <c r="AD20" s="42" t="str">
        <f>IF($B20="","",SUMIFS(pbp_CS,pbp_PitTeam,$B20))</f>
        <v/>
      </c>
      <c r="AE20" s="59" t="str">
        <f t="shared" si="11"/>
        <v/>
      </c>
      <c r="AF20" s="42" t="str">
        <f>IF($B20="","",SUMIFS(pbp_WP,pbp_PitTeam,$B20))</f>
        <v/>
      </c>
      <c r="AG20" s="42" t="str">
        <f>IF($B20="","",SUMIFS(pbp_PB,pbp_PitTeam,$B20))</f>
        <v/>
      </c>
    </row>
    <row r="21" spans="2:33" x14ac:dyDescent="0.2">
      <c r="B21" s="44" t="str">
        <f t="array" ref="B21">IFERROR(INDEX(pbp_PitTeam,MATCH(0,COUNTIF($B$5:B20,pbp_PitTeam),0)),"")</f>
        <v/>
      </c>
      <c r="C21" s="42" t="str">
        <f>IF($B21="","",SUMPRODUCT(COUNTIFS(pbp_PlayType,EM_Type,pbp_PitTeam,$B21)*EM_PA))</f>
        <v/>
      </c>
      <c r="D21" s="42" t="str">
        <f>IF($B21="","",SUMIFS(pbp_Outs,pbp_PitTeam,$B21))</f>
        <v/>
      </c>
      <c r="E21" s="70" t="str">
        <f t="shared" si="0"/>
        <v/>
      </c>
      <c r="F21" s="42" t="str">
        <f>IF($B21="","",SUMPRODUCT(COUNTIFS(pbp_PlayType,EM_Type,pbp_PitTeam,$B21)*EM_H))</f>
        <v/>
      </c>
      <c r="G21" s="42" t="str">
        <f>IF($B21="","",SUMPRODUCT(COUNTIFS(pbp_PlayType,EM_Type,pbp_PitTeam,$B21)*EM_HR))</f>
        <v/>
      </c>
      <c r="H21" s="42" t="str">
        <f>IF($B21="","",SUMPRODUCT(COUNTIFS(pbp_PlayType,EM_Type,pbp_PitTeam,$B21)*EM_BB))</f>
        <v/>
      </c>
      <c r="I21" s="42" t="str">
        <f>IF($B21="","",SUMPRODUCT(COUNTIFS(pbp_PlayType,EM_Type,pbp_PitTeam,$B21)*EM_HBP))</f>
        <v/>
      </c>
      <c r="J21" s="42" t="str">
        <f>IF($B21="","",COUNTIFS(pbp_PlayType,"?*",pbp_Desc,"*struck out*",pbp_PitTeam,$B21))</f>
        <v/>
      </c>
      <c r="K21" s="42" t="str">
        <f>IF($B21="","",SUMIFS(pbp_Runs,pbp_PitTeam,$B21))</f>
        <v/>
      </c>
      <c r="L21" s="42" t="str">
        <f>IF($B21="","",SUMPRODUCT(COUNTIFS(pbp_PlayType,EM_Type,pbp_PitTeam,$B21)*EM_AB))</f>
        <v/>
      </c>
      <c r="M21" s="42" t="str">
        <f>IF($B21="","",SUMPRODUCT(COUNTIFS(pbp_PlayType,EM_Type,pbp_PitTeam,$B21)*EM_SF))</f>
        <v/>
      </c>
      <c r="N21" s="42" t="str">
        <f>IF($B21="","",SUMIFS(pbp_Pitches,pbp_PitTeam,$B21,pbp_PlayType,"?*"))</f>
        <v/>
      </c>
      <c r="O21" s="60" t="str">
        <f t="shared" si="1"/>
        <v/>
      </c>
      <c r="P21" s="59" t="str">
        <f>IF($B21="","",IF(C21=0,"",1-SUMPRODUCT((pbp_PitTeam=$B21)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21)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21" s="59" t="str">
        <f>IF($B21="","",IF((SUMPRODUCT((pbp_PitTeam=$B21)*(LEN(pbp_PlayType)&gt;0)))=0,"",(SUMPRODUCT((pbp_PitTeam=$B21)*(LEN(pbp_PlayType)&gt;0)*ISNUMBER(MATCH(LEFT(TRIM(pbp_Seq)&amp;"/",FIND("/",TRIM(pbp_Seq)&amp;"/")-1),{"S","F","FT","FB","IN","MB","POS"},0))))/(SUMPRODUCT((pbp_PitTeam=$B21)*(LEN(pbp_PlayType)&gt;0)))))</f>
        <v/>
      </c>
      <c r="R21" s="59" t="str">
        <f t="shared" si="2"/>
        <v/>
      </c>
      <c r="S21" s="59" t="str">
        <f t="shared" si="3"/>
        <v/>
      </c>
      <c r="T21" s="59" t="str">
        <f t="shared" si="4"/>
        <v/>
      </c>
      <c r="U21" s="60" t="str">
        <f t="shared" si="5"/>
        <v/>
      </c>
      <c r="V21" s="60" t="str">
        <f t="shared" si="6"/>
        <v/>
      </c>
      <c r="W21" s="58" t="str">
        <f t="shared" si="7"/>
        <v/>
      </c>
      <c r="X21" s="58" t="str">
        <f t="shared" si="8"/>
        <v/>
      </c>
      <c r="Y21" s="58" t="str">
        <f t="shared" si="9"/>
        <v/>
      </c>
      <c r="Z21" s="42" t="str">
        <f t="shared" si="10"/>
        <v/>
      </c>
      <c r="AA21" s="42" t="str">
        <f>IF($B21="","",SUMPRODUCT(COUNTIFS(pbp_PlayType,EM_Type,pbp_PitTeam,$B21)*EM_ROE))</f>
        <v/>
      </c>
      <c r="AB21" s="42" t="str">
        <f>IF($B21="","",SUMPRODUCT(COUNTIFS(pbp_PlayType,EM_Type,pbp_PitTeam,$B21)*EM_DP))</f>
        <v/>
      </c>
      <c r="AC21" s="42" t="str">
        <f>IF($B21="","",SUMIFS(pbp_SB,pbp_PitTeam,$B21))</f>
        <v/>
      </c>
      <c r="AD21" s="42" t="str">
        <f>IF($B21="","",SUMIFS(pbp_CS,pbp_PitTeam,$B21))</f>
        <v/>
      </c>
      <c r="AE21" s="59" t="str">
        <f t="shared" si="11"/>
        <v/>
      </c>
      <c r="AF21" s="42" t="str">
        <f>IF($B21="","",SUMIFS(pbp_WP,pbp_PitTeam,$B21))</f>
        <v/>
      </c>
      <c r="AG21" s="42" t="str">
        <f>IF($B21="","",SUMIFS(pbp_PB,pbp_PitTeam,$B21))</f>
        <v/>
      </c>
    </row>
    <row r="22" spans="2:33" x14ac:dyDescent="0.2">
      <c r="B22" s="44" t="str">
        <f t="array" ref="B22">IFERROR(INDEX(pbp_PitTeam,MATCH(0,COUNTIF($B$5:B21,pbp_PitTeam),0)),"")</f>
        <v/>
      </c>
      <c r="C22" s="42" t="str">
        <f>IF($B22="","",SUMPRODUCT(COUNTIFS(pbp_PlayType,EM_Type,pbp_PitTeam,$B22)*EM_PA))</f>
        <v/>
      </c>
      <c r="D22" s="42" t="str">
        <f>IF($B22="","",SUMIFS(pbp_Outs,pbp_PitTeam,$B22))</f>
        <v/>
      </c>
      <c r="E22" s="70" t="str">
        <f t="shared" si="0"/>
        <v/>
      </c>
      <c r="F22" s="42" t="str">
        <f>IF($B22="","",SUMPRODUCT(COUNTIFS(pbp_PlayType,EM_Type,pbp_PitTeam,$B22)*EM_H))</f>
        <v/>
      </c>
      <c r="G22" s="42" t="str">
        <f>IF($B22="","",SUMPRODUCT(COUNTIFS(pbp_PlayType,EM_Type,pbp_PitTeam,$B22)*EM_HR))</f>
        <v/>
      </c>
      <c r="H22" s="42" t="str">
        <f>IF($B22="","",SUMPRODUCT(COUNTIFS(pbp_PlayType,EM_Type,pbp_PitTeam,$B22)*EM_BB))</f>
        <v/>
      </c>
      <c r="I22" s="42" t="str">
        <f>IF($B22="","",SUMPRODUCT(COUNTIFS(pbp_PlayType,EM_Type,pbp_PitTeam,$B22)*EM_HBP))</f>
        <v/>
      </c>
      <c r="J22" s="42" t="str">
        <f>IF($B22="","",COUNTIFS(pbp_PlayType,"?*",pbp_Desc,"*struck out*",pbp_PitTeam,$B22))</f>
        <v/>
      </c>
      <c r="K22" s="42" t="str">
        <f>IF($B22="","",SUMIFS(pbp_Runs,pbp_PitTeam,$B22))</f>
        <v/>
      </c>
      <c r="L22" s="42" t="str">
        <f>IF($B22="","",SUMPRODUCT(COUNTIFS(pbp_PlayType,EM_Type,pbp_PitTeam,$B22)*EM_AB))</f>
        <v/>
      </c>
      <c r="M22" s="42" t="str">
        <f>IF($B22="","",SUMPRODUCT(COUNTIFS(pbp_PlayType,EM_Type,pbp_PitTeam,$B22)*EM_SF))</f>
        <v/>
      </c>
      <c r="N22" s="42" t="str">
        <f>IF($B22="","",SUMIFS(pbp_Pitches,pbp_PitTeam,$B22,pbp_PlayType,"?*"))</f>
        <v/>
      </c>
      <c r="O22" s="60" t="str">
        <f t="shared" si="1"/>
        <v/>
      </c>
      <c r="P22" s="59" t="str">
        <f>IF($B22="","",IF(C22=0,"",1-SUMPRODUCT((pbp_PitTeam=$B22)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22)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22" s="59" t="str">
        <f>IF($B22="","",IF((SUMPRODUCT((pbp_PitTeam=$B22)*(LEN(pbp_PlayType)&gt;0)))=0,"",(SUMPRODUCT((pbp_PitTeam=$B22)*(LEN(pbp_PlayType)&gt;0)*ISNUMBER(MATCH(LEFT(TRIM(pbp_Seq)&amp;"/",FIND("/",TRIM(pbp_Seq)&amp;"/")-1),{"S","F","FT","FB","IN","MB","POS"},0))))/(SUMPRODUCT((pbp_PitTeam=$B22)*(LEN(pbp_PlayType)&gt;0)))))</f>
        <v/>
      </c>
      <c r="R22" s="59" t="str">
        <f t="shared" si="2"/>
        <v/>
      </c>
      <c r="S22" s="59" t="str">
        <f t="shared" si="3"/>
        <v/>
      </c>
      <c r="T22" s="59" t="str">
        <f t="shared" si="4"/>
        <v/>
      </c>
      <c r="U22" s="60" t="str">
        <f t="shared" si="5"/>
        <v/>
      </c>
      <c r="V22" s="60" t="str">
        <f t="shared" si="6"/>
        <v/>
      </c>
      <c r="W22" s="58" t="str">
        <f t="shared" si="7"/>
        <v/>
      </c>
      <c r="X22" s="58" t="str">
        <f t="shared" si="8"/>
        <v/>
      </c>
      <c r="Y22" s="58" t="str">
        <f t="shared" si="9"/>
        <v/>
      </c>
      <c r="Z22" s="42" t="str">
        <f t="shared" si="10"/>
        <v/>
      </c>
      <c r="AA22" s="42" t="str">
        <f>IF($B22="","",SUMPRODUCT(COUNTIFS(pbp_PlayType,EM_Type,pbp_PitTeam,$B22)*EM_ROE))</f>
        <v/>
      </c>
      <c r="AB22" s="42" t="str">
        <f>IF($B22="","",SUMPRODUCT(COUNTIFS(pbp_PlayType,EM_Type,pbp_PitTeam,$B22)*EM_DP))</f>
        <v/>
      </c>
      <c r="AC22" s="42" t="str">
        <f>IF($B22="","",SUMIFS(pbp_SB,pbp_PitTeam,$B22))</f>
        <v/>
      </c>
      <c r="AD22" s="42" t="str">
        <f>IF($B22="","",SUMIFS(pbp_CS,pbp_PitTeam,$B22))</f>
        <v/>
      </c>
      <c r="AE22" s="59" t="str">
        <f t="shared" si="11"/>
        <v/>
      </c>
      <c r="AF22" s="42" t="str">
        <f>IF($B22="","",SUMIFS(pbp_WP,pbp_PitTeam,$B22))</f>
        <v/>
      </c>
      <c r="AG22" s="42" t="str">
        <f>IF($B22="","",SUMIFS(pbp_PB,pbp_PitTeam,$B22))</f>
        <v/>
      </c>
    </row>
    <row r="23" spans="2:33" x14ac:dyDescent="0.2">
      <c r="B23" s="44" t="str">
        <f t="array" ref="B23">IFERROR(INDEX(pbp_PitTeam,MATCH(0,COUNTIF($B$5:B22,pbp_PitTeam),0)),"")</f>
        <v/>
      </c>
      <c r="C23" s="42" t="str">
        <f>IF($B23="","",SUMPRODUCT(COUNTIFS(pbp_PlayType,EM_Type,pbp_PitTeam,$B23)*EM_PA))</f>
        <v/>
      </c>
      <c r="D23" s="42" t="str">
        <f>IF($B23="","",SUMIFS(pbp_Outs,pbp_PitTeam,$B23))</f>
        <v/>
      </c>
      <c r="E23" s="70" t="str">
        <f t="shared" si="0"/>
        <v/>
      </c>
      <c r="F23" s="42" t="str">
        <f>IF($B23="","",SUMPRODUCT(COUNTIFS(pbp_PlayType,EM_Type,pbp_PitTeam,$B23)*EM_H))</f>
        <v/>
      </c>
      <c r="G23" s="42" t="str">
        <f>IF($B23="","",SUMPRODUCT(COUNTIFS(pbp_PlayType,EM_Type,pbp_PitTeam,$B23)*EM_HR))</f>
        <v/>
      </c>
      <c r="H23" s="42" t="str">
        <f>IF($B23="","",SUMPRODUCT(COUNTIFS(pbp_PlayType,EM_Type,pbp_PitTeam,$B23)*EM_BB))</f>
        <v/>
      </c>
      <c r="I23" s="42" t="str">
        <f>IF($B23="","",SUMPRODUCT(COUNTIFS(pbp_PlayType,EM_Type,pbp_PitTeam,$B23)*EM_HBP))</f>
        <v/>
      </c>
      <c r="J23" s="42" t="str">
        <f>IF($B23="","",COUNTIFS(pbp_PlayType,"?*",pbp_Desc,"*struck out*",pbp_PitTeam,$B23))</f>
        <v/>
      </c>
      <c r="K23" s="42" t="str">
        <f>IF($B23="","",SUMIFS(pbp_Runs,pbp_PitTeam,$B23))</f>
        <v/>
      </c>
      <c r="L23" s="42" t="str">
        <f>IF($B23="","",SUMPRODUCT(COUNTIFS(pbp_PlayType,EM_Type,pbp_PitTeam,$B23)*EM_AB))</f>
        <v/>
      </c>
      <c r="M23" s="42" t="str">
        <f>IF($B23="","",SUMPRODUCT(COUNTIFS(pbp_PlayType,EM_Type,pbp_PitTeam,$B23)*EM_SF))</f>
        <v/>
      </c>
      <c r="N23" s="42" t="str">
        <f>IF($B23="","",SUMIFS(pbp_Pitches,pbp_PitTeam,$B23,pbp_PlayType,"?*"))</f>
        <v/>
      </c>
      <c r="O23" s="60" t="str">
        <f t="shared" si="1"/>
        <v/>
      </c>
      <c r="P23" s="59" t="str">
        <f>IF($B23="","",IF(C23=0,"",1-SUMPRODUCT((pbp_PitTeam=$B23)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23)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23" s="59" t="str">
        <f>IF($B23="","",IF((SUMPRODUCT((pbp_PitTeam=$B23)*(LEN(pbp_PlayType)&gt;0)))=0,"",(SUMPRODUCT((pbp_PitTeam=$B23)*(LEN(pbp_PlayType)&gt;0)*ISNUMBER(MATCH(LEFT(TRIM(pbp_Seq)&amp;"/",FIND("/",TRIM(pbp_Seq)&amp;"/")-1),{"S","F","FT","FB","IN","MB","POS"},0))))/(SUMPRODUCT((pbp_PitTeam=$B23)*(LEN(pbp_PlayType)&gt;0)))))</f>
        <v/>
      </c>
      <c r="R23" s="59" t="str">
        <f t="shared" si="2"/>
        <v/>
      </c>
      <c r="S23" s="59" t="str">
        <f t="shared" si="3"/>
        <v/>
      </c>
      <c r="T23" s="59" t="str">
        <f t="shared" si="4"/>
        <v/>
      </c>
      <c r="U23" s="60" t="str">
        <f t="shared" si="5"/>
        <v/>
      </c>
      <c r="V23" s="60" t="str">
        <f t="shared" si="6"/>
        <v/>
      </c>
      <c r="W23" s="58" t="str">
        <f t="shared" si="7"/>
        <v/>
      </c>
      <c r="X23" s="58" t="str">
        <f t="shared" si="8"/>
        <v/>
      </c>
      <c r="Y23" s="58" t="str">
        <f t="shared" si="9"/>
        <v/>
      </c>
      <c r="Z23" s="42" t="str">
        <f t="shared" si="10"/>
        <v/>
      </c>
      <c r="AA23" s="42" t="str">
        <f>IF($B23="","",SUMPRODUCT(COUNTIFS(pbp_PlayType,EM_Type,pbp_PitTeam,$B23)*EM_ROE))</f>
        <v/>
      </c>
      <c r="AB23" s="42" t="str">
        <f>IF($B23="","",SUMPRODUCT(COUNTIFS(pbp_PlayType,EM_Type,pbp_PitTeam,$B23)*EM_DP))</f>
        <v/>
      </c>
      <c r="AC23" s="42" t="str">
        <f>IF($B23="","",SUMIFS(pbp_SB,pbp_PitTeam,$B23))</f>
        <v/>
      </c>
      <c r="AD23" s="42" t="str">
        <f>IF($B23="","",SUMIFS(pbp_CS,pbp_PitTeam,$B23))</f>
        <v/>
      </c>
      <c r="AE23" s="59" t="str">
        <f t="shared" si="11"/>
        <v/>
      </c>
      <c r="AF23" s="42" t="str">
        <f>IF($B23="","",SUMIFS(pbp_WP,pbp_PitTeam,$B23))</f>
        <v/>
      </c>
      <c r="AG23" s="42" t="str">
        <f>IF($B23="","",SUMIFS(pbp_PB,pbp_PitTeam,$B23))</f>
        <v/>
      </c>
    </row>
    <row r="24" spans="2:33" x14ac:dyDescent="0.2">
      <c r="B24" s="44" t="str">
        <f t="array" ref="B24">IFERROR(INDEX(pbp_PitTeam,MATCH(0,COUNTIF($B$5:B23,pbp_PitTeam),0)),"")</f>
        <v/>
      </c>
      <c r="C24" s="42" t="str">
        <f>IF($B24="","",SUMPRODUCT(COUNTIFS(pbp_PlayType,EM_Type,pbp_PitTeam,$B24)*EM_PA))</f>
        <v/>
      </c>
      <c r="D24" s="42" t="str">
        <f>IF($B24="","",SUMIFS(pbp_Outs,pbp_PitTeam,$B24))</f>
        <v/>
      </c>
      <c r="E24" s="70" t="str">
        <f t="shared" si="0"/>
        <v/>
      </c>
      <c r="F24" s="42" t="str">
        <f>IF($B24="","",SUMPRODUCT(COUNTIFS(pbp_PlayType,EM_Type,pbp_PitTeam,$B24)*EM_H))</f>
        <v/>
      </c>
      <c r="G24" s="42" t="str">
        <f>IF($B24="","",SUMPRODUCT(COUNTIFS(pbp_PlayType,EM_Type,pbp_PitTeam,$B24)*EM_HR))</f>
        <v/>
      </c>
      <c r="H24" s="42" t="str">
        <f>IF($B24="","",SUMPRODUCT(COUNTIFS(pbp_PlayType,EM_Type,pbp_PitTeam,$B24)*EM_BB))</f>
        <v/>
      </c>
      <c r="I24" s="42" t="str">
        <f>IF($B24="","",SUMPRODUCT(COUNTIFS(pbp_PlayType,EM_Type,pbp_PitTeam,$B24)*EM_HBP))</f>
        <v/>
      </c>
      <c r="J24" s="42" t="str">
        <f>IF($B24="","",COUNTIFS(pbp_PlayType,"?*",pbp_Desc,"*struck out*",pbp_PitTeam,$B24))</f>
        <v/>
      </c>
      <c r="K24" s="42" t="str">
        <f>IF($B24="","",SUMIFS(pbp_Runs,pbp_PitTeam,$B24))</f>
        <v/>
      </c>
      <c r="L24" s="42" t="str">
        <f>IF($B24="","",SUMPRODUCT(COUNTIFS(pbp_PlayType,EM_Type,pbp_PitTeam,$B24)*EM_AB))</f>
        <v/>
      </c>
      <c r="M24" s="42" t="str">
        <f>IF($B24="","",SUMPRODUCT(COUNTIFS(pbp_PlayType,EM_Type,pbp_PitTeam,$B24)*EM_SF))</f>
        <v/>
      </c>
      <c r="N24" s="42" t="str">
        <f>IF($B24="","",SUMIFS(pbp_Pitches,pbp_PitTeam,$B24,pbp_PlayType,"?*"))</f>
        <v/>
      </c>
      <c r="O24" s="60" t="str">
        <f t="shared" si="1"/>
        <v/>
      </c>
      <c r="P24" s="59" t="str">
        <f>IF($B24="","",IF(C24=0,"",1-SUMPRODUCT((pbp_PitTeam=$B24)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24)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24" s="59" t="str">
        <f>IF($B24="","",IF((SUMPRODUCT((pbp_PitTeam=$B24)*(LEN(pbp_PlayType)&gt;0)))=0,"",(SUMPRODUCT((pbp_PitTeam=$B24)*(LEN(pbp_PlayType)&gt;0)*ISNUMBER(MATCH(LEFT(TRIM(pbp_Seq)&amp;"/",FIND("/",TRIM(pbp_Seq)&amp;"/")-1),{"S","F","FT","FB","IN","MB","POS"},0))))/(SUMPRODUCT((pbp_PitTeam=$B24)*(LEN(pbp_PlayType)&gt;0)))))</f>
        <v/>
      </c>
      <c r="R24" s="59" t="str">
        <f t="shared" si="2"/>
        <v/>
      </c>
      <c r="S24" s="59" t="str">
        <f t="shared" si="3"/>
        <v/>
      </c>
      <c r="T24" s="59" t="str">
        <f t="shared" si="4"/>
        <v/>
      </c>
      <c r="U24" s="60" t="str">
        <f t="shared" si="5"/>
        <v/>
      </c>
      <c r="V24" s="60" t="str">
        <f t="shared" si="6"/>
        <v/>
      </c>
      <c r="W24" s="58" t="str">
        <f t="shared" si="7"/>
        <v/>
      </c>
      <c r="X24" s="58" t="str">
        <f t="shared" si="8"/>
        <v/>
      </c>
      <c r="Y24" s="58" t="str">
        <f t="shared" si="9"/>
        <v/>
      </c>
      <c r="Z24" s="42" t="str">
        <f t="shared" si="10"/>
        <v/>
      </c>
      <c r="AA24" s="42" t="str">
        <f>IF($B24="","",SUMPRODUCT(COUNTIFS(pbp_PlayType,EM_Type,pbp_PitTeam,$B24)*EM_ROE))</f>
        <v/>
      </c>
      <c r="AB24" s="42" t="str">
        <f>IF($B24="","",SUMPRODUCT(COUNTIFS(pbp_PlayType,EM_Type,pbp_PitTeam,$B24)*EM_DP))</f>
        <v/>
      </c>
      <c r="AC24" s="42" t="str">
        <f>IF($B24="","",SUMIFS(pbp_SB,pbp_PitTeam,$B24))</f>
        <v/>
      </c>
      <c r="AD24" s="42" t="str">
        <f>IF($B24="","",SUMIFS(pbp_CS,pbp_PitTeam,$B24))</f>
        <v/>
      </c>
      <c r="AE24" s="59" t="str">
        <f t="shared" si="11"/>
        <v/>
      </c>
      <c r="AF24" s="42" t="str">
        <f>IF($B24="","",SUMIFS(pbp_WP,pbp_PitTeam,$B24))</f>
        <v/>
      </c>
      <c r="AG24" s="42" t="str">
        <f>IF($B24="","",SUMIFS(pbp_PB,pbp_PitTeam,$B24))</f>
        <v/>
      </c>
    </row>
    <row r="25" spans="2:33" x14ac:dyDescent="0.2">
      <c r="B25" s="44" t="str">
        <f t="array" ref="B25">IFERROR(INDEX(pbp_PitTeam,MATCH(0,COUNTIF($B$5:B24,pbp_PitTeam),0)),"")</f>
        <v/>
      </c>
      <c r="C25" s="42" t="str">
        <f>IF($B25="","",SUMPRODUCT(COUNTIFS(pbp_PlayType,EM_Type,pbp_PitTeam,$B25)*EM_PA))</f>
        <v/>
      </c>
      <c r="D25" s="42" t="str">
        <f>IF($B25="","",SUMIFS(pbp_Outs,pbp_PitTeam,$B25))</f>
        <v/>
      </c>
      <c r="E25" s="70" t="str">
        <f t="shared" si="0"/>
        <v/>
      </c>
      <c r="F25" s="42" t="str">
        <f>IF($B25="","",SUMPRODUCT(COUNTIFS(pbp_PlayType,EM_Type,pbp_PitTeam,$B25)*EM_H))</f>
        <v/>
      </c>
      <c r="G25" s="42" t="str">
        <f>IF($B25="","",SUMPRODUCT(COUNTIFS(pbp_PlayType,EM_Type,pbp_PitTeam,$B25)*EM_HR))</f>
        <v/>
      </c>
      <c r="H25" s="42" t="str">
        <f>IF($B25="","",SUMPRODUCT(COUNTIFS(pbp_PlayType,EM_Type,pbp_PitTeam,$B25)*EM_BB))</f>
        <v/>
      </c>
      <c r="I25" s="42" t="str">
        <f>IF($B25="","",SUMPRODUCT(COUNTIFS(pbp_PlayType,EM_Type,pbp_PitTeam,$B25)*EM_HBP))</f>
        <v/>
      </c>
      <c r="J25" s="42" t="str">
        <f>IF($B25="","",COUNTIFS(pbp_PlayType,"?*",pbp_Desc,"*struck out*",pbp_PitTeam,$B25))</f>
        <v/>
      </c>
      <c r="K25" s="42" t="str">
        <f>IF($B25="","",SUMIFS(pbp_Runs,pbp_PitTeam,$B25))</f>
        <v/>
      </c>
      <c r="L25" s="42" t="str">
        <f>IF($B25="","",SUMPRODUCT(COUNTIFS(pbp_PlayType,EM_Type,pbp_PitTeam,$B25)*EM_AB))</f>
        <v/>
      </c>
      <c r="M25" s="42" t="str">
        <f>IF($B25="","",SUMPRODUCT(COUNTIFS(pbp_PlayType,EM_Type,pbp_PitTeam,$B25)*EM_SF))</f>
        <v/>
      </c>
      <c r="N25" s="42" t="str">
        <f>IF($B25="","",SUMIFS(pbp_Pitches,pbp_PitTeam,$B25,pbp_PlayType,"?*"))</f>
        <v/>
      </c>
      <c r="O25" s="60" t="str">
        <f t="shared" si="1"/>
        <v/>
      </c>
      <c r="P25" s="59" t="str">
        <f>IF($B25="","",IF(C25=0,"",1-SUMPRODUCT((pbp_PitTeam=$B25)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25)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25" s="59" t="str">
        <f>IF($B25="","",IF((SUMPRODUCT((pbp_PitTeam=$B25)*(LEN(pbp_PlayType)&gt;0)))=0,"",(SUMPRODUCT((pbp_PitTeam=$B25)*(LEN(pbp_PlayType)&gt;0)*ISNUMBER(MATCH(LEFT(TRIM(pbp_Seq)&amp;"/",FIND("/",TRIM(pbp_Seq)&amp;"/")-1),{"S","F","FT","FB","IN","MB","POS"},0))))/(SUMPRODUCT((pbp_PitTeam=$B25)*(LEN(pbp_PlayType)&gt;0)))))</f>
        <v/>
      </c>
      <c r="R25" s="59" t="str">
        <f t="shared" si="2"/>
        <v/>
      </c>
      <c r="S25" s="59" t="str">
        <f t="shared" si="3"/>
        <v/>
      </c>
      <c r="T25" s="59" t="str">
        <f t="shared" si="4"/>
        <v/>
      </c>
      <c r="U25" s="60" t="str">
        <f t="shared" si="5"/>
        <v/>
      </c>
      <c r="V25" s="60" t="str">
        <f t="shared" si="6"/>
        <v/>
      </c>
      <c r="W25" s="58" t="str">
        <f t="shared" si="7"/>
        <v/>
      </c>
      <c r="X25" s="58" t="str">
        <f t="shared" si="8"/>
        <v/>
      </c>
      <c r="Y25" s="58" t="str">
        <f t="shared" si="9"/>
        <v/>
      </c>
      <c r="Z25" s="42" t="str">
        <f t="shared" si="10"/>
        <v/>
      </c>
      <c r="AA25" s="42" t="str">
        <f>IF($B25="","",SUMPRODUCT(COUNTIFS(pbp_PlayType,EM_Type,pbp_PitTeam,$B25)*EM_ROE))</f>
        <v/>
      </c>
      <c r="AB25" s="42" t="str">
        <f>IF($B25="","",SUMPRODUCT(COUNTIFS(pbp_PlayType,EM_Type,pbp_PitTeam,$B25)*EM_DP))</f>
        <v/>
      </c>
      <c r="AC25" s="42" t="str">
        <f>IF($B25="","",SUMIFS(pbp_SB,pbp_PitTeam,$B25))</f>
        <v/>
      </c>
      <c r="AD25" s="42" t="str">
        <f>IF($B25="","",SUMIFS(pbp_CS,pbp_PitTeam,$B25))</f>
        <v/>
      </c>
      <c r="AE25" s="59" t="str">
        <f t="shared" si="11"/>
        <v/>
      </c>
      <c r="AF25" s="42" t="str">
        <f>IF($B25="","",SUMIFS(pbp_WP,pbp_PitTeam,$B25))</f>
        <v/>
      </c>
      <c r="AG25" s="42" t="str">
        <f>IF($B25="","",SUMIFS(pbp_PB,pbp_PitTeam,$B25))</f>
        <v/>
      </c>
    </row>
    <row r="26" spans="2:33" x14ac:dyDescent="0.2">
      <c r="B26" s="44" t="str">
        <f t="array" ref="B26">IFERROR(INDEX(pbp_PitTeam,MATCH(0,COUNTIF($B$5:B25,pbp_PitTeam),0)),"")</f>
        <v/>
      </c>
      <c r="C26" s="42" t="str">
        <f>IF($B26="","",SUMPRODUCT(COUNTIFS(pbp_PlayType,EM_Type,pbp_PitTeam,$B26)*EM_PA))</f>
        <v/>
      </c>
      <c r="D26" s="42" t="str">
        <f>IF($B26="","",SUMIFS(pbp_Outs,pbp_PitTeam,$B26))</f>
        <v/>
      </c>
      <c r="E26" s="70" t="str">
        <f t="shared" si="0"/>
        <v/>
      </c>
      <c r="F26" s="42" t="str">
        <f>IF($B26="","",SUMPRODUCT(COUNTIFS(pbp_PlayType,EM_Type,pbp_PitTeam,$B26)*EM_H))</f>
        <v/>
      </c>
      <c r="G26" s="42" t="str">
        <f>IF($B26="","",SUMPRODUCT(COUNTIFS(pbp_PlayType,EM_Type,pbp_PitTeam,$B26)*EM_HR))</f>
        <v/>
      </c>
      <c r="H26" s="42" t="str">
        <f>IF($B26="","",SUMPRODUCT(COUNTIFS(pbp_PlayType,EM_Type,pbp_PitTeam,$B26)*EM_BB))</f>
        <v/>
      </c>
      <c r="I26" s="42" t="str">
        <f>IF($B26="","",SUMPRODUCT(COUNTIFS(pbp_PlayType,EM_Type,pbp_PitTeam,$B26)*EM_HBP))</f>
        <v/>
      </c>
      <c r="J26" s="42" t="str">
        <f>IF($B26="","",COUNTIFS(pbp_PlayType,"?*",pbp_Desc,"*struck out*",pbp_PitTeam,$B26))</f>
        <v/>
      </c>
      <c r="K26" s="42" t="str">
        <f>IF($B26="","",SUMIFS(pbp_Runs,pbp_PitTeam,$B26))</f>
        <v/>
      </c>
      <c r="L26" s="42" t="str">
        <f>IF($B26="","",SUMPRODUCT(COUNTIFS(pbp_PlayType,EM_Type,pbp_PitTeam,$B26)*EM_AB))</f>
        <v/>
      </c>
      <c r="M26" s="42" t="str">
        <f>IF($B26="","",SUMPRODUCT(COUNTIFS(pbp_PlayType,EM_Type,pbp_PitTeam,$B26)*EM_SF))</f>
        <v/>
      </c>
      <c r="N26" s="42" t="str">
        <f>IF($B26="","",SUMIFS(pbp_Pitches,pbp_PitTeam,$B26,pbp_PlayType,"?*"))</f>
        <v/>
      </c>
      <c r="O26" s="60" t="str">
        <f t="shared" si="1"/>
        <v/>
      </c>
      <c r="P26" s="59" t="str">
        <f>IF($B26="","",IF(C26=0,"",1-SUMPRODUCT((pbp_PitTeam=$B26)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26)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26" s="59" t="str">
        <f>IF($B26="","",IF((SUMPRODUCT((pbp_PitTeam=$B26)*(LEN(pbp_PlayType)&gt;0)))=0,"",(SUMPRODUCT((pbp_PitTeam=$B26)*(LEN(pbp_PlayType)&gt;0)*ISNUMBER(MATCH(LEFT(TRIM(pbp_Seq)&amp;"/",FIND("/",TRIM(pbp_Seq)&amp;"/")-1),{"S","F","FT","FB","IN","MB","POS"},0))))/(SUMPRODUCT((pbp_PitTeam=$B26)*(LEN(pbp_PlayType)&gt;0)))))</f>
        <v/>
      </c>
      <c r="R26" s="59" t="str">
        <f t="shared" si="2"/>
        <v/>
      </c>
      <c r="S26" s="59" t="str">
        <f t="shared" si="3"/>
        <v/>
      </c>
      <c r="T26" s="59" t="str">
        <f t="shared" si="4"/>
        <v/>
      </c>
      <c r="U26" s="60" t="str">
        <f t="shared" si="5"/>
        <v/>
      </c>
      <c r="V26" s="60" t="str">
        <f t="shared" si="6"/>
        <v/>
      </c>
      <c r="W26" s="58" t="str">
        <f t="shared" si="7"/>
        <v/>
      </c>
      <c r="X26" s="58" t="str">
        <f t="shared" si="8"/>
        <v/>
      </c>
      <c r="Y26" s="58" t="str">
        <f t="shared" si="9"/>
        <v/>
      </c>
      <c r="Z26" s="42" t="str">
        <f t="shared" si="10"/>
        <v/>
      </c>
      <c r="AA26" s="42" t="str">
        <f>IF($B26="","",SUMPRODUCT(COUNTIFS(pbp_PlayType,EM_Type,pbp_PitTeam,$B26)*EM_ROE))</f>
        <v/>
      </c>
      <c r="AB26" s="42" t="str">
        <f>IF($B26="","",SUMPRODUCT(COUNTIFS(pbp_PlayType,EM_Type,pbp_PitTeam,$B26)*EM_DP))</f>
        <v/>
      </c>
      <c r="AC26" s="42" t="str">
        <f>IF($B26="","",SUMIFS(pbp_SB,pbp_PitTeam,$B26))</f>
        <v/>
      </c>
      <c r="AD26" s="42" t="str">
        <f>IF($B26="","",SUMIFS(pbp_CS,pbp_PitTeam,$B26))</f>
        <v/>
      </c>
      <c r="AE26" s="59" t="str">
        <f t="shared" si="11"/>
        <v/>
      </c>
      <c r="AF26" s="42" t="str">
        <f>IF($B26="","",SUMIFS(pbp_WP,pbp_PitTeam,$B26))</f>
        <v/>
      </c>
      <c r="AG26" s="42" t="str">
        <f>IF($B26="","",SUMIFS(pbp_PB,pbp_PitTeam,$B26))</f>
        <v/>
      </c>
    </row>
    <row r="27" spans="2:33" x14ac:dyDescent="0.2">
      <c r="B27" s="44" t="str">
        <f t="array" ref="B27">IFERROR(INDEX(pbp_PitTeam,MATCH(0,COUNTIF($B$5:B26,pbp_PitTeam),0)),"")</f>
        <v/>
      </c>
      <c r="C27" s="42" t="str">
        <f>IF($B27="","",SUMPRODUCT(COUNTIFS(pbp_PlayType,EM_Type,pbp_PitTeam,$B27)*EM_PA))</f>
        <v/>
      </c>
      <c r="D27" s="42" t="str">
        <f>IF($B27="","",SUMIFS(pbp_Outs,pbp_PitTeam,$B27))</f>
        <v/>
      </c>
      <c r="E27" s="70" t="str">
        <f t="shared" si="0"/>
        <v/>
      </c>
      <c r="F27" s="42" t="str">
        <f>IF($B27="","",SUMPRODUCT(COUNTIFS(pbp_PlayType,EM_Type,pbp_PitTeam,$B27)*EM_H))</f>
        <v/>
      </c>
      <c r="G27" s="42" t="str">
        <f>IF($B27="","",SUMPRODUCT(COUNTIFS(pbp_PlayType,EM_Type,pbp_PitTeam,$B27)*EM_HR))</f>
        <v/>
      </c>
      <c r="H27" s="42" t="str">
        <f>IF($B27="","",SUMPRODUCT(COUNTIFS(pbp_PlayType,EM_Type,pbp_PitTeam,$B27)*EM_BB))</f>
        <v/>
      </c>
      <c r="I27" s="42" t="str">
        <f>IF($B27="","",SUMPRODUCT(COUNTIFS(pbp_PlayType,EM_Type,pbp_PitTeam,$B27)*EM_HBP))</f>
        <v/>
      </c>
      <c r="J27" s="42" t="str">
        <f>IF($B27="","",COUNTIFS(pbp_PlayType,"?*",pbp_Desc,"*struck out*",pbp_PitTeam,$B27))</f>
        <v/>
      </c>
      <c r="K27" s="42" t="str">
        <f>IF($B27="","",SUMIFS(pbp_Runs,pbp_PitTeam,$B27))</f>
        <v/>
      </c>
      <c r="L27" s="42" t="str">
        <f>IF($B27="","",SUMPRODUCT(COUNTIFS(pbp_PlayType,EM_Type,pbp_PitTeam,$B27)*EM_AB))</f>
        <v/>
      </c>
      <c r="M27" s="42" t="str">
        <f>IF($B27="","",SUMPRODUCT(COUNTIFS(pbp_PlayType,EM_Type,pbp_PitTeam,$B27)*EM_SF))</f>
        <v/>
      </c>
      <c r="N27" s="42" t="str">
        <f>IF($B27="","",SUMIFS(pbp_Pitches,pbp_PitTeam,$B27,pbp_PlayType,"?*"))</f>
        <v/>
      </c>
      <c r="O27" s="60" t="str">
        <f t="shared" si="1"/>
        <v/>
      </c>
      <c r="P27" s="59" t="str">
        <f>IF($B27="","",IF(C27=0,"",1-SUMPRODUCT((pbp_PitTeam=$B27)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27)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27" s="59" t="str">
        <f>IF($B27="","",IF((SUMPRODUCT((pbp_PitTeam=$B27)*(LEN(pbp_PlayType)&gt;0)))=0,"",(SUMPRODUCT((pbp_PitTeam=$B27)*(LEN(pbp_PlayType)&gt;0)*ISNUMBER(MATCH(LEFT(TRIM(pbp_Seq)&amp;"/",FIND("/",TRIM(pbp_Seq)&amp;"/")-1),{"S","F","FT","FB","IN","MB","POS"},0))))/(SUMPRODUCT((pbp_PitTeam=$B27)*(LEN(pbp_PlayType)&gt;0)))))</f>
        <v/>
      </c>
      <c r="R27" s="59" t="str">
        <f t="shared" si="2"/>
        <v/>
      </c>
      <c r="S27" s="59" t="str">
        <f t="shared" si="3"/>
        <v/>
      </c>
      <c r="T27" s="59" t="str">
        <f t="shared" si="4"/>
        <v/>
      </c>
      <c r="U27" s="60" t="str">
        <f t="shared" si="5"/>
        <v/>
      </c>
      <c r="V27" s="60" t="str">
        <f t="shared" si="6"/>
        <v/>
      </c>
      <c r="W27" s="58" t="str">
        <f t="shared" si="7"/>
        <v/>
      </c>
      <c r="X27" s="58" t="str">
        <f t="shared" si="8"/>
        <v/>
      </c>
      <c r="Y27" s="58" t="str">
        <f t="shared" si="9"/>
        <v/>
      </c>
      <c r="Z27" s="42" t="str">
        <f t="shared" si="10"/>
        <v/>
      </c>
      <c r="AA27" s="42" t="str">
        <f>IF($B27="","",SUMPRODUCT(COUNTIFS(pbp_PlayType,EM_Type,pbp_PitTeam,$B27)*EM_ROE))</f>
        <v/>
      </c>
      <c r="AB27" s="42" t="str">
        <f>IF($B27="","",SUMPRODUCT(COUNTIFS(pbp_PlayType,EM_Type,pbp_PitTeam,$B27)*EM_DP))</f>
        <v/>
      </c>
      <c r="AC27" s="42" t="str">
        <f>IF($B27="","",SUMIFS(pbp_SB,pbp_PitTeam,$B27))</f>
        <v/>
      </c>
      <c r="AD27" s="42" t="str">
        <f>IF($B27="","",SUMIFS(pbp_CS,pbp_PitTeam,$B27))</f>
        <v/>
      </c>
      <c r="AE27" s="59" t="str">
        <f t="shared" si="11"/>
        <v/>
      </c>
      <c r="AF27" s="42" t="str">
        <f>IF($B27="","",SUMIFS(pbp_WP,pbp_PitTeam,$B27))</f>
        <v/>
      </c>
      <c r="AG27" s="42" t="str">
        <f>IF($B27="","",SUMIFS(pbp_PB,pbp_PitTeam,$B27))</f>
        <v/>
      </c>
    </row>
    <row r="28" spans="2:33" x14ac:dyDescent="0.2">
      <c r="B28" s="44" t="str">
        <f t="array" ref="B28">IFERROR(INDEX(pbp_PitTeam,MATCH(0,COUNTIF($B$5:B27,pbp_PitTeam),0)),"")</f>
        <v/>
      </c>
      <c r="C28" s="42" t="str">
        <f>IF($B28="","",SUMPRODUCT(COUNTIFS(pbp_PlayType,EM_Type,pbp_PitTeam,$B28)*EM_PA))</f>
        <v/>
      </c>
      <c r="D28" s="42" t="str">
        <f>IF($B28="","",SUMIFS(pbp_Outs,pbp_PitTeam,$B28))</f>
        <v/>
      </c>
      <c r="E28" s="70" t="str">
        <f t="shared" si="0"/>
        <v/>
      </c>
      <c r="F28" s="42" t="str">
        <f>IF($B28="","",SUMPRODUCT(COUNTIFS(pbp_PlayType,EM_Type,pbp_PitTeam,$B28)*EM_H))</f>
        <v/>
      </c>
      <c r="G28" s="42" t="str">
        <f>IF($B28="","",SUMPRODUCT(COUNTIFS(pbp_PlayType,EM_Type,pbp_PitTeam,$B28)*EM_HR))</f>
        <v/>
      </c>
      <c r="H28" s="42" t="str">
        <f>IF($B28="","",SUMPRODUCT(COUNTIFS(pbp_PlayType,EM_Type,pbp_PitTeam,$B28)*EM_BB))</f>
        <v/>
      </c>
      <c r="I28" s="42" t="str">
        <f>IF($B28="","",SUMPRODUCT(COUNTIFS(pbp_PlayType,EM_Type,pbp_PitTeam,$B28)*EM_HBP))</f>
        <v/>
      </c>
      <c r="J28" s="42" t="str">
        <f>IF($B28="","",COUNTIFS(pbp_PlayType,"?*",pbp_Desc,"*struck out*",pbp_PitTeam,$B28))</f>
        <v/>
      </c>
      <c r="K28" s="42" t="str">
        <f>IF($B28="","",SUMIFS(pbp_Runs,pbp_PitTeam,$B28))</f>
        <v/>
      </c>
      <c r="L28" s="42" t="str">
        <f>IF($B28="","",SUMPRODUCT(COUNTIFS(pbp_PlayType,EM_Type,pbp_PitTeam,$B28)*EM_AB))</f>
        <v/>
      </c>
      <c r="M28" s="42" t="str">
        <f>IF($B28="","",SUMPRODUCT(COUNTIFS(pbp_PlayType,EM_Type,pbp_PitTeam,$B28)*EM_SF))</f>
        <v/>
      </c>
      <c r="N28" s="42" t="str">
        <f>IF($B28="","",SUMIFS(pbp_Pitches,pbp_PitTeam,$B28,pbp_PlayType,"?*"))</f>
        <v/>
      </c>
      <c r="O28" s="60" t="str">
        <f t="shared" si="1"/>
        <v/>
      </c>
      <c r="P28" s="59" t="str">
        <f>IF($B28="","",IF(C28=0,"",1-SUMPRODUCT((pbp_PitTeam=$B28)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28)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28" s="59" t="str">
        <f>IF($B28="","",IF((SUMPRODUCT((pbp_PitTeam=$B28)*(LEN(pbp_PlayType)&gt;0)))=0,"",(SUMPRODUCT((pbp_PitTeam=$B28)*(LEN(pbp_PlayType)&gt;0)*ISNUMBER(MATCH(LEFT(TRIM(pbp_Seq)&amp;"/",FIND("/",TRIM(pbp_Seq)&amp;"/")-1),{"S","F","FT","FB","IN","MB","POS"},0))))/(SUMPRODUCT((pbp_PitTeam=$B28)*(LEN(pbp_PlayType)&gt;0)))))</f>
        <v/>
      </c>
      <c r="R28" s="59" t="str">
        <f t="shared" si="2"/>
        <v/>
      </c>
      <c r="S28" s="59" t="str">
        <f t="shared" si="3"/>
        <v/>
      </c>
      <c r="T28" s="59" t="str">
        <f t="shared" si="4"/>
        <v/>
      </c>
      <c r="U28" s="60" t="str">
        <f t="shared" si="5"/>
        <v/>
      </c>
      <c r="V28" s="60" t="str">
        <f t="shared" si="6"/>
        <v/>
      </c>
      <c r="W28" s="58" t="str">
        <f t="shared" si="7"/>
        <v/>
      </c>
      <c r="X28" s="58" t="str">
        <f t="shared" si="8"/>
        <v/>
      </c>
      <c r="Y28" s="58" t="str">
        <f t="shared" si="9"/>
        <v/>
      </c>
      <c r="Z28" s="42" t="str">
        <f t="shared" si="10"/>
        <v/>
      </c>
      <c r="AA28" s="42" t="str">
        <f>IF($B28="","",SUMPRODUCT(COUNTIFS(pbp_PlayType,EM_Type,pbp_PitTeam,$B28)*EM_ROE))</f>
        <v/>
      </c>
      <c r="AB28" s="42" t="str">
        <f>IF($B28="","",SUMPRODUCT(COUNTIFS(pbp_PlayType,EM_Type,pbp_PitTeam,$B28)*EM_DP))</f>
        <v/>
      </c>
      <c r="AC28" s="42" t="str">
        <f>IF($B28="","",SUMIFS(pbp_SB,pbp_PitTeam,$B28))</f>
        <v/>
      </c>
      <c r="AD28" s="42" t="str">
        <f>IF($B28="","",SUMIFS(pbp_CS,pbp_PitTeam,$B28))</f>
        <v/>
      </c>
      <c r="AE28" s="59" t="str">
        <f t="shared" si="11"/>
        <v/>
      </c>
      <c r="AF28" s="42" t="str">
        <f>IF($B28="","",SUMIFS(pbp_WP,pbp_PitTeam,$B28))</f>
        <v/>
      </c>
      <c r="AG28" s="42" t="str">
        <f>IF($B28="","",SUMIFS(pbp_PB,pbp_PitTeam,$B28))</f>
        <v/>
      </c>
    </row>
    <row r="29" spans="2:33" x14ac:dyDescent="0.2">
      <c r="B29" s="44" t="str">
        <f t="array" ref="B29">IFERROR(INDEX(pbp_PitTeam,MATCH(0,COUNTIF($B$5:B28,pbp_PitTeam),0)),"")</f>
        <v/>
      </c>
      <c r="C29" s="42" t="str">
        <f>IF($B29="","",SUMPRODUCT(COUNTIFS(pbp_PlayType,EM_Type,pbp_PitTeam,$B29)*EM_PA))</f>
        <v/>
      </c>
      <c r="D29" s="42" t="str">
        <f>IF($B29="","",SUMIFS(pbp_Outs,pbp_PitTeam,$B29))</f>
        <v/>
      </c>
      <c r="E29" s="70" t="str">
        <f t="shared" si="0"/>
        <v/>
      </c>
      <c r="F29" s="42" t="str">
        <f>IF($B29="","",SUMPRODUCT(COUNTIFS(pbp_PlayType,EM_Type,pbp_PitTeam,$B29)*EM_H))</f>
        <v/>
      </c>
      <c r="G29" s="42" t="str">
        <f>IF($B29="","",SUMPRODUCT(COUNTIFS(pbp_PlayType,EM_Type,pbp_PitTeam,$B29)*EM_HR))</f>
        <v/>
      </c>
      <c r="H29" s="42" t="str">
        <f>IF($B29="","",SUMPRODUCT(COUNTIFS(pbp_PlayType,EM_Type,pbp_PitTeam,$B29)*EM_BB))</f>
        <v/>
      </c>
      <c r="I29" s="42" t="str">
        <f>IF($B29="","",SUMPRODUCT(COUNTIFS(pbp_PlayType,EM_Type,pbp_PitTeam,$B29)*EM_HBP))</f>
        <v/>
      </c>
      <c r="J29" s="42" t="str">
        <f>IF($B29="","",COUNTIFS(pbp_PlayType,"?*",pbp_Desc,"*struck out*",pbp_PitTeam,$B29))</f>
        <v/>
      </c>
      <c r="K29" s="42" t="str">
        <f>IF($B29="","",SUMIFS(pbp_Runs,pbp_PitTeam,$B29))</f>
        <v/>
      </c>
      <c r="L29" s="42" t="str">
        <f>IF($B29="","",SUMPRODUCT(COUNTIFS(pbp_PlayType,EM_Type,pbp_PitTeam,$B29)*EM_AB))</f>
        <v/>
      </c>
      <c r="M29" s="42" t="str">
        <f>IF($B29="","",SUMPRODUCT(COUNTIFS(pbp_PlayType,EM_Type,pbp_PitTeam,$B29)*EM_SF))</f>
        <v/>
      </c>
      <c r="N29" s="42" t="str">
        <f>IF($B29="","",SUMIFS(pbp_Pitches,pbp_PitTeam,$B29,pbp_PlayType,"?*"))</f>
        <v/>
      </c>
      <c r="O29" s="60" t="str">
        <f t="shared" si="1"/>
        <v/>
      </c>
      <c r="P29" s="59" t="str">
        <f>IF($B29="","",IF(C29=0,"",1-SUMPRODUCT((pbp_PitTeam=$B29)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29)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29" s="59" t="str">
        <f>IF($B29="","",IF((SUMPRODUCT((pbp_PitTeam=$B29)*(LEN(pbp_PlayType)&gt;0)))=0,"",(SUMPRODUCT((pbp_PitTeam=$B29)*(LEN(pbp_PlayType)&gt;0)*ISNUMBER(MATCH(LEFT(TRIM(pbp_Seq)&amp;"/",FIND("/",TRIM(pbp_Seq)&amp;"/")-1),{"S","F","FT","FB","IN","MB","POS"},0))))/(SUMPRODUCT((pbp_PitTeam=$B29)*(LEN(pbp_PlayType)&gt;0)))))</f>
        <v/>
      </c>
      <c r="R29" s="59" t="str">
        <f t="shared" si="2"/>
        <v/>
      </c>
      <c r="S29" s="59" t="str">
        <f t="shared" si="3"/>
        <v/>
      </c>
      <c r="T29" s="59" t="str">
        <f t="shared" si="4"/>
        <v/>
      </c>
      <c r="U29" s="60" t="str">
        <f t="shared" si="5"/>
        <v/>
      </c>
      <c r="V29" s="60" t="str">
        <f t="shared" si="6"/>
        <v/>
      </c>
      <c r="W29" s="58" t="str">
        <f t="shared" si="7"/>
        <v/>
      </c>
      <c r="X29" s="58" t="str">
        <f t="shared" si="8"/>
        <v/>
      </c>
      <c r="Y29" s="58" t="str">
        <f t="shared" si="9"/>
        <v/>
      </c>
      <c r="Z29" s="42" t="str">
        <f t="shared" si="10"/>
        <v/>
      </c>
      <c r="AA29" s="42" t="str">
        <f>IF($B29="","",SUMPRODUCT(COUNTIFS(pbp_PlayType,EM_Type,pbp_PitTeam,$B29)*EM_ROE))</f>
        <v/>
      </c>
      <c r="AB29" s="42" t="str">
        <f>IF($B29="","",SUMPRODUCT(COUNTIFS(pbp_PlayType,EM_Type,pbp_PitTeam,$B29)*EM_DP))</f>
        <v/>
      </c>
      <c r="AC29" s="42" t="str">
        <f>IF($B29="","",SUMIFS(pbp_SB,pbp_PitTeam,$B29))</f>
        <v/>
      </c>
      <c r="AD29" s="42" t="str">
        <f>IF($B29="","",SUMIFS(pbp_CS,pbp_PitTeam,$B29))</f>
        <v/>
      </c>
      <c r="AE29" s="59" t="str">
        <f t="shared" si="11"/>
        <v/>
      </c>
      <c r="AF29" s="42" t="str">
        <f>IF($B29="","",SUMIFS(pbp_WP,pbp_PitTeam,$B29))</f>
        <v/>
      </c>
      <c r="AG29" s="42" t="str">
        <f>IF($B29="","",SUMIFS(pbp_PB,pbp_PitTeam,$B29))</f>
        <v/>
      </c>
    </row>
    <row r="30" spans="2:33" x14ac:dyDescent="0.2">
      <c r="B30" s="44" t="str">
        <f t="array" ref="B30">IFERROR(INDEX(pbp_PitTeam,MATCH(0,COUNTIF($B$5:B29,pbp_PitTeam),0)),"")</f>
        <v/>
      </c>
      <c r="C30" s="42" t="str">
        <f>IF($B30="","",SUMPRODUCT(COUNTIFS(pbp_PlayType,EM_Type,pbp_PitTeam,$B30)*EM_PA))</f>
        <v/>
      </c>
      <c r="D30" s="42" t="str">
        <f>IF($B30="","",SUMIFS(pbp_Outs,pbp_PitTeam,$B30))</f>
        <v/>
      </c>
      <c r="E30" s="70" t="str">
        <f t="shared" si="0"/>
        <v/>
      </c>
      <c r="F30" s="42" t="str">
        <f>IF($B30="","",SUMPRODUCT(COUNTIFS(pbp_PlayType,EM_Type,pbp_PitTeam,$B30)*EM_H))</f>
        <v/>
      </c>
      <c r="G30" s="42" t="str">
        <f>IF($B30="","",SUMPRODUCT(COUNTIFS(pbp_PlayType,EM_Type,pbp_PitTeam,$B30)*EM_HR))</f>
        <v/>
      </c>
      <c r="H30" s="42" t="str">
        <f>IF($B30="","",SUMPRODUCT(COUNTIFS(pbp_PlayType,EM_Type,pbp_PitTeam,$B30)*EM_BB))</f>
        <v/>
      </c>
      <c r="I30" s="42" t="str">
        <f>IF($B30="","",SUMPRODUCT(COUNTIFS(pbp_PlayType,EM_Type,pbp_PitTeam,$B30)*EM_HBP))</f>
        <v/>
      </c>
      <c r="J30" s="42" t="str">
        <f>IF($B30="","",COUNTIFS(pbp_PlayType,"?*",pbp_Desc,"*struck out*",pbp_PitTeam,$B30))</f>
        <v/>
      </c>
      <c r="K30" s="42" t="str">
        <f>IF($B30="","",SUMIFS(pbp_Runs,pbp_PitTeam,$B30))</f>
        <v/>
      </c>
      <c r="L30" s="42" t="str">
        <f>IF($B30="","",SUMPRODUCT(COUNTIFS(pbp_PlayType,EM_Type,pbp_PitTeam,$B30)*EM_AB))</f>
        <v/>
      </c>
      <c r="M30" s="42" t="str">
        <f>IF($B30="","",SUMPRODUCT(COUNTIFS(pbp_PlayType,EM_Type,pbp_PitTeam,$B30)*EM_SF))</f>
        <v/>
      </c>
      <c r="N30" s="42" t="str">
        <f>IF($B30="","",SUMIFS(pbp_Pitches,pbp_PitTeam,$B30,pbp_PlayType,"?*"))</f>
        <v/>
      </c>
      <c r="O30" s="60" t="str">
        <f t="shared" si="1"/>
        <v/>
      </c>
      <c r="P30" s="59" t="str">
        <f>IF($B30="","",IF(C30=0,"",1-SUMPRODUCT((pbp_PitTeam=$B30)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30)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30" s="59" t="str">
        <f>IF($B30="","",IF((SUMPRODUCT((pbp_PitTeam=$B30)*(LEN(pbp_PlayType)&gt;0)))=0,"",(SUMPRODUCT((pbp_PitTeam=$B30)*(LEN(pbp_PlayType)&gt;0)*ISNUMBER(MATCH(LEFT(TRIM(pbp_Seq)&amp;"/",FIND("/",TRIM(pbp_Seq)&amp;"/")-1),{"S","F","FT","FB","IN","MB","POS"},0))))/(SUMPRODUCT((pbp_PitTeam=$B30)*(LEN(pbp_PlayType)&gt;0)))))</f>
        <v/>
      </c>
      <c r="R30" s="59" t="str">
        <f t="shared" si="2"/>
        <v/>
      </c>
      <c r="S30" s="59" t="str">
        <f t="shared" si="3"/>
        <v/>
      </c>
      <c r="T30" s="59" t="str">
        <f t="shared" si="4"/>
        <v/>
      </c>
      <c r="U30" s="60" t="str">
        <f t="shared" si="5"/>
        <v/>
      </c>
      <c r="V30" s="60" t="str">
        <f t="shared" si="6"/>
        <v/>
      </c>
      <c r="W30" s="58" t="str">
        <f t="shared" si="7"/>
        <v/>
      </c>
      <c r="X30" s="58" t="str">
        <f t="shared" si="8"/>
        <v/>
      </c>
      <c r="Y30" s="58" t="str">
        <f t="shared" si="9"/>
        <v/>
      </c>
      <c r="Z30" s="42" t="str">
        <f t="shared" si="10"/>
        <v/>
      </c>
      <c r="AA30" s="42" t="str">
        <f>IF($B30="","",SUMPRODUCT(COUNTIFS(pbp_PlayType,EM_Type,pbp_PitTeam,$B30)*EM_ROE))</f>
        <v/>
      </c>
      <c r="AB30" s="42" t="str">
        <f>IF($B30="","",SUMPRODUCT(COUNTIFS(pbp_PlayType,EM_Type,pbp_PitTeam,$B30)*EM_DP))</f>
        <v/>
      </c>
      <c r="AC30" s="42" t="str">
        <f>IF($B30="","",SUMIFS(pbp_SB,pbp_PitTeam,$B30))</f>
        <v/>
      </c>
      <c r="AD30" s="42" t="str">
        <f>IF($B30="","",SUMIFS(pbp_CS,pbp_PitTeam,$B30))</f>
        <v/>
      </c>
      <c r="AE30" s="59" t="str">
        <f t="shared" si="11"/>
        <v/>
      </c>
      <c r="AF30" s="42" t="str">
        <f>IF($B30="","",SUMIFS(pbp_WP,pbp_PitTeam,$B30))</f>
        <v/>
      </c>
      <c r="AG30" s="42" t="str">
        <f>IF($B30="","",SUMIFS(pbp_PB,pbp_PitTeam,$B30))</f>
        <v/>
      </c>
    </row>
    <row r="31" spans="2:33" x14ac:dyDescent="0.2">
      <c r="B31" s="44" t="str">
        <f t="array" ref="B31">IFERROR(INDEX(pbp_PitTeam,MATCH(0,COUNTIF($B$5:B30,pbp_PitTeam),0)),"")</f>
        <v/>
      </c>
      <c r="C31" s="42" t="str">
        <f>IF($B31="","",SUMPRODUCT(COUNTIFS(pbp_PlayType,EM_Type,pbp_PitTeam,$B31)*EM_PA))</f>
        <v/>
      </c>
      <c r="D31" s="42" t="str">
        <f>IF($B31="","",SUMIFS(pbp_Outs,pbp_PitTeam,$B31))</f>
        <v/>
      </c>
      <c r="E31" s="70" t="str">
        <f t="shared" si="0"/>
        <v/>
      </c>
      <c r="F31" s="42" t="str">
        <f>IF($B31="","",SUMPRODUCT(COUNTIFS(pbp_PlayType,EM_Type,pbp_PitTeam,$B31)*EM_H))</f>
        <v/>
      </c>
      <c r="G31" s="42" t="str">
        <f>IF($B31="","",SUMPRODUCT(COUNTIFS(pbp_PlayType,EM_Type,pbp_PitTeam,$B31)*EM_HR))</f>
        <v/>
      </c>
      <c r="H31" s="42" t="str">
        <f>IF($B31="","",SUMPRODUCT(COUNTIFS(pbp_PlayType,EM_Type,pbp_PitTeam,$B31)*EM_BB))</f>
        <v/>
      </c>
      <c r="I31" s="42" t="str">
        <f>IF($B31="","",SUMPRODUCT(COUNTIFS(pbp_PlayType,EM_Type,pbp_PitTeam,$B31)*EM_HBP))</f>
        <v/>
      </c>
      <c r="J31" s="42" t="str">
        <f>IF($B31="","",COUNTIFS(pbp_PlayType,"?*",pbp_Desc,"*struck out*",pbp_PitTeam,$B31))</f>
        <v/>
      </c>
      <c r="K31" s="42" t="str">
        <f>IF($B31="","",SUMIFS(pbp_Runs,pbp_PitTeam,$B31))</f>
        <v/>
      </c>
      <c r="L31" s="42" t="str">
        <f>IF($B31="","",SUMPRODUCT(COUNTIFS(pbp_PlayType,EM_Type,pbp_PitTeam,$B31)*EM_AB))</f>
        <v/>
      </c>
      <c r="M31" s="42" t="str">
        <f>IF($B31="","",SUMPRODUCT(COUNTIFS(pbp_PlayType,EM_Type,pbp_PitTeam,$B31)*EM_SF))</f>
        <v/>
      </c>
      <c r="N31" s="42" t="str">
        <f>IF($B31="","",SUMIFS(pbp_Pitches,pbp_PitTeam,$B31,pbp_PlayType,"?*"))</f>
        <v/>
      </c>
      <c r="O31" s="60" t="str">
        <f t="shared" si="1"/>
        <v/>
      </c>
      <c r="P31" s="59" t="str">
        <f>IF($B31="","",IF(C31=0,"",1-SUMPRODUCT((pbp_PitTeam=$B31)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31)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31" s="59" t="str">
        <f>IF($B31="","",IF((SUMPRODUCT((pbp_PitTeam=$B31)*(LEN(pbp_PlayType)&gt;0)))=0,"",(SUMPRODUCT((pbp_PitTeam=$B31)*(LEN(pbp_PlayType)&gt;0)*ISNUMBER(MATCH(LEFT(TRIM(pbp_Seq)&amp;"/",FIND("/",TRIM(pbp_Seq)&amp;"/")-1),{"S","F","FT","FB","IN","MB","POS"},0))))/(SUMPRODUCT((pbp_PitTeam=$B31)*(LEN(pbp_PlayType)&gt;0)))))</f>
        <v/>
      </c>
      <c r="R31" s="59" t="str">
        <f t="shared" si="2"/>
        <v/>
      </c>
      <c r="S31" s="59" t="str">
        <f t="shared" si="3"/>
        <v/>
      </c>
      <c r="T31" s="59" t="str">
        <f t="shared" si="4"/>
        <v/>
      </c>
      <c r="U31" s="60" t="str">
        <f t="shared" si="5"/>
        <v/>
      </c>
      <c r="V31" s="60" t="str">
        <f t="shared" si="6"/>
        <v/>
      </c>
      <c r="W31" s="58" t="str">
        <f t="shared" si="7"/>
        <v/>
      </c>
      <c r="X31" s="58" t="str">
        <f t="shared" si="8"/>
        <v/>
      </c>
      <c r="Y31" s="58" t="str">
        <f t="shared" si="9"/>
        <v/>
      </c>
      <c r="Z31" s="42" t="str">
        <f t="shared" si="10"/>
        <v/>
      </c>
      <c r="AA31" s="42" t="str">
        <f>IF($B31="","",SUMPRODUCT(COUNTIFS(pbp_PlayType,EM_Type,pbp_PitTeam,$B31)*EM_ROE))</f>
        <v/>
      </c>
      <c r="AB31" s="42" t="str">
        <f>IF($B31="","",SUMPRODUCT(COUNTIFS(pbp_PlayType,EM_Type,pbp_PitTeam,$B31)*EM_DP))</f>
        <v/>
      </c>
      <c r="AC31" s="42" t="str">
        <f>IF($B31="","",SUMIFS(pbp_SB,pbp_PitTeam,$B31))</f>
        <v/>
      </c>
      <c r="AD31" s="42" t="str">
        <f>IF($B31="","",SUMIFS(pbp_CS,pbp_PitTeam,$B31))</f>
        <v/>
      </c>
      <c r="AE31" s="59" t="str">
        <f t="shared" si="11"/>
        <v/>
      </c>
      <c r="AF31" s="42" t="str">
        <f>IF($B31="","",SUMIFS(pbp_WP,pbp_PitTeam,$B31))</f>
        <v/>
      </c>
      <c r="AG31" s="42" t="str">
        <f>IF($B31="","",SUMIFS(pbp_PB,pbp_PitTeam,$B31))</f>
        <v/>
      </c>
    </row>
    <row r="32" spans="2:33" x14ac:dyDescent="0.2">
      <c r="B32" s="44" t="str">
        <f t="array" ref="B32">IFERROR(INDEX(pbp_PitTeam,MATCH(0,COUNTIF($B$5:B31,pbp_PitTeam),0)),"")</f>
        <v/>
      </c>
      <c r="C32" s="42" t="str">
        <f>IF($B32="","",SUMPRODUCT(COUNTIFS(pbp_PlayType,EM_Type,pbp_PitTeam,$B32)*EM_PA))</f>
        <v/>
      </c>
      <c r="D32" s="42" t="str">
        <f>IF($B32="","",SUMIFS(pbp_Outs,pbp_PitTeam,$B32))</f>
        <v/>
      </c>
      <c r="E32" s="70" t="str">
        <f t="shared" si="0"/>
        <v/>
      </c>
      <c r="F32" s="42" t="str">
        <f>IF($B32="","",SUMPRODUCT(COUNTIFS(pbp_PlayType,EM_Type,pbp_PitTeam,$B32)*EM_H))</f>
        <v/>
      </c>
      <c r="G32" s="42" t="str">
        <f>IF($B32="","",SUMPRODUCT(COUNTIFS(pbp_PlayType,EM_Type,pbp_PitTeam,$B32)*EM_HR))</f>
        <v/>
      </c>
      <c r="H32" s="42" t="str">
        <f>IF($B32="","",SUMPRODUCT(COUNTIFS(pbp_PlayType,EM_Type,pbp_PitTeam,$B32)*EM_BB))</f>
        <v/>
      </c>
      <c r="I32" s="42" t="str">
        <f>IF($B32="","",SUMPRODUCT(COUNTIFS(pbp_PlayType,EM_Type,pbp_PitTeam,$B32)*EM_HBP))</f>
        <v/>
      </c>
      <c r="J32" s="42" t="str">
        <f>IF($B32="","",COUNTIFS(pbp_PlayType,"?*",pbp_Desc,"*struck out*",pbp_PitTeam,$B32))</f>
        <v/>
      </c>
      <c r="K32" s="42" t="str">
        <f>IF($B32="","",SUMIFS(pbp_Runs,pbp_PitTeam,$B32))</f>
        <v/>
      </c>
      <c r="L32" s="42" t="str">
        <f>IF($B32="","",SUMPRODUCT(COUNTIFS(pbp_PlayType,EM_Type,pbp_PitTeam,$B32)*EM_AB))</f>
        <v/>
      </c>
      <c r="M32" s="42" t="str">
        <f>IF($B32="","",SUMPRODUCT(COUNTIFS(pbp_PlayType,EM_Type,pbp_PitTeam,$B32)*EM_SF))</f>
        <v/>
      </c>
      <c r="N32" s="42" t="str">
        <f>IF($B32="","",SUMIFS(pbp_Pitches,pbp_PitTeam,$B32,pbp_PlayType,"?*"))</f>
        <v/>
      </c>
      <c r="O32" s="60" t="str">
        <f t="shared" si="1"/>
        <v/>
      </c>
      <c r="P32" s="59" t="str">
        <f>IF($B32="","",IF(C32=0,"",1-SUMPRODUCT((pbp_PitTeam=$B32)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32)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32" s="59" t="str">
        <f>IF($B32="","",IF((SUMPRODUCT((pbp_PitTeam=$B32)*(LEN(pbp_PlayType)&gt;0)))=0,"",(SUMPRODUCT((pbp_PitTeam=$B32)*(LEN(pbp_PlayType)&gt;0)*ISNUMBER(MATCH(LEFT(TRIM(pbp_Seq)&amp;"/",FIND("/",TRIM(pbp_Seq)&amp;"/")-1),{"S","F","FT","FB","IN","MB","POS"},0))))/(SUMPRODUCT((pbp_PitTeam=$B32)*(LEN(pbp_PlayType)&gt;0)))))</f>
        <v/>
      </c>
      <c r="R32" s="59" t="str">
        <f t="shared" si="2"/>
        <v/>
      </c>
      <c r="S32" s="59" t="str">
        <f t="shared" si="3"/>
        <v/>
      </c>
      <c r="T32" s="59" t="str">
        <f t="shared" si="4"/>
        <v/>
      </c>
      <c r="U32" s="60" t="str">
        <f t="shared" si="5"/>
        <v/>
      </c>
      <c r="V32" s="60" t="str">
        <f t="shared" si="6"/>
        <v/>
      </c>
      <c r="W32" s="58" t="str">
        <f t="shared" si="7"/>
        <v/>
      </c>
      <c r="X32" s="58" t="str">
        <f t="shared" si="8"/>
        <v/>
      </c>
      <c r="Y32" s="58" t="str">
        <f t="shared" si="9"/>
        <v/>
      </c>
      <c r="Z32" s="42" t="str">
        <f t="shared" si="10"/>
        <v/>
      </c>
      <c r="AA32" s="42" t="str">
        <f>IF($B32="","",SUMPRODUCT(COUNTIFS(pbp_PlayType,EM_Type,pbp_PitTeam,$B32)*EM_ROE))</f>
        <v/>
      </c>
      <c r="AB32" s="42" t="str">
        <f>IF($B32="","",SUMPRODUCT(COUNTIFS(pbp_PlayType,EM_Type,pbp_PitTeam,$B32)*EM_DP))</f>
        <v/>
      </c>
      <c r="AC32" s="42" t="str">
        <f>IF($B32="","",SUMIFS(pbp_SB,pbp_PitTeam,$B32))</f>
        <v/>
      </c>
      <c r="AD32" s="42" t="str">
        <f>IF($B32="","",SUMIFS(pbp_CS,pbp_PitTeam,$B32))</f>
        <v/>
      </c>
      <c r="AE32" s="59" t="str">
        <f t="shared" si="11"/>
        <v/>
      </c>
      <c r="AF32" s="42" t="str">
        <f>IF($B32="","",SUMIFS(pbp_WP,pbp_PitTeam,$B32))</f>
        <v/>
      </c>
      <c r="AG32" s="42" t="str">
        <f>IF($B32="","",SUMIFS(pbp_PB,pbp_PitTeam,$B32))</f>
        <v/>
      </c>
    </row>
    <row r="33" spans="2:33" x14ac:dyDescent="0.2">
      <c r="B33" s="44" t="str">
        <f t="array" ref="B33">IFERROR(INDEX(pbp_PitTeam,MATCH(0,COUNTIF($B$5:B32,pbp_PitTeam),0)),"")</f>
        <v/>
      </c>
      <c r="C33" s="42" t="str">
        <f>IF($B33="","",SUMPRODUCT(COUNTIFS(pbp_PlayType,EM_Type,pbp_PitTeam,$B33)*EM_PA))</f>
        <v/>
      </c>
      <c r="D33" s="42" t="str">
        <f>IF($B33="","",SUMIFS(pbp_Outs,pbp_PitTeam,$B33))</f>
        <v/>
      </c>
      <c r="E33" s="70" t="str">
        <f t="shared" si="0"/>
        <v/>
      </c>
      <c r="F33" s="42" t="str">
        <f>IF($B33="","",SUMPRODUCT(COUNTIFS(pbp_PlayType,EM_Type,pbp_PitTeam,$B33)*EM_H))</f>
        <v/>
      </c>
      <c r="G33" s="42" t="str">
        <f>IF($B33="","",SUMPRODUCT(COUNTIFS(pbp_PlayType,EM_Type,pbp_PitTeam,$B33)*EM_HR))</f>
        <v/>
      </c>
      <c r="H33" s="42" t="str">
        <f>IF($B33="","",SUMPRODUCT(COUNTIFS(pbp_PlayType,EM_Type,pbp_PitTeam,$B33)*EM_BB))</f>
        <v/>
      </c>
      <c r="I33" s="42" t="str">
        <f>IF($B33="","",SUMPRODUCT(COUNTIFS(pbp_PlayType,EM_Type,pbp_PitTeam,$B33)*EM_HBP))</f>
        <v/>
      </c>
      <c r="J33" s="42" t="str">
        <f>IF($B33="","",COUNTIFS(pbp_PlayType,"?*",pbp_Desc,"*struck out*",pbp_PitTeam,$B33))</f>
        <v/>
      </c>
      <c r="K33" s="42" t="str">
        <f>IF($B33="","",SUMIFS(pbp_Runs,pbp_PitTeam,$B33))</f>
        <v/>
      </c>
      <c r="L33" s="42" t="str">
        <f>IF($B33="","",SUMPRODUCT(COUNTIFS(pbp_PlayType,EM_Type,pbp_PitTeam,$B33)*EM_AB))</f>
        <v/>
      </c>
      <c r="M33" s="42" t="str">
        <f>IF($B33="","",SUMPRODUCT(COUNTIFS(pbp_PlayType,EM_Type,pbp_PitTeam,$B33)*EM_SF))</f>
        <v/>
      </c>
      <c r="N33" s="42" t="str">
        <f>IF($B33="","",SUMIFS(pbp_Pitches,pbp_PitTeam,$B33,pbp_PlayType,"?*"))</f>
        <v/>
      </c>
      <c r="O33" s="60" t="str">
        <f t="shared" si="1"/>
        <v/>
      </c>
      <c r="P33" s="59" t="str">
        <f>IF($B33="","",IF(C33=0,"",1-SUMPRODUCT((pbp_PitTeam=$B33)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33)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33" s="59" t="str">
        <f>IF($B33="","",IF((SUMPRODUCT((pbp_PitTeam=$B33)*(LEN(pbp_PlayType)&gt;0)))=0,"",(SUMPRODUCT((pbp_PitTeam=$B33)*(LEN(pbp_PlayType)&gt;0)*ISNUMBER(MATCH(LEFT(TRIM(pbp_Seq)&amp;"/",FIND("/",TRIM(pbp_Seq)&amp;"/")-1),{"S","F","FT","FB","IN","MB","POS"},0))))/(SUMPRODUCT((pbp_PitTeam=$B33)*(LEN(pbp_PlayType)&gt;0)))))</f>
        <v/>
      </c>
      <c r="R33" s="59" t="str">
        <f t="shared" si="2"/>
        <v/>
      </c>
      <c r="S33" s="59" t="str">
        <f t="shared" si="3"/>
        <v/>
      </c>
      <c r="T33" s="59" t="str">
        <f t="shared" si="4"/>
        <v/>
      </c>
      <c r="U33" s="60" t="str">
        <f t="shared" si="5"/>
        <v/>
      </c>
      <c r="V33" s="60" t="str">
        <f t="shared" si="6"/>
        <v/>
      </c>
      <c r="W33" s="58" t="str">
        <f t="shared" si="7"/>
        <v/>
      </c>
      <c r="X33" s="58" t="str">
        <f t="shared" si="8"/>
        <v/>
      </c>
      <c r="Y33" s="58" t="str">
        <f t="shared" si="9"/>
        <v/>
      </c>
      <c r="Z33" s="42" t="str">
        <f t="shared" si="10"/>
        <v/>
      </c>
      <c r="AA33" s="42" t="str">
        <f>IF($B33="","",SUMPRODUCT(COUNTIFS(pbp_PlayType,EM_Type,pbp_PitTeam,$B33)*EM_ROE))</f>
        <v/>
      </c>
      <c r="AB33" s="42" t="str">
        <f>IF($B33="","",SUMPRODUCT(COUNTIFS(pbp_PlayType,EM_Type,pbp_PitTeam,$B33)*EM_DP))</f>
        <v/>
      </c>
      <c r="AC33" s="42" t="str">
        <f>IF($B33="","",SUMIFS(pbp_SB,pbp_PitTeam,$B33))</f>
        <v/>
      </c>
      <c r="AD33" s="42" t="str">
        <f>IF($B33="","",SUMIFS(pbp_CS,pbp_PitTeam,$B33))</f>
        <v/>
      </c>
      <c r="AE33" s="59" t="str">
        <f t="shared" si="11"/>
        <v/>
      </c>
      <c r="AF33" s="42" t="str">
        <f>IF($B33="","",SUMIFS(pbp_WP,pbp_PitTeam,$B33))</f>
        <v/>
      </c>
      <c r="AG33" s="42" t="str">
        <f>IF($B33="","",SUMIFS(pbp_PB,pbp_PitTeam,$B33))</f>
        <v/>
      </c>
    </row>
    <row r="34" spans="2:33" x14ac:dyDescent="0.2">
      <c r="B34" s="44" t="str">
        <f t="array" ref="B34">IFERROR(INDEX(pbp_PitTeam,MATCH(0,COUNTIF($B$5:B33,pbp_PitTeam),0)),"")</f>
        <v/>
      </c>
      <c r="C34" s="42" t="str">
        <f>IF($B34="","",SUMPRODUCT(COUNTIFS(pbp_PlayType,EM_Type,pbp_PitTeam,$B34)*EM_PA))</f>
        <v/>
      </c>
      <c r="D34" s="42" t="str">
        <f>IF($B34="","",SUMIFS(pbp_Outs,pbp_PitTeam,$B34))</f>
        <v/>
      </c>
      <c r="E34" s="70" t="str">
        <f t="shared" si="0"/>
        <v/>
      </c>
      <c r="F34" s="42" t="str">
        <f>IF($B34="","",SUMPRODUCT(COUNTIFS(pbp_PlayType,EM_Type,pbp_PitTeam,$B34)*EM_H))</f>
        <v/>
      </c>
      <c r="G34" s="42" t="str">
        <f>IF($B34="","",SUMPRODUCT(COUNTIFS(pbp_PlayType,EM_Type,pbp_PitTeam,$B34)*EM_HR))</f>
        <v/>
      </c>
      <c r="H34" s="42" t="str">
        <f>IF($B34="","",SUMPRODUCT(COUNTIFS(pbp_PlayType,EM_Type,pbp_PitTeam,$B34)*EM_BB))</f>
        <v/>
      </c>
      <c r="I34" s="42" t="str">
        <f>IF($B34="","",SUMPRODUCT(COUNTIFS(pbp_PlayType,EM_Type,pbp_PitTeam,$B34)*EM_HBP))</f>
        <v/>
      </c>
      <c r="J34" s="42" t="str">
        <f>IF($B34="","",COUNTIFS(pbp_PlayType,"?*",pbp_Desc,"*struck out*",pbp_PitTeam,$B34))</f>
        <v/>
      </c>
      <c r="K34" s="42" t="str">
        <f>IF($B34="","",SUMIFS(pbp_Runs,pbp_PitTeam,$B34))</f>
        <v/>
      </c>
      <c r="L34" s="42" t="str">
        <f>IF($B34="","",SUMPRODUCT(COUNTIFS(pbp_PlayType,EM_Type,pbp_PitTeam,$B34)*EM_AB))</f>
        <v/>
      </c>
      <c r="M34" s="42" t="str">
        <f>IF($B34="","",SUMPRODUCT(COUNTIFS(pbp_PlayType,EM_Type,pbp_PitTeam,$B34)*EM_SF))</f>
        <v/>
      </c>
      <c r="N34" s="42" t="str">
        <f>IF($B34="","",SUMIFS(pbp_Pitches,pbp_PitTeam,$B34,pbp_PlayType,"?*"))</f>
        <v/>
      </c>
      <c r="O34" s="60" t="str">
        <f t="shared" si="1"/>
        <v/>
      </c>
      <c r="P34" s="59" t="str">
        <f>IF($B34="","",IF(C34=0,"",1-SUMPRODUCT((pbp_PitTeam=$B34)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34)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34" s="59" t="str">
        <f>IF($B34="","",IF((SUMPRODUCT((pbp_PitTeam=$B34)*(LEN(pbp_PlayType)&gt;0)))=0,"",(SUMPRODUCT((pbp_PitTeam=$B34)*(LEN(pbp_PlayType)&gt;0)*ISNUMBER(MATCH(LEFT(TRIM(pbp_Seq)&amp;"/",FIND("/",TRIM(pbp_Seq)&amp;"/")-1),{"S","F","FT","FB","IN","MB","POS"},0))))/(SUMPRODUCT((pbp_PitTeam=$B34)*(LEN(pbp_PlayType)&gt;0)))))</f>
        <v/>
      </c>
      <c r="R34" s="59" t="str">
        <f t="shared" si="2"/>
        <v/>
      </c>
      <c r="S34" s="59" t="str">
        <f t="shared" si="3"/>
        <v/>
      </c>
      <c r="T34" s="59" t="str">
        <f t="shared" si="4"/>
        <v/>
      </c>
      <c r="U34" s="60" t="str">
        <f t="shared" si="5"/>
        <v/>
      </c>
      <c r="V34" s="60" t="str">
        <f t="shared" si="6"/>
        <v/>
      </c>
      <c r="W34" s="58" t="str">
        <f t="shared" si="7"/>
        <v/>
      </c>
      <c r="X34" s="58" t="str">
        <f t="shared" si="8"/>
        <v/>
      </c>
      <c r="Y34" s="58" t="str">
        <f t="shared" si="9"/>
        <v/>
      </c>
      <c r="Z34" s="42" t="str">
        <f t="shared" si="10"/>
        <v/>
      </c>
      <c r="AA34" s="42" t="str">
        <f>IF($B34="","",SUMPRODUCT(COUNTIFS(pbp_PlayType,EM_Type,pbp_PitTeam,$B34)*EM_ROE))</f>
        <v/>
      </c>
      <c r="AB34" s="42" t="str">
        <f>IF($B34="","",SUMPRODUCT(COUNTIFS(pbp_PlayType,EM_Type,pbp_PitTeam,$B34)*EM_DP))</f>
        <v/>
      </c>
      <c r="AC34" s="42" t="str">
        <f>IF($B34="","",SUMIFS(pbp_SB,pbp_PitTeam,$B34))</f>
        <v/>
      </c>
      <c r="AD34" s="42" t="str">
        <f>IF($B34="","",SUMIFS(pbp_CS,pbp_PitTeam,$B34))</f>
        <v/>
      </c>
      <c r="AE34" s="59" t="str">
        <f t="shared" si="11"/>
        <v/>
      </c>
      <c r="AF34" s="42" t="str">
        <f>IF($B34="","",SUMIFS(pbp_WP,pbp_PitTeam,$B34))</f>
        <v/>
      </c>
      <c r="AG34" s="42" t="str">
        <f>IF($B34="","",SUMIFS(pbp_PB,pbp_PitTeam,$B34))</f>
        <v/>
      </c>
    </row>
    <row r="35" spans="2:33" x14ac:dyDescent="0.2">
      <c r="B35" s="44" t="str">
        <f t="array" ref="B35">IFERROR(INDEX(pbp_PitTeam,MATCH(0,COUNTIF($B$5:B34,pbp_PitTeam),0)),"")</f>
        <v/>
      </c>
      <c r="C35" s="42" t="str">
        <f>IF($B35="","",SUMPRODUCT(COUNTIFS(pbp_PlayType,EM_Type,pbp_PitTeam,$B35)*EM_PA))</f>
        <v/>
      </c>
      <c r="D35" s="42" t="str">
        <f>IF($B35="","",SUMIFS(pbp_Outs,pbp_PitTeam,$B35))</f>
        <v/>
      </c>
      <c r="E35" s="70" t="str">
        <f t="shared" si="0"/>
        <v/>
      </c>
      <c r="F35" s="42" t="str">
        <f>IF($B35="","",SUMPRODUCT(COUNTIFS(pbp_PlayType,EM_Type,pbp_PitTeam,$B35)*EM_H))</f>
        <v/>
      </c>
      <c r="G35" s="42" t="str">
        <f>IF($B35="","",SUMPRODUCT(COUNTIFS(pbp_PlayType,EM_Type,pbp_PitTeam,$B35)*EM_HR))</f>
        <v/>
      </c>
      <c r="H35" s="42" t="str">
        <f>IF($B35="","",SUMPRODUCT(COUNTIFS(pbp_PlayType,EM_Type,pbp_PitTeam,$B35)*EM_BB))</f>
        <v/>
      </c>
      <c r="I35" s="42" t="str">
        <f>IF($B35="","",SUMPRODUCT(COUNTIFS(pbp_PlayType,EM_Type,pbp_PitTeam,$B35)*EM_HBP))</f>
        <v/>
      </c>
      <c r="J35" s="42" t="str">
        <f>IF($B35="","",COUNTIFS(pbp_PlayType,"?*",pbp_Desc,"*struck out*",pbp_PitTeam,$B35))</f>
        <v/>
      </c>
      <c r="K35" s="42" t="str">
        <f>IF($B35="","",SUMIFS(pbp_Runs,pbp_PitTeam,$B35))</f>
        <v/>
      </c>
      <c r="L35" s="42" t="str">
        <f>IF($B35="","",SUMPRODUCT(COUNTIFS(pbp_PlayType,EM_Type,pbp_PitTeam,$B35)*EM_AB))</f>
        <v/>
      </c>
      <c r="M35" s="42" t="str">
        <f>IF($B35="","",SUMPRODUCT(COUNTIFS(pbp_PlayType,EM_Type,pbp_PitTeam,$B35)*EM_SF))</f>
        <v/>
      </c>
      <c r="N35" s="42" t="str">
        <f>IF($B35="","",SUMIFS(pbp_Pitches,pbp_PitTeam,$B35,pbp_PlayType,"?*"))</f>
        <v/>
      </c>
      <c r="O35" s="60" t="str">
        <f t="shared" si="1"/>
        <v/>
      </c>
      <c r="P35" s="59" t="str">
        <f>IF($B35="","",IF(C35=0,"",1-SUMPRODUCT((pbp_PitTeam=$B35)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Team=$B35)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Q35" s="59" t="str">
        <f>IF($B35="","",IF((SUMPRODUCT((pbp_PitTeam=$B35)*(LEN(pbp_PlayType)&gt;0)))=0,"",(SUMPRODUCT((pbp_PitTeam=$B35)*(LEN(pbp_PlayType)&gt;0)*ISNUMBER(MATCH(LEFT(TRIM(pbp_Seq)&amp;"/",FIND("/",TRIM(pbp_Seq)&amp;"/")-1),{"S","F","FT","FB","IN","MB","POS"},0))))/(SUMPRODUCT((pbp_PitTeam=$B35)*(LEN(pbp_PlayType)&gt;0)))))</f>
        <v/>
      </c>
      <c r="R35" s="59" t="str">
        <f t="shared" si="2"/>
        <v/>
      </c>
      <c r="S35" s="59" t="str">
        <f t="shared" si="3"/>
        <v/>
      </c>
      <c r="T35" s="59" t="str">
        <f t="shared" si="4"/>
        <v/>
      </c>
      <c r="U35" s="60" t="str">
        <f t="shared" si="5"/>
        <v/>
      </c>
      <c r="V35" s="60" t="str">
        <f t="shared" si="6"/>
        <v/>
      </c>
      <c r="W35" s="58" t="str">
        <f t="shared" si="7"/>
        <v/>
      </c>
      <c r="X35" s="58" t="str">
        <f t="shared" si="8"/>
        <v/>
      </c>
      <c r="Y35" s="58" t="str">
        <f t="shared" si="9"/>
        <v/>
      </c>
      <c r="Z35" s="42" t="str">
        <f t="shared" si="10"/>
        <v/>
      </c>
      <c r="AA35" s="42" t="str">
        <f>IF($B35="","",SUMPRODUCT(COUNTIFS(pbp_PlayType,EM_Type,pbp_PitTeam,$B35)*EM_ROE))</f>
        <v/>
      </c>
      <c r="AB35" s="42" t="str">
        <f>IF($B35="","",SUMPRODUCT(COUNTIFS(pbp_PlayType,EM_Type,pbp_PitTeam,$B35)*EM_DP))</f>
        <v/>
      </c>
      <c r="AC35" s="42" t="str">
        <f>IF($B35="","",SUMIFS(pbp_SB,pbp_PitTeam,$B35))</f>
        <v/>
      </c>
      <c r="AD35" s="42" t="str">
        <f>IF($B35="","",SUMIFS(pbp_CS,pbp_PitTeam,$B35))</f>
        <v/>
      </c>
      <c r="AE35" s="59" t="str">
        <f t="shared" si="11"/>
        <v/>
      </c>
      <c r="AF35" s="42" t="str">
        <f>IF($B35="","",SUMIFS(pbp_WP,pbp_PitTeam,$B35))</f>
        <v/>
      </c>
      <c r="AG35" s="42" t="str">
        <f>IF($B35="","",SUMIFS(pbp_PB,pbp_PitTeam,$B35))</f>
        <v/>
      </c>
    </row>
  </sheetData>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B2:AA255"/>
  <sheetViews>
    <sheetView showGridLines="0" zoomScaleNormal="100" workbookViewId="0">
      <pane xSplit="2" ySplit="5" topLeftCell="C6" activePane="bottomRight" state="frozen"/>
      <selection pane="topRight"/>
      <selection pane="bottomLeft"/>
      <selection pane="bottomRight"/>
    </sheetView>
  </sheetViews>
  <sheetFormatPr baseColWidth="10" defaultColWidth="8.6640625" defaultRowHeight="15" x14ac:dyDescent="0.2"/>
  <cols>
    <col min="1" max="1" width="3" customWidth="1"/>
    <col min="2" max="2" width="24" customWidth="1"/>
    <col min="3" max="3" width="20" customWidth="1"/>
    <col min="4" max="4" width="7" customWidth="1"/>
    <col min="5" max="15" width="6" customWidth="1"/>
    <col min="16" max="18" width="8" customWidth="1"/>
    <col min="19" max="19" width="9" customWidth="1"/>
    <col min="20" max="25" width="7" customWidth="1"/>
    <col min="26" max="26" width="8" customWidth="1"/>
    <col min="27" max="27" width="7" customWidth="1"/>
  </cols>
  <sheetData>
    <row r="2" spans="2:27" ht="21" x14ac:dyDescent="0.25">
      <c r="B2" s="37" t="s">
        <v>392</v>
      </c>
    </row>
    <row r="3" spans="2:27" x14ac:dyDescent="0.2">
      <c r="B3" s="38" t="s">
        <v>393</v>
      </c>
    </row>
    <row r="5" spans="2:27" ht="31.5" customHeight="1" x14ac:dyDescent="0.2">
      <c r="B5" s="43" t="s">
        <v>311</v>
      </c>
      <c r="C5" s="43" t="s">
        <v>292</v>
      </c>
      <c r="D5" s="43" t="s">
        <v>394</v>
      </c>
      <c r="E5" s="43" t="s">
        <v>312</v>
      </c>
      <c r="F5" s="43" t="s">
        <v>374</v>
      </c>
      <c r="G5" s="43" t="s">
        <v>375</v>
      </c>
      <c r="H5" s="43" t="s">
        <v>318</v>
      </c>
      <c r="I5" s="43" t="s">
        <v>319</v>
      </c>
      <c r="J5" s="43" t="s">
        <v>321</v>
      </c>
      <c r="K5" s="43" t="s">
        <v>323</v>
      </c>
      <c r="L5" s="43" t="s">
        <v>324</v>
      </c>
      <c r="M5" s="43" t="s">
        <v>55</v>
      </c>
      <c r="N5" s="43" t="s">
        <v>317</v>
      </c>
      <c r="O5" s="43" t="s">
        <v>325</v>
      </c>
      <c r="P5" s="43" t="s">
        <v>376</v>
      </c>
      <c r="Q5" s="43" t="s">
        <v>377</v>
      </c>
      <c r="R5" s="43" t="s">
        <v>378</v>
      </c>
      <c r="S5" s="43" t="s">
        <v>379</v>
      </c>
      <c r="T5" s="43" t="s">
        <v>334</v>
      </c>
      <c r="U5" s="43" t="s">
        <v>335</v>
      </c>
      <c r="V5" s="43" t="s">
        <v>380</v>
      </c>
      <c r="W5" s="43" t="s">
        <v>303</v>
      </c>
      <c r="X5" s="43" t="s">
        <v>302</v>
      </c>
      <c r="Y5" s="43" t="s">
        <v>381</v>
      </c>
      <c r="Z5" s="43" t="s">
        <v>382</v>
      </c>
      <c r="AA5" s="43" t="s">
        <v>395</v>
      </c>
    </row>
    <row r="6" spans="2:27" x14ac:dyDescent="0.2">
      <c r="B6" s="44" t="str">
        <f t="array" ref="B6">IFERROR(INDEX(pbp_Pitcher,MATCH(0,COUNTIF($B$5:B5,pbp_Pitcher)+(pbp_Pitcher=""),0)),"")</f>
        <v>Max Scherzer</v>
      </c>
      <c r="C6" s="61" t="str">
        <f>IF($B6="","",IFERROR(INDEX(pbp_PitTeam,MATCH($B6,pbp_Pitcher,0)),""))</f>
        <v>Toronto Blue Jays</v>
      </c>
      <c r="D6" s="61" t="str">
        <f>IF($B6="","",IFERROR(INDEX(pbp_PitHand,MATCH($B6,pbp_Pitcher,0)),""))</f>
        <v>R</v>
      </c>
      <c r="E6" s="42">
        <f>IF($B6="","",SUMPRODUCT(COUNTIFS(pbp_PlayType,EM_Type,pbp_Pitcher,$B6)*EM_PA))</f>
        <v>18</v>
      </c>
      <c r="F6" s="42">
        <f>IF($B6="","",SUMIFS(pbp_Outs,pbp_Pitcher,$B6))</f>
        <v>13</v>
      </c>
      <c r="G6" s="70">
        <f t="shared" ref="G6:G69" si="0">IF($B6="","",INT(F6/3)+MOD(F6,3)/10)</f>
        <v>4.0999999999999996</v>
      </c>
      <c r="H6" s="42">
        <f>IF($B6="","",SUMPRODUCT(COUNTIFS(pbp_PlayType,EM_Type,pbp_Pitcher,$B6)*EM_H))</f>
        <v>4</v>
      </c>
      <c r="I6" s="42">
        <f>IF($B6="","",SUMPRODUCT(COUNTIFS(pbp_PlayType,EM_Type,pbp_Pitcher,$B6)*EM_HR))</f>
        <v>0</v>
      </c>
      <c r="J6" s="42">
        <f>IF($B6="","",SUMPRODUCT(COUNTIFS(pbp_PlayType,EM_Type,pbp_Pitcher,$B6)*EM_BB))</f>
        <v>1</v>
      </c>
      <c r="K6" s="42">
        <f>IF($B6="","",SUMPRODUCT(COUNTIFS(pbp_PlayType,EM_Type,pbp_Pitcher,$B6)*EM_HBP))</f>
        <v>0</v>
      </c>
      <c r="L6" s="42">
        <f>IF($B6="","",COUNTIFS(pbp_PlayType,"?*",pbp_Desc,"*struck out*",pbp_Pitcher,$B6))</f>
        <v>3</v>
      </c>
      <c r="M6" s="42">
        <f>IF($B6="","",SUMIFS(pbp_Runs,pbp_Pitcher,$B6))</f>
        <v>1</v>
      </c>
      <c r="N6" s="42">
        <f>IF($B6="","",SUMPRODUCT(COUNTIFS(pbp_PlayType,EM_Type,pbp_Pitcher,$B6)*EM_AB))</f>
        <v>16</v>
      </c>
      <c r="O6" s="42">
        <f>IF($B6="","",SUMPRODUCT(COUNTIFS(pbp_PlayType,EM_Type,pbp_Pitcher,$B6)*EM_SF))</f>
        <v>1</v>
      </c>
      <c r="P6" s="42">
        <f>IF($B6="","",SUMIFS(pbp_Pitches,pbp_Pitcher,$B6,pbp_PlayType,"?*"))</f>
        <v>54</v>
      </c>
      <c r="Q6" s="60">
        <f t="shared" ref="Q6:Q69" si="1">IF($B6="","",IF((E6)=0,"",(P6)/(E6)))</f>
        <v>3</v>
      </c>
      <c r="R6" s="59">
        <f>IF($B6="","",IF(E6=0,"",1-SUMPRODUCT((pbp_Pitcher=$B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0.62962962962962965</v>
      </c>
      <c r="S6" s="59">
        <f>IF($B6="","",IF((SUMPRODUCT((pbp_Pitcher=$B6)*(LEN(pbp_PlayType)&gt;0)))=0,"",(SUMPRODUCT((pbp_Pitcher=$B6)*(LEN(pbp_PlayType)&gt;0)*ISNUMBER(MATCH(LEFT(TRIM(pbp_Seq)&amp;"/",FIND("/",TRIM(pbp_Seq)&amp;"/")-1),{"S","F","FT","FB","IN","MB","POS"},0))))/(SUMPRODUCT((pbp_Pitcher=$B6)*(LEN(pbp_PlayType)&gt;0)))))</f>
        <v>0.66666666666666663</v>
      </c>
      <c r="T6" s="59">
        <f t="shared" ref="T6:T69" si="2">IF($B6="","",IF((E6)=0,"",(L6)/(E6)))</f>
        <v>0.16666666666666666</v>
      </c>
      <c r="U6" s="59">
        <f t="shared" ref="U6:U69" si="3">IF($B6="","",IF((E6)=0,"",(J6)/(E6)))</f>
        <v>5.5555555555555552E-2</v>
      </c>
      <c r="V6" s="59">
        <f t="shared" ref="V6:V69" si="4">IF($B6="","",IF(E6=0,"",T6-U6))</f>
        <v>0.1111111111111111</v>
      </c>
      <c r="W6" s="60">
        <f t="shared" ref="W6:W69" si="5">IF($B6="","",IF((F6)=0,"",(3*(H6+J6))/(F6)))</f>
        <v>1.1538461538461537</v>
      </c>
      <c r="X6" s="60">
        <f t="shared" ref="X6:X69" si="6">IF($B6="","",IF(F6=0,"",(13*I6+3*(J6+K6)-2*L6)/(F6/3)+FIP_C))</f>
        <v>2.4076923076923076</v>
      </c>
      <c r="Y6" s="58">
        <f t="shared" ref="Y6:Y69" si="7">IF($B6="","",IF((N6)=0,"",(H6)/(N6)))</f>
        <v>0.25</v>
      </c>
      <c r="Z6" s="58">
        <f t="shared" ref="Z6:Z69" si="8">IF($B6="","",IF(((N6-L6-I6+O6))=0,"",((H6-I6))/((N6-L6-I6+O6))))</f>
        <v>0.2857142857142857</v>
      </c>
      <c r="AA6" s="62">
        <f>IF($B6="","",IF(OR(E6&lt;MinBF,X6=""),"",COUNTIFS($E$6:$E$255,"&gt;="&amp;MinBF,$X$6:$X$255,"&lt;"&amp;X6)+COUNTIFS($E$5:E5,"&gt;="&amp;MinBF,$X$5:X5,X6)+1))</f>
        <v>5</v>
      </c>
    </row>
    <row r="7" spans="2:27" x14ac:dyDescent="0.2">
      <c r="B7" s="44" t="str">
        <f t="array" ref="B7">IFERROR(INDEX(pbp_Pitcher,MATCH(0,COUNTIF($B$5:B6,pbp_Pitcher)+(pbp_Pitcher=""),0)),"")</f>
        <v>Shohei Ohtani</v>
      </c>
      <c r="C7" s="61" t="str">
        <f>IF($B7="","",IFERROR(INDEX(pbp_PitTeam,MATCH($B7,pbp_Pitcher,0)),""))</f>
        <v>Los Angeles Dodgers</v>
      </c>
      <c r="D7" s="61" t="str">
        <f>IF($B7="","",IFERROR(INDEX(pbp_PitHand,MATCH($B7,pbp_Pitcher,0)),""))</f>
        <v>R</v>
      </c>
      <c r="E7" s="42">
        <f>IF($B7="","",SUMPRODUCT(COUNTIFS(pbp_PlayType,EM_Type,pbp_Pitcher,$B7)*EM_PA))</f>
        <v>13</v>
      </c>
      <c r="F7" s="42">
        <f>IF($B7="","",SUMIFS(pbp_Outs,pbp_Pitcher,$B7))</f>
        <v>7</v>
      </c>
      <c r="G7" s="70">
        <f t="shared" si="0"/>
        <v>2.1</v>
      </c>
      <c r="H7" s="42">
        <f>IF($B7="","",SUMPRODUCT(COUNTIFS(pbp_PlayType,EM_Type,pbp_Pitcher,$B7)*EM_H))</f>
        <v>5</v>
      </c>
      <c r="I7" s="42">
        <f>IF($B7="","",SUMPRODUCT(COUNTIFS(pbp_PlayType,EM_Type,pbp_Pitcher,$B7)*EM_HR))</f>
        <v>1</v>
      </c>
      <c r="J7" s="42">
        <f>IF($B7="","",SUMPRODUCT(COUNTIFS(pbp_PlayType,EM_Type,pbp_Pitcher,$B7)*EM_BB))</f>
        <v>2</v>
      </c>
      <c r="K7" s="42">
        <f>IF($B7="","",SUMPRODUCT(COUNTIFS(pbp_PlayType,EM_Type,pbp_Pitcher,$B7)*EM_HBP))</f>
        <v>0</v>
      </c>
      <c r="L7" s="42">
        <f>IF($B7="","",COUNTIFS(pbp_PlayType,"?*",pbp_Desc,"*struck out*",pbp_Pitcher,$B7))</f>
        <v>3</v>
      </c>
      <c r="M7" s="42">
        <f>IF($B7="","",SUMIFS(pbp_Runs,pbp_Pitcher,$B7))</f>
        <v>3</v>
      </c>
      <c r="N7" s="42">
        <f>IF($B7="","",SUMPRODUCT(COUNTIFS(pbp_PlayType,EM_Type,pbp_Pitcher,$B7)*EM_AB))</f>
        <v>10</v>
      </c>
      <c r="O7" s="42">
        <f>IF($B7="","",SUMPRODUCT(COUNTIFS(pbp_PlayType,EM_Type,pbp_Pitcher,$B7)*EM_SF))</f>
        <v>0</v>
      </c>
      <c r="P7" s="42">
        <f>IF($B7="","",SUMIFS(pbp_Pitches,pbp_Pitcher,$B7,pbp_PlayType,"?*"))</f>
        <v>51</v>
      </c>
      <c r="Q7" s="60">
        <f t="shared" si="1"/>
        <v>3.9230769230769229</v>
      </c>
      <c r="R7" s="59">
        <f>IF($B7="","",IF(E7=0,"",1-SUMPRODUCT((pbp_Pitcher=$B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0.57407407407407407</v>
      </c>
      <c r="S7" s="59">
        <f>IF($B7="","",IF((SUMPRODUCT((pbp_Pitcher=$B7)*(LEN(pbp_PlayType)&gt;0)))=0,"",(SUMPRODUCT((pbp_Pitcher=$B7)*(LEN(pbp_PlayType)&gt;0)*ISNUMBER(MATCH(LEFT(TRIM(pbp_Seq)&amp;"/",FIND("/",TRIM(pbp_Seq)&amp;"/")-1),{"S","F","FT","FB","IN","MB","POS"},0))))/(SUMPRODUCT((pbp_Pitcher=$B7)*(LEN(pbp_PlayType)&gt;0)))))</f>
        <v>0.53846153846153844</v>
      </c>
      <c r="T7" s="59">
        <f t="shared" si="2"/>
        <v>0.23076923076923078</v>
      </c>
      <c r="U7" s="59">
        <f t="shared" si="3"/>
        <v>0.15384615384615385</v>
      </c>
      <c r="V7" s="59">
        <f t="shared" si="4"/>
        <v>7.6923076923076927E-2</v>
      </c>
      <c r="W7" s="60">
        <f t="shared" si="5"/>
        <v>3</v>
      </c>
      <c r="X7" s="60">
        <f t="shared" si="6"/>
        <v>8.6714285714285708</v>
      </c>
      <c r="Y7" s="58">
        <f t="shared" si="7"/>
        <v>0.5</v>
      </c>
      <c r="Z7" s="58">
        <f t="shared" si="8"/>
        <v>0.66666666666666663</v>
      </c>
      <c r="AA7" s="62">
        <f>IF($B7="","",IF(OR(E7&lt;MinBF,X7=""),"",COUNTIFS($E$6:$E$255,"&gt;="&amp;MinBF,$X$6:$X$255,"&lt;"&amp;X7)+COUNTIFS($E$5:E6,"&gt;="&amp;MinBF,$X$5:X6,X7)+1))</f>
        <v>8</v>
      </c>
    </row>
    <row r="8" spans="2:27" x14ac:dyDescent="0.2">
      <c r="B8" s="44" t="str">
        <f t="array" ref="B8">IFERROR(INDEX(pbp_Pitcher,MATCH(0,COUNTIF($B$5:B7,pbp_Pitcher)+(pbp_Pitcher=""),0)),"")</f>
        <v>Justin Wrobleski</v>
      </c>
      <c r="C8" s="61" t="str">
        <f>IF($B8="","",IFERROR(INDEX(pbp_PitTeam,MATCH($B8,pbp_Pitcher,0)),""))</f>
        <v>Los Angeles Dodgers</v>
      </c>
      <c r="D8" s="61" t="str">
        <f>IF($B8="","",IFERROR(INDEX(pbp_PitHand,MATCH($B8,pbp_Pitcher,0)),""))</f>
        <v>L</v>
      </c>
      <c r="E8" s="42">
        <f>IF($B8="","",SUMPRODUCT(COUNTIFS(pbp_PlayType,EM_Type,pbp_Pitcher,$B8)*EM_PA))</f>
        <v>7</v>
      </c>
      <c r="F8" s="42">
        <f>IF($B8="","",SUMIFS(pbp_Outs,pbp_Pitcher,$B8))</f>
        <v>4</v>
      </c>
      <c r="G8" s="70">
        <f t="shared" si="0"/>
        <v>1.1000000000000001</v>
      </c>
      <c r="H8" s="42">
        <f>IF($B8="","",SUMPRODUCT(COUNTIFS(pbp_PlayType,EM_Type,pbp_Pitcher,$B8)*EM_H))</f>
        <v>2</v>
      </c>
      <c r="I8" s="42">
        <f>IF($B8="","",SUMPRODUCT(COUNTIFS(pbp_PlayType,EM_Type,pbp_Pitcher,$B8)*EM_HR))</f>
        <v>0</v>
      </c>
      <c r="J8" s="42">
        <f>IF($B8="","",SUMPRODUCT(COUNTIFS(pbp_PlayType,EM_Type,pbp_Pitcher,$B8)*EM_BB))</f>
        <v>0</v>
      </c>
      <c r="K8" s="42">
        <f>IF($B8="","",SUMPRODUCT(COUNTIFS(pbp_PlayType,EM_Type,pbp_Pitcher,$B8)*EM_HBP))</f>
        <v>1</v>
      </c>
      <c r="L8" s="42">
        <f>IF($B8="","",COUNTIFS(pbp_PlayType,"?*",pbp_Desc,"*struck out*",pbp_Pitcher,$B8))</f>
        <v>2</v>
      </c>
      <c r="M8" s="42">
        <f>IF($B8="","",SUMIFS(pbp_Runs,pbp_Pitcher,$B8))</f>
        <v>0</v>
      </c>
      <c r="N8" s="42">
        <f>IF($B8="","",SUMPRODUCT(COUNTIFS(pbp_PlayType,EM_Type,pbp_Pitcher,$B8)*EM_AB))</f>
        <v>6</v>
      </c>
      <c r="O8" s="42">
        <f>IF($B8="","",SUMPRODUCT(COUNTIFS(pbp_PlayType,EM_Type,pbp_Pitcher,$B8)*EM_SF))</f>
        <v>0</v>
      </c>
      <c r="P8" s="42">
        <f>IF($B8="","",SUMIFS(pbp_Pitches,pbp_Pitcher,$B8,pbp_PlayType,"?*"))</f>
        <v>21</v>
      </c>
      <c r="Q8" s="60">
        <f t="shared" si="1"/>
        <v>3</v>
      </c>
      <c r="R8" s="59">
        <f>IF($B8="","",IF(E8=0,"",1-SUMPRODUCT((pbp_Pitcher=$B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0.7142857142857143</v>
      </c>
      <c r="S8" s="59">
        <f>IF($B8="","",IF((SUMPRODUCT((pbp_Pitcher=$B8)*(LEN(pbp_PlayType)&gt;0)))=0,"",(SUMPRODUCT((pbp_Pitcher=$B8)*(LEN(pbp_PlayType)&gt;0)*ISNUMBER(MATCH(LEFT(TRIM(pbp_Seq)&amp;"/",FIND("/",TRIM(pbp_Seq)&amp;"/")-1),{"S","F","FT","FB","IN","MB","POS"},0))))/(SUMPRODUCT((pbp_Pitcher=$B8)*(LEN(pbp_PlayType)&gt;0)))))</f>
        <v>0.5714285714285714</v>
      </c>
      <c r="T8" s="59">
        <f t="shared" si="2"/>
        <v>0.2857142857142857</v>
      </c>
      <c r="U8" s="59">
        <f t="shared" si="3"/>
        <v>0</v>
      </c>
      <c r="V8" s="59">
        <f t="shared" si="4"/>
        <v>0.2857142857142857</v>
      </c>
      <c r="W8" s="60">
        <f t="shared" si="5"/>
        <v>1.5</v>
      </c>
      <c r="X8" s="60">
        <f t="shared" si="6"/>
        <v>2.35</v>
      </c>
      <c r="Y8" s="58">
        <f t="shared" si="7"/>
        <v>0.33333333333333331</v>
      </c>
      <c r="Z8" s="58">
        <f t="shared" si="8"/>
        <v>0.5</v>
      </c>
      <c r="AA8" s="62">
        <f>IF($B8="","",IF(OR(E8&lt;MinBF,X8=""),"",COUNTIFS($E$6:$E$255,"&gt;="&amp;MinBF,$X$6:$X$255,"&lt;"&amp;X8)+COUNTIFS($E$5:E7,"&gt;="&amp;MinBF,$X$5:X7,X8)+1))</f>
        <v>3</v>
      </c>
    </row>
    <row r="9" spans="2:27" x14ac:dyDescent="0.2">
      <c r="B9" s="44" t="str">
        <f t="array" ref="B9">IFERROR(INDEX(pbp_Pitcher,MATCH(0,COUNTIF($B$5:B8,pbp_Pitcher)+(pbp_Pitcher=""),0)),"")</f>
        <v>Tyler Glasnow</v>
      </c>
      <c r="C9" s="61" t="str">
        <f>IF($B9="","",IFERROR(INDEX(pbp_PitTeam,MATCH($B9,pbp_Pitcher,0)),""))</f>
        <v>Los Angeles Dodgers</v>
      </c>
      <c r="D9" s="61" t="str">
        <f>IF($B9="","",IFERROR(INDEX(pbp_PitHand,MATCH($B9,pbp_Pitcher,0)),""))</f>
        <v>R</v>
      </c>
      <c r="E9" s="42">
        <f>IF($B9="","",SUMPRODUCT(COUNTIFS(pbp_PlayType,EM_Type,pbp_Pitcher,$B9)*EM_PA))</f>
        <v>10</v>
      </c>
      <c r="F9" s="42">
        <f>IF($B9="","",SUMIFS(pbp_Outs,pbp_Pitcher,$B9))</f>
        <v>7</v>
      </c>
      <c r="G9" s="70">
        <f t="shared" si="0"/>
        <v>2.1</v>
      </c>
      <c r="H9" s="42">
        <f>IF($B9="","",SUMPRODUCT(COUNTIFS(pbp_PlayType,EM_Type,pbp_Pitcher,$B9)*EM_H))</f>
        <v>3</v>
      </c>
      <c r="I9" s="42">
        <f>IF($B9="","",SUMPRODUCT(COUNTIFS(pbp_PlayType,EM_Type,pbp_Pitcher,$B9)*EM_HR))</f>
        <v>0</v>
      </c>
      <c r="J9" s="42">
        <f>IF($B9="","",SUMPRODUCT(COUNTIFS(pbp_PlayType,EM_Type,pbp_Pitcher,$B9)*EM_BB))</f>
        <v>0</v>
      </c>
      <c r="K9" s="42">
        <f>IF($B9="","",SUMPRODUCT(COUNTIFS(pbp_PlayType,EM_Type,pbp_Pitcher,$B9)*EM_HBP))</f>
        <v>0</v>
      </c>
      <c r="L9" s="42">
        <f>IF($B9="","",COUNTIFS(pbp_PlayType,"?*",pbp_Desc,"*struck out*",pbp_Pitcher,$B9))</f>
        <v>2</v>
      </c>
      <c r="M9" s="42">
        <f>IF($B9="","",SUMIFS(pbp_Runs,pbp_Pitcher,$B9))</f>
        <v>1</v>
      </c>
      <c r="N9" s="42">
        <f>IF($B9="","",SUMPRODUCT(COUNTIFS(pbp_PlayType,EM_Type,pbp_Pitcher,$B9)*EM_AB))</f>
        <v>10</v>
      </c>
      <c r="O9" s="42">
        <f>IF($B9="","",SUMPRODUCT(COUNTIFS(pbp_PlayType,EM_Type,pbp_Pitcher,$B9)*EM_SF))</f>
        <v>0</v>
      </c>
      <c r="P9" s="42">
        <f>IF($B9="","",SUMIFS(pbp_Pitches,pbp_Pitcher,$B9,pbp_PlayType,"?*"))</f>
        <v>38</v>
      </c>
      <c r="Q9" s="60">
        <f t="shared" si="1"/>
        <v>3.8</v>
      </c>
      <c r="R9" s="59">
        <f>IF($B9="","",IF(E9=0,"",1-SUMPRODUCT((pbp_Pitcher=$B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0.60526315789473684</v>
      </c>
      <c r="S9" s="59">
        <f>IF($B9="","",IF((SUMPRODUCT((pbp_Pitcher=$B9)*(LEN(pbp_PlayType)&gt;0)))=0,"",(SUMPRODUCT((pbp_Pitcher=$B9)*(LEN(pbp_PlayType)&gt;0)*ISNUMBER(MATCH(LEFT(TRIM(pbp_Seq)&amp;"/",FIND("/",TRIM(pbp_Seq)&amp;"/")-1),{"S","F","FT","FB","IN","MB","POS"},0))))/(SUMPRODUCT((pbp_Pitcher=$B9)*(LEN(pbp_PlayType)&gt;0)))))</f>
        <v>0.4</v>
      </c>
      <c r="T9" s="59">
        <f t="shared" si="2"/>
        <v>0.2</v>
      </c>
      <c r="U9" s="59">
        <f t="shared" si="3"/>
        <v>0</v>
      </c>
      <c r="V9" s="59">
        <f t="shared" si="4"/>
        <v>0.2</v>
      </c>
      <c r="W9" s="60">
        <f t="shared" si="5"/>
        <v>1.2857142857142858</v>
      </c>
      <c r="X9" s="60">
        <f t="shared" si="6"/>
        <v>1.3857142857142859</v>
      </c>
      <c r="Y9" s="58">
        <f t="shared" si="7"/>
        <v>0.3</v>
      </c>
      <c r="Z9" s="58">
        <f t="shared" si="8"/>
        <v>0.375</v>
      </c>
      <c r="AA9" s="62">
        <f>IF($B9="","",IF(OR(E9&lt;MinBF,X9=""),"",COUNTIFS($E$6:$E$255,"&gt;="&amp;MinBF,$X$6:$X$255,"&lt;"&amp;X9)+COUNTIFS($E$5:E8,"&gt;="&amp;MinBF,$X$5:X8,X9)+1))</f>
        <v>2</v>
      </c>
    </row>
    <row r="10" spans="2:27" x14ac:dyDescent="0.2">
      <c r="B10" s="44" t="str">
        <f t="array" ref="B10">IFERROR(INDEX(pbp_Pitcher,MATCH(0,COUNTIF($B$5:B9,pbp_Pitcher)+(pbp_Pitcher=""),0)),"")</f>
        <v>Louis Varland</v>
      </c>
      <c r="C10" s="61" t="str">
        <f>IF($B10="","",IFERROR(INDEX(pbp_PitTeam,MATCH($B10,pbp_Pitcher,0)),""))</f>
        <v>Toronto Blue Jays</v>
      </c>
      <c r="D10" s="61" t="str">
        <f>IF($B10="","",IFERROR(INDEX(pbp_PitHand,MATCH($B10,pbp_Pitcher,0)),""))</f>
        <v>R</v>
      </c>
      <c r="E10" s="42">
        <f>IF($B10="","",SUMPRODUCT(COUNTIFS(pbp_PlayType,EM_Type,pbp_Pitcher,$B10)*EM_PA))</f>
        <v>3</v>
      </c>
      <c r="F10" s="42">
        <f>IF($B10="","",SUMIFS(pbp_Outs,pbp_Pitcher,$B10))</f>
        <v>2</v>
      </c>
      <c r="G10" s="70">
        <f t="shared" si="0"/>
        <v>0.2</v>
      </c>
      <c r="H10" s="42">
        <f>IF($B10="","",SUMPRODUCT(COUNTIFS(pbp_PlayType,EM_Type,pbp_Pitcher,$B10)*EM_H))</f>
        <v>1</v>
      </c>
      <c r="I10" s="42">
        <f>IF($B10="","",SUMPRODUCT(COUNTIFS(pbp_PlayType,EM_Type,pbp_Pitcher,$B10)*EM_HR))</f>
        <v>0</v>
      </c>
      <c r="J10" s="42">
        <f>IF($B10="","",SUMPRODUCT(COUNTIFS(pbp_PlayType,EM_Type,pbp_Pitcher,$B10)*EM_BB))</f>
        <v>0</v>
      </c>
      <c r="K10" s="42">
        <f>IF($B10="","",SUMPRODUCT(COUNTIFS(pbp_PlayType,EM_Type,pbp_Pitcher,$B10)*EM_HBP))</f>
        <v>0</v>
      </c>
      <c r="L10" s="42">
        <f>IF($B10="","",COUNTIFS(pbp_PlayType,"?*",pbp_Desc,"*struck out*",pbp_Pitcher,$B10))</f>
        <v>0</v>
      </c>
      <c r="M10" s="42">
        <f>IF($B10="","",SUMIFS(pbp_Runs,pbp_Pitcher,$B10))</f>
        <v>0</v>
      </c>
      <c r="N10" s="42">
        <f>IF($B10="","",SUMPRODUCT(COUNTIFS(pbp_PlayType,EM_Type,pbp_Pitcher,$B10)*EM_AB))</f>
        <v>3</v>
      </c>
      <c r="O10" s="42">
        <f>IF($B10="","",SUMPRODUCT(COUNTIFS(pbp_PlayType,EM_Type,pbp_Pitcher,$B10)*EM_SF))</f>
        <v>0</v>
      </c>
      <c r="P10" s="42">
        <f>IF($B10="","",SUMIFS(pbp_Pitches,pbp_Pitcher,$B10,pbp_PlayType,"?*"))</f>
        <v>9</v>
      </c>
      <c r="Q10" s="60">
        <f t="shared" si="1"/>
        <v>3</v>
      </c>
      <c r="R10" s="59">
        <f>IF($B10="","",IF(E10=0,"",1-SUMPRODUCT((pbp_Pitcher=$B10)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0.77777777777777779</v>
      </c>
      <c r="S10" s="59">
        <f>IF($B10="","",IF((SUMPRODUCT((pbp_Pitcher=$B10)*(LEN(pbp_PlayType)&gt;0)))=0,"",(SUMPRODUCT((pbp_Pitcher=$B10)*(LEN(pbp_PlayType)&gt;0)*ISNUMBER(MATCH(LEFT(TRIM(pbp_Seq)&amp;"/",FIND("/",TRIM(pbp_Seq)&amp;"/")-1),{"S","F","FT","FB","IN","MB","POS"},0))))/(SUMPRODUCT((pbp_Pitcher=$B10)*(LEN(pbp_PlayType)&gt;0)))))</f>
        <v>1</v>
      </c>
      <c r="T10" s="59">
        <f t="shared" si="2"/>
        <v>0</v>
      </c>
      <c r="U10" s="59">
        <f t="shared" si="3"/>
        <v>0</v>
      </c>
      <c r="V10" s="59">
        <f t="shared" si="4"/>
        <v>0</v>
      </c>
      <c r="W10" s="60">
        <f t="shared" si="5"/>
        <v>1.5</v>
      </c>
      <c r="X10" s="60">
        <f t="shared" si="6"/>
        <v>3.1</v>
      </c>
      <c r="Y10" s="58">
        <f t="shared" si="7"/>
        <v>0.33333333333333331</v>
      </c>
      <c r="Z10" s="58">
        <f t="shared" si="8"/>
        <v>0.33333333333333331</v>
      </c>
      <c r="AA10" s="62" t="str">
        <f>IF($B10="","",IF(OR(E10&lt;MinBF,X10=""),"",COUNTIFS($E$6:$E$255,"&gt;="&amp;MinBF,$X$6:$X$255,"&lt;"&amp;X10)+COUNTIFS($E$5:E9,"&gt;="&amp;MinBF,$X$5:X9,X10)+1))</f>
        <v/>
      </c>
    </row>
    <row r="11" spans="2:27" x14ac:dyDescent="0.2">
      <c r="B11" s="44" t="str">
        <f t="array" ref="B11">IFERROR(INDEX(pbp_Pitcher,MATCH(0,COUNTIF($B$5:B10,pbp_Pitcher)+(pbp_Pitcher=""),0)),"")</f>
        <v>Chris Bassitt</v>
      </c>
      <c r="C11" s="61" t="str">
        <f>IF($B11="","",IFERROR(INDEX(pbp_PitTeam,MATCH($B11,pbp_Pitcher,0)),""))</f>
        <v>Toronto Blue Jays</v>
      </c>
      <c r="D11" s="61" t="str">
        <f>IF($B11="","",IFERROR(INDEX(pbp_PitHand,MATCH($B11,pbp_Pitcher,0)),""))</f>
        <v>R</v>
      </c>
      <c r="E11" s="42">
        <f>IF($B11="","",SUMPRODUCT(COUNTIFS(pbp_PlayType,EM_Type,pbp_Pitcher,$B11)*EM_PA))</f>
        <v>6</v>
      </c>
      <c r="F11" s="42">
        <f>IF($B11="","",SUMIFS(pbp_Outs,pbp_Pitcher,$B11))</f>
        <v>3</v>
      </c>
      <c r="G11" s="70">
        <f t="shared" si="0"/>
        <v>1</v>
      </c>
      <c r="H11" s="42">
        <f>IF($B11="","",SUMPRODUCT(COUNTIFS(pbp_PlayType,EM_Type,pbp_Pitcher,$B11)*EM_H))</f>
        <v>2</v>
      </c>
      <c r="I11" s="42">
        <f>IF($B11="","",SUMPRODUCT(COUNTIFS(pbp_PlayType,EM_Type,pbp_Pitcher,$B11)*EM_HR))</f>
        <v>0</v>
      </c>
      <c r="J11" s="42">
        <f>IF($B11="","",SUMPRODUCT(COUNTIFS(pbp_PlayType,EM_Type,pbp_Pitcher,$B11)*EM_BB))</f>
        <v>1</v>
      </c>
      <c r="K11" s="42">
        <f>IF($B11="","",SUMPRODUCT(COUNTIFS(pbp_PlayType,EM_Type,pbp_Pitcher,$B11)*EM_HBP))</f>
        <v>0</v>
      </c>
      <c r="L11" s="42">
        <f>IF($B11="","",COUNTIFS(pbp_PlayType,"?*",pbp_Desc,"*struck out*",pbp_Pitcher,$B11))</f>
        <v>0</v>
      </c>
      <c r="M11" s="42">
        <f>IF($B11="","",SUMIFS(pbp_Runs,pbp_Pitcher,$B11))</f>
        <v>1</v>
      </c>
      <c r="N11" s="42">
        <f>IF($B11="","",SUMPRODUCT(COUNTIFS(pbp_PlayType,EM_Type,pbp_Pitcher,$B11)*EM_AB))</f>
        <v>4</v>
      </c>
      <c r="O11" s="42">
        <f>IF($B11="","",SUMPRODUCT(COUNTIFS(pbp_PlayType,EM_Type,pbp_Pitcher,$B11)*EM_SF))</f>
        <v>1</v>
      </c>
      <c r="P11" s="42">
        <f>IF($B11="","",SUMIFS(pbp_Pitches,pbp_Pitcher,$B11,pbp_PlayType,"?*"))</f>
        <v>26</v>
      </c>
      <c r="Q11" s="60">
        <f t="shared" si="1"/>
        <v>4.333333333333333</v>
      </c>
      <c r="R11" s="59">
        <f>IF($B11="","",IF(E11=0,"",1-SUMPRODUCT((pbp_Pitcher=$B11)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0.61538461538461542</v>
      </c>
      <c r="S11" s="59">
        <f>IF($B11="","",IF((SUMPRODUCT((pbp_Pitcher=$B11)*(LEN(pbp_PlayType)&gt;0)))=0,"",(SUMPRODUCT((pbp_Pitcher=$B11)*(LEN(pbp_PlayType)&gt;0)*ISNUMBER(MATCH(LEFT(TRIM(pbp_Seq)&amp;"/",FIND("/",TRIM(pbp_Seq)&amp;"/")-1),{"S","F","FT","FB","IN","MB","POS"},0))))/(SUMPRODUCT((pbp_Pitcher=$B11)*(LEN(pbp_PlayType)&gt;0)))))</f>
        <v>0.66666666666666663</v>
      </c>
      <c r="T11" s="59">
        <f t="shared" si="2"/>
        <v>0</v>
      </c>
      <c r="U11" s="59">
        <f t="shared" si="3"/>
        <v>0.16666666666666666</v>
      </c>
      <c r="V11" s="59">
        <f t="shared" si="4"/>
        <v>-0.16666666666666666</v>
      </c>
      <c r="W11" s="60">
        <f t="shared" si="5"/>
        <v>3</v>
      </c>
      <c r="X11" s="60">
        <f t="shared" si="6"/>
        <v>6.1</v>
      </c>
      <c r="Y11" s="58">
        <f t="shared" si="7"/>
        <v>0.5</v>
      </c>
      <c r="Z11" s="58">
        <f t="shared" si="8"/>
        <v>0.4</v>
      </c>
      <c r="AA11" s="62">
        <f>IF($B11="","",IF(OR(E11&lt;MinBF,X11=""),"",COUNTIFS($E$6:$E$255,"&gt;="&amp;MinBF,$X$6:$X$255,"&lt;"&amp;X11)+COUNTIFS($E$5:E10,"&gt;="&amp;MinBF,$X$5:X10,X11)+1))</f>
        <v>7</v>
      </c>
    </row>
    <row r="12" spans="2:27" x14ac:dyDescent="0.2">
      <c r="B12" s="44" t="str">
        <f t="array" ref="B12">IFERROR(INDEX(pbp_Pitcher,MATCH(0,COUNTIF($B$5:B11,pbp_Pitcher)+(pbp_Pitcher=""),0)),"")</f>
        <v>Trey Yesavage</v>
      </c>
      <c r="C12" s="61" t="str">
        <f>IF($B12="","",IFERROR(INDEX(pbp_PitTeam,MATCH($B12,pbp_Pitcher,0)),""))</f>
        <v>Toronto Blue Jays</v>
      </c>
      <c r="D12" s="61" t="str">
        <f>IF($B12="","",IFERROR(INDEX(pbp_PitHand,MATCH($B12,pbp_Pitcher,0)),""))</f>
        <v>R</v>
      </c>
      <c r="E12" s="42">
        <f>IF($B12="","",SUMPRODUCT(COUNTIFS(pbp_PlayType,EM_Type,pbp_Pitcher,$B12)*EM_PA))</f>
        <v>6</v>
      </c>
      <c r="F12" s="42">
        <f>IF($B12="","",SUMIFS(pbp_Outs,pbp_Pitcher,$B12))</f>
        <v>5</v>
      </c>
      <c r="G12" s="70">
        <f t="shared" si="0"/>
        <v>1.2</v>
      </c>
      <c r="H12" s="42">
        <f>IF($B12="","",SUMPRODUCT(COUNTIFS(pbp_PlayType,EM_Type,pbp_Pitcher,$B12)*EM_H))</f>
        <v>1</v>
      </c>
      <c r="I12" s="42">
        <f>IF($B12="","",SUMPRODUCT(COUNTIFS(pbp_PlayType,EM_Type,pbp_Pitcher,$B12)*EM_HR))</f>
        <v>1</v>
      </c>
      <c r="J12" s="42">
        <f>IF($B12="","",SUMPRODUCT(COUNTIFS(pbp_PlayType,EM_Type,pbp_Pitcher,$B12)*EM_BB))</f>
        <v>1</v>
      </c>
      <c r="K12" s="42">
        <f>IF($B12="","",SUMPRODUCT(COUNTIFS(pbp_PlayType,EM_Type,pbp_Pitcher,$B12)*EM_HBP))</f>
        <v>0</v>
      </c>
      <c r="L12" s="42">
        <f>IF($B12="","",COUNTIFS(pbp_PlayType,"?*",pbp_Desc,"*struck out*",pbp_Pitcher,$B12))</f>
        <v>0</v>
      </c>
      <c r="M12" s="42">
        <f>IF($B12="","",SUMIFS(pbp_Runs,pbp_Pitcher,$B12))</f>
        <v>1</v>
      </c>
      <c r="N12" s="42">
        <f>IF($B12="","",SUMPRODUCT(COUNTIFS(pbp_PlayType,EM_Type,pbp_Pitcher,$B12)*EM_AB))</f>
        <v>5</v>
      </c>
      <c r="O12" s="42">
        <f>IF($B12="","",SUMPRODUCT(COUNTIFS(pbp_PlayType,EM_Type,pbp_Pitcher,$B12)*EM_SF))</f>
        <v>0</v>
      </c>
      <c r="P12" s="42">
        <f>IF($B12="","",SUMIFS(pbp_Pitches,pbp_Pitcher,$B12,pbp_PlayType,"?*"))</f>
        <v>21</v>
      </c>
      <c r="Q12" s="60">
        <f t="shared" si="1"/>
        <v>3.5</v>
      </c>
      <c r="R12" s="59">
        <f>IF($B12="","",IF(E12=0,"",1-SUMPRODUCT((pbp_Pitcher=$B12)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0.61904761904761907</v>
      </c>
      <c r="S12" s="59">
        <f>IF($B12="","",IF((SUMPRODUCT((pbp_Pitcher=$B12)*(LEN(pbp_PlayType)&gt;0)))=0,"",(SUMPRODUCT((pbp_Pitcher=$B12)*(LEN(pbp_PlayType)&gt;0)*ISNUMBER(MATCH(LEFT(TRIM(pbp_Seq)&amp;"/",FIND("/",TRIM(pbp_Seq)&amp;"/")-1),{"S","F","FT","FB","IN","MB","POS"},0))))/(SUMPRODUCT((pbp_Pitcher=$B12)*(LEN(pbp_PlayType)&gt;0)))))</f>
        <v>0.5</v>
      </c>
      <c r="T12" s="59">
        <f t="shared" si="2"/>
        <v>0</v>
      </c>
      <c r="U12" s="59">
        <f t="shared" si="3"/>
        <v>0.16666666666666666</v>
      </c>
      <c r="V12" s="59">
        <f t="shared" si="4"/>
        <v>-0.16666666666666666</v>
      </c>
      <c r="W12" s="60">
        <f t="shared" si="5"/>
        <v>1.2</v>
      </c>
      <c r="X12" s="60">
        <f t="shared" si="6"/>
        <v>12.7</v>
      </c>
      <c r="Y12" s="58">
        <f t="shared" si="7"/>
        <v>0.2</v>
      </c>
      <c r="Z12" s="58">
        <f t="shared" si="8"/>
        <v>0</v>
      </c>
      <c r="AA12" s="62">
        <f>IF($B12="","",IF(OR(E12&lt;MinBF,X12=""),"",COUNTIFS($E$6:$E$255,"&gt;="&amp;MinBF,$X$6:$X$255,"&lt;"&amp;X12)+COUNTIFS($E$5:E11,"&gt;="&amp;MinBF,$X$5:X11,X12)+1))</f>
        <v>11</v>
      </c>
    </row>
    <row r="13" spans="2:27" x14ac:dyDescent="0.2">
      <c r="B13" s="44" t="str">
        <f t="array" ref="B13">IFERROR(INDEX(pbp_Pitcher,MATCH(0,COUNTIF($B$5:B12,pbp_Pitcher)+(pbp_Pitcher=""),0)),"")</f>
        <v>Emmet Sheehan</v>
      </c>
      <c r="C13" s="61" t="str">
        <f>IF($B13="","",IFERROR(INDEX(pbp_PitTeam,MATCH($B13,pbp_Pitcher,0)),""))</f>
        <v>Los Angeles Dodgers</v>
      </c>
      <c r="D13" s="61" t="str">
        <f>IF($B13="","",IFERROR(INDEX(pbp_PitHand,MATCH($B13,pbp_Pitcher,0)),""))</f>
        <v>R</v>
      </c>
      <c r="E13" s="42">
        <f>IF($B13="","",SUMPRODUCT(COUNTIFS(pbp_PlayType,EM_Type,pbp_Pitcher,$B13)*EM_PA))</f>
        <v>5</v>
      </c>
      <c r="F13" s="42">
        <f>IF($B13="","",SUMIFS(pbp_Outs,pbp_Pitcher,$B13))</f>
        <v>3</v>
      </c>
      <c r="G13" s="70">
        <f t="shared" si="0"/>
        <v>1</v>
      </c>
      <c r="H13" s="42">
        <f>IF($B13="","",SUMPRODUCT(COUNTIFS(pbp_PlayType,EM_Type,pbp_Pitcher,$B13)*EM_H))</f>
        <v>2</v>
      </c>
      <c r="I13" s="42">
        <f>IF($B13="","",SUMPRODUCT(COUNTIFS(pbp_PlayType,EM_Type,pbp_Pitcher,$B13)*EM_HR))</f>
        <v>0</v>
      </c>
      <c r="J13" s="42">
        <f>IF($B13="","",SUMPRODUCT(COUNTIFS(pbp_PlayType,EM_Type,pbp_Pitcher,$B13)*EM_BB))</f>
        <v>0</v>
      </c>
      <c r="K13" s="42">
        <f>IF($B13="","",SUMPRODUCT(COUNTIFS(pbp_PlayType,EM_Type,pbp_Pitcher,$B13)*EM_HBP))</f>
        <v>0</v>
      </c>
      <c r="L13" s="42">
        <f>IF($B13="","",COUNTIFS(pbp_PlayType,"?*",pbp_Desc,"*struck out*",pbp_Pitcher,$B13))</f>
        <v>2</v>
      </c>
      <c r="M13" s="42">
        <f>IF($B13="","",SUMIFS(pbp_Runs,pbp_Pitcher,$B13))</f>
        <v>0</v>
      </c>
      <c r="N13" s="42">
        <f>IF($B13="","",SUMPRODUCT(COUNTIFS(pbp_PlayType,EM_Type,pbp_Pitcher,$B13)*EM_AB))</f>
        <v>5</v>
      </c>
      <c r="O13" s="42">
        <f>IF($B13="","",SUMPRODUCT(COUNTIFS(pbp_PlayType,EM_Type,pbp_Pitcher,$B13)*EM_SF))</f>
        <v>0</v>
      </c>
      <c r="P13" s="42">
        <f>IF($B13="","",SUMIFS(pbp_Pitches,pbp_Pitcher,$B13,pbp_PlayType,"?*"))</f>
        <v>20</v>
      </c>
      <c r="Q13" s="60">
        <f t="shared" si="1"/>
        <v>4</v>
      </c>
      <c r="R13" s="59">
        <f>IF($B13="","",IF(E13=0,"",1-SUMPRODUCT((pbp_Pitcher=$B13)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0.7</v>
      </c>
      <c r="S13" s="59">
        <f>IF($B13="","",IF((SUMPRODUCT((pbp_Pitcher=$B13)*(LEN(pbp_PlayType)&gt;0)))=0,"",(SUMPRODUCT((pbp_Pitcher=$B13)*(LEN(pbp_PlayType)&gt;0)*ISNUMBER(MATCH(LEFT(TRIM(pbp_Seq)&amp;"/",FIND("/",TRIM(pbp_Seq)&amp;"/")-1),{"S","F","FT","FB","IN","MB","POS"},0))))/(SUMPRODUCT((pbp_Pitcher=$B13)*(LEN(pbp_PlayType)&gt;0)))))</f>
        <v>0.8</v>
      </c>
      <c r="T13" s="59">
        <f t="shared" si="2"/>
        <v>0.4</v>
      </c>
      <c r="U13" s="59">
        <f t="shared" si="3"/>
        <v>0</v>
      </c>
      <c r="V13" s="59">
        <f t="shared" si="4"/>
        <v>0.4</v>
      </c>
      <c r="W13" s="60">
        <f t="shared" si="5"/>
        <v>2</v>
      </c>
      <c r="X13" s="60">
        <f t="shared" si="6"/>
        <v>-0.89999999999999991</v>
      </c>
      <c r="Y13" s="58">
        <f t="shared" si="7"/>
        <v>0.4</v>
      </c>
      <c r="Z13" s="58">
        <f t="shared" si="8"/>
        <v>0.66666666666666663</v>
      </c>
      <c r="AA13" s="62">
        <f>IF($B13="","",IF(OR(E13&lt;MinBF,X13=""),"",COUNTIFS($E$6:$E$255,"&gt;="&amp;MinBF,$X$6:$X$255,"&lt;"&amp;X13)+COUNTIFS($E$5:E12,"&gt;="&amp;MinBF,$X$5:X12,X13)+1))</f>
        <v>1</v>
      </c>
    </row>
    <row r="14" spans="2:27" x14ac:dyDescent="0.2">
      <c r="B14" s="44" t="str">
        <f t="array" ref="B14">IFERROR(INDEX(pbp_Pitcher,MATCH(0,COUNTIF($B$5:B13,pbp_Pitcher)+(pbp_Pitcher=""),0)),"")</f>
        <v>Jeff Hoffman</v>
      </c>
      <c r="C14" s="61" t="str">
        <f>IF($B14="","",IFERROR(INDEX(pbp_PitTeam,MATCH($B14,pbp_Pitcher,0)),""))</f>
        <v>Toronto Blue Jays</v>
      </c>
      <c r="D14" s="61" t="str">
        <f>IF($B14="","",IFERROR(INDEX(pbp_PitHand,MATCH($B14,pbp_Pitcher,0)),""))</f>
        <v>R</v>
      </c>
      <c r="E14" s="42">
        <f>IF($B14="","",SUMPRODUCT(COUNTIFS(pbp_PlayType,EM_Type,pbp_Pitcher,$B14)*EM_PA))</f>
        <v>5</v>
      </c>
      <c r="F14" s="42">
        <f>IF($B14="","",SUMIFS(pbp_Outs,pbp_Pitcher,$B14))</f>
        <v>4</v>
      </c>
      <c r="G14" s="70">
        <f t="shared" si="0"/>
        <v>1.1000000000000001</v>
      </c>
      <c r="H14" s="42">
        <f>IF($B14="","",SUMPRODUCT(COUNTIFS(pbp_PlayType,EM_Type,pbp_Pitcher,$B14)*EM_H))</f>
        <v>1</v>
      </c>
      <c r="I14" s="42">
        <f>IF($B14="","",SUMPRODUCT(COUNTIFS(pbp_PlayType,EM_Type,pbp_Pitcher,$B14)*EM_HR))</f>
        <v>1</v>
      </c>
      <c r="J14" s="42">
        <f>IF($B14="","",SUMPRODUCT(COUNTIFS(pbp_PlayType,EM_Type,pbp_Pitcher,$B14)*EM_BB))</f>
        <v>0</v>
      </c>
      <c r="K14" s="42">
        <f>IF($B14="","",SUMPRODUCT(COUNTIFS(pbp_PlayType,EM_Type,pbp_Pitcher,$B14)*EM_HBP))</f>
        <v>0</v>
      </c>
      <c r="L14" s="42">
        <f>IF($B14="","",COUNTIFS(pbp_PlayType,"?*",pbp_Desc,"*struck out*",pbp_Pitcher,$B14))</f>
        <v>2</v>
      </c>
      <c r="M14" s="42">
        <f>IF($B14="","",SUMIFS(pbp_Runs,pbp_Pitcher,$B14))</f>
        <v>1</v>
      </c>
      <c r="N14" s="42">
        <f>IF($B14="","",SUMPRODUCT(COUNTIFS(pbp_PlayType,EM_Type,pbp_Pitcher,$B14)*EM_AB))</f>
        <v>5</v>
      </c>
      <c r="O14" s="42">
        <f>IF($B14="","",SUMPRODUCT(COUNTIFS(pbp_PlayType,EM_Type,pbp_Pitcher,$B14)*EM_SF))</f>
        <v>0</v>
      </c>
      <c r="P14" s="42">
        <f>IF($B14="","",SUMIFS(pbp_Pitches,pbp_Pitcher,$B14,pbp_PlayType,"?*"))</f>
        <v>22</v>
      </c>
      <c r="Q14" s="60">
        <f t="shared" si="1"/>
        <v>4.4000000000000004</v>
      </c>
      <c r="R14" s="59">
        <f>IF($B14="","",IF(E14=0,"",1-SUMPRODUCT((pbp_Pitcher=$B14)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0.59090909090909083</v>
      </c>
      <c r="S14" s="59">
        <f>IF($B14="","",IF((SUMPRODUCT((pbp_Pitcher=$B14)*(LEN(pbp_PlayType)&gt;0)))=0,"",(SUMPRODUCT((pbp_Pitcher=$B14)*(LEN(pbp_PlayType)&gt;0)*ISNUMBER(MATCH(LEFT(TRIM(pbp_Seq)&amp;"/",FIND("/",TRIM(pbp_Seq)&amp;"/")-1),{"S","F","FT","FB","IN","MB","POS"},0))))/(SUMPRODUCT((pbp_Pitcher=$B14)*(LEN(pbp_PlayType)&gt;0)))))</f>
        <v>0.6</v>
      </c>
      <c r="T14" s="59">
        <f t="shared" si="2"/>
        <v>0.4</v>
      </c>
      <c r="U14" s="59">
        <f t="shared" si="3"/>
        <v>0</v>
      </c>
      <c r="V14" s="59">
        <f t="shared" si="4"/>
        <v>0.4</v>
      </c>
      <c r="W14" s="60">
        <f t="shared" si="5"/>
        <v>0.75</v>
      </c>
      <c r="X14" s="60">
        <f t="shared" si="6"/>
        <v>9.85</v>
      </c>
      <c r="Y14" s="58">
        <f t="shared" si="7"/>
        <v>0.2</v>
      </c>
      <c r="Z14" s="58">
        <f t="shared" si="8"/>
        <v>0</v>
      </c>
      <c r="AA14" s="62">
        <f>IF($B14="","",IF(OR(E14&lt;MinBF,X14=""),"",COUNTIFS($E$6:$E$255,"&gt;="&amp;MinBF,$X$6:$X$255,"&lt;"&amp;X14)+COUNTIFS($E$5:E13,"&gt;="&amp;MinBF,$X$5:X13,X14)+1))</f>
        <v>10</v>
      </c>
    </row>
    <row r="15" spans="2:27" x14ac:dyDescent="0.2">
      <c r="B15" s="44" t="str">
        <f t="array" ref="B15">IFERROR(INDEX(pbp_Pitcher,MATCH(0,COUNTIF($B$5:B14,pbp_Pitcher)+(pbp_Pitcher=""),0)),"")</f>
        <v>Blake Snell</v>
      </c>
      <c r="C15" s="61" t="str">
        <f>IF($B15="","",IFERROR(INDEX(pbp_PitTeam,MATCH($B15,pbp_Pitcher,0)),""))</f>
        <v>Los Angeles Dodgers</v>
      </c>
      <c r="D15" s="61" t="str">
        <f>IF($B15="","",IFERROR(INDEX(pbp_PitHand,MATCH($B15,pbp_Pitcher,0)),""))</f>
        <v>L</v>
      </c>
      <c r="E15" s="42">
        <f>IF($B15="","",SUMPRODUCT(COUNTIFS(pbp_PlayType,EM_Type,pbp_Pitcher,$B15)*EM_PA))</f>
        <v>6</v>
      </c>
      <c r="F15" s="42">
        <f>IF($B15="","",SUMIFS(pbp_Outs,pbp_Pitcher,$B15))</f>
        <v>4</v>
      </c>
      <c r="G15" s="70">
        <f t="shared" si="0"/>
        <v>1.1000000000000001</v>
      </c>
      <c r="H15" s="42">
        <f>IF($B15="","",SUMPRODUCT(COUNTIFS(pbp_PlayType,EM_Type,pbp_Pitcher,$B15)*EM_H))</f>
        <v>1</v>
      </c>
      <c r="I15" s="42">
        <f>IF($B15="","",SUMPRODUCT(COUNTIFS(pbp_PlayType,EM_Type,pbp_Pitcher,$B15)*EM_HR))</f>
        <v>0</v>
      </c>
      <c r="J15" s="42">
        <f>IF($B15="","",SUMPRODUCT(COUNTIFS(pbp_PlayType,EM_Type,pbp_Pitcher,$B15)*EM_BB))</f>
        <v>1</v>
      </c>
      <c r="K15" s="42">
        <f>IF($B15="","",SUMPRODUCT(COUNTIFS(pbp_PlayType,EM_Type,pbp_Pitcher,$B15)*EM_HBP))</f>
        <v>0</v>
      </c>
      <c r="L15" s="42">
        <f>IF($B15="","",COUNTIFS(pbp_PlayType,"?*",pbp_Desc,"*struck out*",pbp_Pitcher,$B15))</f>
        <v>2</v>
      </c>
      <c r="M15" s="42">
        <f>IF($B15="","",SUMIFS(pbp_Runs,pbp_Pitcher,$B15))</f>
        <v>0</v>
      </c>
      <c r="N15" s="42">
        <f>IF($B15="","",SUMPRODUCT(COUNTIFS(pbp_PlayType,EM_Type,pbp_Pitcher,$B15)*EM_AB))</f>
        <v>5</v>
      </c>
      <c r="O15" s="42">
        <f>IF($B15="","",SUMPRODUCT(COUNTIFS(pbp_PlayType,EM_Type,pbp_Pitcher,$B15)*EM_SF))</f>
        <v>0</v>
      </c>
      <c r="P15" s="42">
        <f>IF($B15="","",SUMIFS(pbp_Pitches,pbp_Pitcher,$B15,pbp_PlayType,"?*"))</f>
        <v>28</v>
      </c>
      <c r="Q15" s="60">
        <f t="shared" si="1"/>
        <v>4.666666666666667</v>
      </c>
      <c r="R15" s="59">
        <f>IF($B15="","",IF(E15=0,"",1-SUMPRODUCT((pbp_Pitcher=$B15)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0.5714285714285714</v>
      </c>
      <c r="S15" s="59">
        <f>IF($B15="","",IF((SUMPRODUCT((pbp_Pitcher=$B15)*(LEN(pbp_PlayType)&gt;0)))=0,"",(SUMPRODUCT((pbp_Pitcher=$B15)*(LEN(pbp_PlayType)&gt;0)*ISNUMBER(MATCH(LEFT(TRIM(pbp_Seq)&amp;"/",FIND("/",TRIM(pbp_Seq)&amp;"/")-1),{"S","F","FT","FB","IN","MB","POS"},0))))/(SUMPRODUCT((pbp_Pitcher=$B15)*(LEN(pbp_PlayType)&gt;0)))))</f>
        <v>0.5</v>
      </c>
      <c r="T15" s="59">
        <f t="shared" si="2"/>
        <v>0.33333333333333331</v>
      </c>
      <c r="U15" s="59">
        <f t="shared" si="3"/>
        <v>0.16666666666666666</v>
      </c>
      <c r="V15" s="59">
        <f t="shared" si="4"/>
        <v>0.16666666666666666</v>
      </c>
      <c r="W15" s="60">
        <f t="shared" si="5"/>
        <v>1.5</v>
      </c>
      <c r="X15" s="60">
        <f t="shared" si="6"/>
        <v>2.35</v>
      </c>
      <c r="Y15" s="58">
        <f t="shared" si="7"/>
        <v>0.2</v>
      </c>
      <c r="Z15" s="58">
        <f t="shared" si="8"/>
        <v>0.33333333333333331</v>
      </c>
      <c r="AA15" s="62">
        <f>IF($B15="","",IF(OR(E15&lt;MinBF,X15=""),"",COUNTIFS($E$6:$E$255,"&gt;="&amp;MinBF,$X$6:$X$255,"&lt;"&amp;X15)+COUNTIFS($E$5:E14,"&gt;="&amp;MinBF,$X$5:X14,X15)+1))</f>
        <v>4</v>
      </c>
    </row>
    <row r="16" spans="2:27" x14ac:dyDescent="0.2">
      <c r="B16" s="44" t="str">
        <f t="array" ref="B16">IFERROR(INDEX(pbp_Pitcher,MATCH(0,COUNTIF($B$5:B15,pbp_Pitcher)+(pbp_Pitcher=""),0)),"")</f>
        <v>Yoshinobu Yamamoto</v>
      </c>
      <c r="C16" s="61" t="str">
        <f>IF($B16="","",IFERROR(INDEX(pbp_PitTeam,MATCH($B16,pbp_Pitcher,0)),""))</f>
        <v>Los Angeles Dodgers</v>
      </c>
      <c r="D16" s="61" t="str">
        <f>IF($B16="","",IFERROR(INDEX(pbp_PitHand,MATCH($B16,pbp_Pitcher,0)),""))</f>
        <v>R</v>
      </c>
      <c r="E16" s="42">
        <f>IF($B16="","",SUMPRODUCT(COUNTIFS(pbp_PlayType,EM_Type,pbp_Pitcher,$B16)*EM_PA))</f>
        <v>10</v>
      </c>
      <c r="F16" s="42">
        <f>IF($B16="","",SUMIFS(pbp_Outs,pbp_Pitcher,$B16))</f>
        <v>8</v>
      </c>
      <c r="G16" s="70">
        <f t="shared" si="0"/>
        <v>2.2000000000000002</v>
      </c>
      <c r="H16" s="42">
        <f>IF($B16="","",SUMPRODUCT(COUNTIFS(pbp_PlayType,EM_Type,pbp_Pitcher,$B16)*EM_H))</f>
        <v>1</v>
      </c>
      <c r="I16" s="42">
        <f>IF($B16="","",SUMPRODUCT(COUNTIFS(pbp_PlayType,EM_Type,pbp_Pitcher,$B16)*EM_HR))</f>
        <v>0</v>
      </c>
      <c r="J16" s="42">
        <f>IF($B16="","",SUMPRODUCT(COUNTIFS(pbp_PlayType,EM_Type,pbp_Pitcher,$B16)*EM_BB))</f>
        <v>1</v>
      </c>
      <c r="K16" s="42">
        <f>IF($B16="","",SUMPRODUCT(COUNTIFS(pbp_PlayType,EM_Type,pbp_Pitcher,$B16)*EM_HBP))</f>
        <v>1</v>
      </c>
      <c r="L16" s="42">
        <f>IF($B16="","",COUNTIFS(pbp_PlayType,"?*",pbp_Desc,"*struck out*",pbp_Pitcher,$B16))</f>
        <v>1</v>
      </c>
      <c r="M16" s="42">
        <f>IF($B16="","",SUMIFS(pbp_Runs,pbp_Pitcher,$B16))</f>
        <v>0</v>
      </c>
      <c r="N16" s="42">
        <f>IF($B16="","",SUMPRODUCT(COUNTIFS(pbp_PlayType,EM_Type,pbp_Pitcher,$B16)*EM_AB))</f>
        <v>7</v>
      </c>
      <c r="O16" s="42">
        <f>IF($B16="","",SUMPRODUCT(COUNTIFS(pbp_PlayType,EM_Type,pbp_Pitcher,$B16)*EM_SF))</f>
        <v>0</v>
      </c>
      <c r="P16" s="42">
        <f>IF($B16="","",SUMIFS(pbp_Pitches,pbp_Pitcher,$B16,pbp_PlayType,"?*"))</f>
        <v>34</v>
      </c>
      <c r="Q16" s="60">
        <f t="shared" si="1"/>
        <v>3.4</v>
      </c>
      <c r="R16" s="59">
        <f>IF($B16="","",IF(E16=0,"",1-SUMPRODUCT((pbp_Pitcher=$B16)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0.61764705882352944</v>
      </c>
      <c r="S16" s="59">
        <f>IF($B16="","",IF((SUMPRODUCT((pbp_Pitcher=$B16)*(LEN(pbp_PlayType)&gt;0)))=0,"",(SUMPRODUCT((pbp_Pitcher=$B16)*(LEN(pbp_PlayType)&gt;0)*ISNUMBER(MATCH(LEFT(TRIM(pbp_Seq)&amp;"/",FIND("/",TRIM(pbp_Seq)&amp;"/")-1),{"S","F","FT","FB","IN","MB","POS"},0))))/(SUMPRODUCT((pbp_Pitcher=$B16)*(LEN(pbp_PlayType)&gt;0)))))</f>
        <v>0.6</v>
      </c>
      <c r="T16" s="59">
        <f t="shared" si="2"/>
        <v>0.1</v>
      </c>
      <c r="U16" s="59">
        <f t="shared" si="3"/>
        <v>0.1</v>
      </c>
      <c r="V16" s="59">
        <f t="shared" si="4"/>
        <v>0</v>
      </c>
      <c r="W16" s="60">
        <f t="shared" si="5"/>
        <v>0.75</v>
      </c>
      <c r="X16" s="60">
        <f t="shared" si="6"/>
        <v>4.5999999999999996</v>
      </c>
      <c r="Y16" s="58">
        <f t="shared" si="7"/>
        <v>0.14285714285714285</v>
      </c>
      <c r="Z16" s="58">
        <f t="shared" si="8"/>
        <v>0.16666666666666666</v>
      </c>
      <c r="AA16" s="62">
        <f>IF($B16="","",IF(OR(E16&lt;MinBF,X16=""),"",COUNTIFS($E$6:$E$255,"&gt;="&amp;MinBF,$X$6:$X$255,"&lt;"&amp;X16)+COUNTIFS($E$5:E15,"&gt;="&amp;MinBF,$X$5:X15,X16)+1))</f>
        <v>6</v>
      </c>
    </row>
    <row r="17" spans="2:27" x14ac:dyDescent="0.2">
      <c r="B17" s="44" t="str">
        <f t="array" ref="B17">IFERROR(INDEX(pbp_Pitcher,MATCH(0,COUNTIF($B$5:B16,pbp_Pitcher)+(pbp_Pitcher=""),0)),"")</f>
        <v>Seranthony Dominguez</v>
      </c>
      <c r="C17" s="61" t="str">
        <f>IF($B17="","",IFERROR(INDEX(pbp_PitTeam,MATCH($B17,pbp_Pitcher,0)),""))</f>
        <v>Toronto Blue Jays</v>
      </c>
      <c r="D17" s="61" t="str">
        <f>IF($B17="","",IFERROR(INDEX(pbp_PitHand,MATCH($B17,pbp_Pitcher,0)),""))</f>
        <v>R</v>
      </c>
      <c r="E17" s="42">
        <f>IF($B17="","",SUMPRODUCT(COUNTIFS(pbp_PlayType,EM_Type,pbp_Pitcher,$B17)*EM_PA))</f>
        <v>6</v>
      </c>
      <c r="F17" s="42">
        <f>IF($B17="","",SUMIFS(pbp_Outs,pbp_Pitcher,$B17))</f>
        <v>3</v>
      </c>
      <c r="G17" s="70">
        <f t="shared" si="0"/>
        <v>1</v>
      </c>
      <c r="H17" s="42">
        <f>IF($B17="","",SUMPRODUCT(COUNTIFS(pbp_PlayType,EM_Type,pbp_Pitcher,$B17)*EM_H))</f>
        <v>1</v>
      </c>
      <c r="I17" s="42">
        <f>IF($B17="","",SUMPRODUCT(COUNTIFS(pbp_PlayType,EM_Type,pbp_Pitcher,$B17)*EM_HR))</f>
        <v>0</v>
      </c>
      <c r="J17" s="42">
        <f>IF($B17="","",SUMPRODUCT(COUNTIFS(pbp_PlayType,EM_Type,pbp_Pitcher,$B17)*EM_BB))</f>
        <v>2</v>
      </c>
      <c r="K17" s="42">
        <f>IF($B17="","",SUMPRODUCT(COUNTIFS(pbp_PlayType,EM_Type,pbp_Pitcher,$B17)*EM_HBP))</f>
        <v>0</v>
      </c>
      <c r="L17" s="42">
        <f>IF($B17="","",COUNTIFS(pbp_PlayType,"?*",pbp_Desc,"*struck out*",pbp_Pitcher,$B17))</f>
        <v>0</v>
      </c>
      <c r="M17" s="42">
        <f>IF($B17="","",SUMIFS(pbp_Runs,pbp_Pitcher,$B17))</f>
        <v>0</v>
      </c>
      <c r="N17" s="42">
        <f>IF($B17="","",SUMPRODUCT(COUNTIFS(pbp_PlayType,EM_Type,pbp_Pitcher,$B17)*EM_AB))</f>
        <v>4</v>
      </c>
      <c r="O17" s="42">
        <f>IF($B17="","",SUMPRODUCT(COUNTIFS(pbp_PlayType,EM_Type,pbp_Pitcher,$B17)*EM_SF))</f>
        <v>0</v>
      </c>
      <c r="P17" s="42">
        <f>IF($B17="","",SUMIFS(pbp_Pitches,pbp_Pitcher,$B17,pbp_PlayType,"?*"))</f>
        <v>27</v>
      </c>
      <c r="Q17" s="60">
        <f t="shared" si="1"/>
        <v>4.5</v>
      </c>
      <c r="R17" s="59">
        <f>IF($B17="","",IF(E17=0,"",1-SUMPRODUCT((pbp_Pitcher=$B17)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0.48148148148148151</v>
      </c>
      <c r="S17" s="59">
        <f>IF($B17="","",IF((SUMPRODUCT((pbp_Pitcher=$B17)*(LEN(pbp_PlayType)&gt;0)))=0,"",(SUMPRODUCT((pbp_Pitcher=$B17)*(LEN(pbp_PlayType)&gt;0)*ISNUMBER(MATCH(LEFT(TRIM(pbp_Seq)&amp;"/",FIND("/",TRIM(pbp_Seq)&amp;"/")-1),{"S","F","FT","FB","IN","MB","POS"},0))))/(SUMPRODUCT((pbp_Pitcher=$B17)*(LEN(pbp_PlayType)&gt;0)))))</f>
        <v>0.5</v>
      </c>
      <c r="T17" s="59">
        <f t="shared" si="2"/>
        <v>0</v>
      </c>
      <c r="U17" s="59">
        <f t="shared" si="3"/>
        <v>0.33333333333333331</v>
      </c>
      <c r="V17" s="59">
        <f t="shared" si="4"/>
        <v>-0.33333333333333331</v>
      </c>
      <c r="W17" s="60">
        <f t="shared" si="5"/>
        <v>3</v>
      </c>
      <c r="X17" s="60">
        <f t="shared" si="6"/>
        <v>9.1</v>
      </c>
      <c r="Y17" s="58">
        <f t="shared" si="7"/>
        <v>0.25</v>
      </c>
      <c r="Z17" s="58">
        <f t="shared" si="8"/>
        <v>0.25</v>
      </c>
      <c r="AA17" s="62">
        <f>IF($B17="","",IF(OR(E17&lt;MinBF,X17=""),"",COUNTIFS($E$6:$E$255,"&gt;="&amp;MinBF,$X$6:$X$255,"&lt;"&amp;X17)+COUNTIFS($E$5:E16,"&gt;="&amp;MinBF,$X$5:X16,X17)+1))</f>
        <v>9</v>
      </c>
    </row>
    <row r="18" spans="2:27" x14ac:dyDescent="0.2">
      <c r="B18" s="44" t="str">
        <f t="array" ref="B18">IFERROR(INDEX(pbp_Pitcher,MATCH(0,COUNTIF($B$5:B17,pbp_Pitcher)+(pbp_Pitcher=""),0)),"")</f>
        <v>Shane Bieber</v>
      </c>
      <c r="C18" s="61" t="str">
        <f>IF($B18="","",IFERROR(INDEX(pbp_PitTeam,MATCH($B18,pbp_Pitcher,0)),""))</f>
        <v>Toronto Blue Jays</v>
      </c>
      <c r="D18" s="61" t="str">
        <f>IF($B18="","",IFERROR(INDEX(pbp_PitHand,MATCH($B18,pbp_Pitcher,0)),""))</f>
        <v>R</v>
      </c>
      <c r="E18" s="42">
        <f>IF($B18="","",SUMPRODUCT(COUNTIFS(pbp_PlayType,EM_Type,pbp_Pitcher,$B18)*EM_PA))</f>
        <v>4</v>
      </c>
      <c r="F18" s="42">
        <f>IF($B18="","",SUMIFS(pbp_Outs,pbp_Pitcher,$B18))</f>
        <v>3</v>
      </c>
      <c r="G18" s="70">
        <f t="shared" si="0"/>
        <v>1</v>
      </c>
      <c r="H18" s="42">
        <f>IF($B18="","",SUMPRODUCT(COUNTIFS(pbp_PlayType,EM_Type,pbp_Pitcher,$B18)*EM_H))</f>
        <v>1</v>
      </c>
      <c r="I18" s="42">
        <f>IF($B18="","",SUMPRODUCT(COUNTIFS(pbp_PlayType,EM_Type,pbp_Pitcher,$B18)*EM_HR))</f>
        <v>1</v>
      </c>
      <c r="J18" s="42">
        <f>IF($B18="","",SUMPRODUCT(COUNTIFS(pbp_PlayType,EM_Type,pbp_Pitcher,$B18)*EM_BB))</f>
        <v>0</v>
      </c>
      <c r="K18" s="42">
        <f>IF($B18="","",SUMPRODUCT(COUNTIFS(pbp_PlayType,EM_Type,pbp_Pitcher,$B18)*EM_HBP))</f>
        <v>0</v>
      </c>
      <c r="L18" s="42">
        <f>IF($B18="","",COUNTIFS(pbp_PlayType,"?*",pbp_Desc,"*struck out*",pbp_Pitcher,$B18))</f>
        <v>0</v>
      </c>
      <c r="M18" s="42">
        <f>IF($B18="","",SUMIFS(pbp_Runs,pbp_Pitcher,$B18))</f>
        <v>1</v>
      </c>
      <c r="N18" s="42">
        <f>IF($B18="","",SUMPRODUCT(COUNTIFS(pbp_PlayType,EM_Type,pbp_Pitcher,$B18)*EM_AB))</f>
        <v>4</v>
      </c>
      <c r="O18" s="42">
        <f>IF($B18="","",SUMPRODUCT(COUNTIFS(pbp_PlayType,EM_Type,pbp_Pitcher,$B18)*EM_SF))</f>
        <v>0</v>
      </c>
      <c r="P18" s="42">
        <f>IF($B18="","",SUMIFS(pbp_Pitches,pbp_Pitcher,$B18,pbp_PlayType,"?*"))</f>
        <v>13</v>
      </c>
      <c r="Q18" s="60">
        <f t="shared" si="1"/>
        <v>3.25</v>
      </c>
      <c r="R18" s="59">
        <f>IF($B18="","",IF(E18=0,"",1-SUMPRODUCT((pbp_Pitcher=$B18)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0.61538461538461542</v>
      </c>
      <c r="S18" s="59">
        <f>IF($B18="","",IF((SUMPRODUCT((pbp_Pitcher=$B18)*(LEN(pbp_PlayType)&gt;0)))=0,"",(SUMPRODUCT((pbp_Pitcher=$B18)*(LEN(pbp_PlayType)&gt;0)*ISNUMBER(MATCH(LEFT(TRIM(pbp_Seq)&amp;"/",FIND("/",TRIM(pbp_Seq)&amp;"/")-1),{"S","F","FT","FB","IN","MB","POS"},0))))/(SUMPRODUCT((pbp_Pitcher=$B18)*(LEN(pbp_PlayType)&gt;0)))))</f>
        <v>0.5</v>
      </c>
      <c r="T18" s="59">
        <f t="shared" si="2"/>
        <v>0</v>
      </c>
      <c r="U18" s="59">
        <f t="shared" si="3"/>
        <v>0</v>
      </c>
      <c r="V18" s="59">
        <f t="shared" si="4"/>
        <v>0</v>
      </c>
      <c r="W18" s="60">
        <f t="shared" si="5"/>
        <v>1</v>
      </c>
      <c r="X18" s="60">
        <f t="shared" si="6"/>
        <v>16.100000000000001</v>
      </c>
      <c r="Y18" s="58">
        <f t="shared" si="7"/>
        <v>0.25</v>
      </c>
      <c r="Z18" s="58">
        <f t="shared" si="8"/>
        <v>0</v>
      </c>
      <c r="AA18" s="62" t="str">
        <f>IF($B18="","",IF(OR(E18&lt;MinBF,X18=""),"",COUNTIFS($E$6:$E$255,"&gt;="&amp;MinBF,$X$6:$X$255,"&lt;"&amp;X18)+COUNTIFS($E$5:E17,"&gt;="&amp;MinBF,$X$5:X17,X18)+1))</f>
        <v/>
      </c>
    </row>
    <row r="19" spans="2:27" x14ac:dyDescent="0.2">
      <c r="B19" s="44" t="str">
        <f t="array" ref="B19">IFERROR(INDEX(pbp_Pitcher,MATCH(0,COUNTIF($B$5:B18,pbp_Pitcher)+(pbp_Pitcher=""),0)),"")</f>
        <v/>
      </c>
      <c r="C19" s="61" t="str">
        <f>IF($B19="","",IFERROR(INDEX(pbp_PitTeam,MATCH($B19,pbp_Pitcher,0)),""))</f>
        <v/>
      </c>
      <c r="D19" s="61" t="str">
        <f>IF($B19="","",IFERROR(INDEX(pbp_PitHand,MATCH($B19,pbp_Pitcher,0)),""))</f>
        <v/>
      </c>
      <c r="E19" s="42" t="str">
        <f>IF($B19="","",SUMPRODUCT(COUNTIFS(pbp_PlayType,EM_Type,pbp_Pitcher,$B19)*EM_PA))</f>
        <v/>
      </c>
      <c r="F19" s="42" t="str">
        <f>IF($B19="","",SUMIFS(pbp_Outs,pbp_Pitcher,$B19))</f>
        <v/>
      </c>
      <c r="G19" s="70" t="str">
        <f t="shared" si="0"/>
        <v/>
      </c>
      <c r="H19" s="42" t="str">
        <f>IF($B19="","",SUMPRODUCT(COUNTIFS(pbp_PlayType,EM_Type,pbp_Pitcher,$B19)*EM_H))</f>
        <v/>
      </c>
      <c r="I19" s="42" t="str">
        <f>IF($B19="","",SUMPRODUCT(COUNTIFS(pbp_PlayType,EM_Type,pbp_Pitcher,$B19)*EM_HR))</f>
        <v/>
      </c>
      <c r="J19" s="42" t="str">
        <f>IF($B19="","",SUMPRODUCT(COUNTIFS(pbp_PlayType,EM_Type,pbp_Pitcher,$B19)*EM_BB))</f>
        <v/>
      </c>
      <c r="K19" s="42" t="str">
        <f>IF($B19="","",SUMPRODUCT(COUNTIFS(pbp_PlayType,EM_Type,pbp_Pitcher,$B19)*EM_HBP))</f>
        <v/>
      </c>
      <c r="L19" s="42" t="str">
        <f>IF($B19="","",COUNTIFS(pbp_PlayType,"?*",pbp_Desc,"*struck out*",pbp_Pitcher,$B19))</f>
        <v/>
      </c>
      <c r="M19" s="42" t="str">
        <f>IF($B19="","",SUMIFS(pbp_Runs,pbp_Pitcher,$B19))</f>
        <v/>
      </c>
      <c r="N19" s="42" t="str">
        <f>IF($B19="","",SUMPRODUCT(COUNTIFS(pbp_PlayType,EM_Type,pbp_Pitcher,$B19)*EM_AB))</f>
        <v/>
      </c>
      <c r="O19" s="42" t="str">
        <f>IF($B19="","",SUMPRODUCT(COUNTIFS(pbp_PlayType,EM_Type,pbp_Pitcher,$B19)*EM_SF))</f>
        <v/>
      </c>
      <c r="P19" s="42" t="str">
        <f>IF($B19="","",SUMIFS(pbp_Pitches,pbp_Pitcher,$B19,pbp_PlayType,"?*"))</f>
        <v/>
      </c>
      <c r="Q19" s="60" t="str">
        <f t="shared" si="1"/>
        <v/>
      </c>
      <c r="R19" s="59" t="str">
        <f>IF($B19="","",IF(E19=0,"",1-SUMPRODUCT((pbp_Pitcher=$B19)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9" s="59" t="str">
        <f>IF($B19="","",IF((SUMPRODUCT((pbp_Pitcher=$B19)*(LEN(pbp_PlayType)&gt;0)))=0,"",(SUMPRODUCT((pbp_Pitcher=$B19)*(LEN(pbp_PlayType)&gt;0)*ISNUMBER(MATCH(LEFT(TRIM(pbp_Seq)&amp;"/",FIND("/",TRIM(pbp_Seq)&amp;"/")-1),{"S","F","FT","FB","IN","MB","POS"},0))))/(SUMPRODUCT((pbp_Pitcher=$B19)*(LEN(pbp_PlayType)&gt;0)))))</f>
        <v/>
      </c>
      <c r="T19" s="59" t="str">
        <f t="shared" si="2"/>
        <v/>
      </c>
      <c r="U19" s="59" t="str">
        <f t="shared" si="3"/>
        <v/>
      </c>
      <c r="V19" s="59" t="str">
        <f t="shared" si="4"/>
        <v/>
      </c>
      <c r="W19" s="60" t="str">
        <f t="shared" si="5"/>
        <v/>
      </c>
      <c r="X19" s="60" t="str">
        <f t="shared" si="6"/>
        <v/>
      </c>
      <c r="Y19" s="58" t="str">
        <f t="shared" si="7"/>
        <v/>
      </c>
      <c r="Z19" s="58" t="str">
        <f t="shared" si="8"/>
        <v/>
      </c>
      <c r="AA19" s="62" t="str">
        <f>IF($B19="","",IF(OR(E19&lt;MinBF,X19=""),"",COUNTIFS($E$6:$E$255,"&gt;="&amp;MinBF,$X$6:$X$255,"&lt;"&amp;X19)+COUNTIFS($E$5:E18,"&gt;="&amp;MinBF,$X$5:X18,X19)+1))</f>
        <v/>
      </c>
    </row>
    <row r="20" spans="2:27" x14ac:dyDescent="0.2">
      <c r="B20" s="44" t="str">
        <f t="array" ref="B20">IFERROR(INDEX(pbp_Pitcher,MATCH(0,COUNTIF($B$5:B19,pbp_Pitcher)+(pbp_Pitcher=""),0)),"")</f>
        <v/>
      </c>
      <c r="C20" s="61" t="str">
        <f>IF($B20="","",IFERROR(INDEX(pbp_PitTeam,MATCH($B20,pbp_Pitcher,0)),""))</f>
        <v/>
      </c>
      <c r="D20" s="61" t="str">
        <f>IF($B20="","",IFERROR(INDEX(pbp_PitHand,MATCH($B20,pbp_Pitcher,0)),""))</f>
        <v/>
      </c>
      <c r="E20" s="42" t="str">
        <f>IF($B20="","",SUMPRODUCT(COUNTIFS(pbp_PlayType,EM_Type,pbp_Pitcher,$B20)*EM_PA))</f>
        <v/>
      </c>
      <c r="F20" s="42" t="str">
        <f>IF($B20="","",SUMIFS(pbp_Outs,pbp_Pitcher,$B20))</f>
        <v/>
      </c>
      <c r="G20" s="70" t="str">
        <f t="shared" si="0"/>
        <v/>
      </c>
      <c r="H20" s="42" t="str">
        <f>IF($B20="","",SUMPRODUCT(COUNTIFS(pbp_PlayType,EM_Type,pbp_Pitcher,$B20)*EM_H))</f>
        <v/>
      </c>
      <c r="I20" s="42" t="str">
        <f>IF($B20="","",SUMPRODUCT(COUNTIFS(pbp_PlayType,EM_Type,pbp_Pitcher,$B20)*EM_HR))</f>
        <v/>
      </c>
      <c r="J20" s="42" t="str">
        <f>IF($B20="","",SUMPRODUCT(COUNTIFS(pbp_PlayType,EM_Type,pbp_Pitcher,$B20)*EM_BB))</f>
        <v/>
      </c>
      <c r="K20" s="42" t="str">
        <f>IF($B20="","",SUMPRODUCT(COUNTIFS(pbp_PlayType,EM_Type,pbp_Pitcher,$B20)*EM_HBP))</f>
        <v/>
      </c>
      <c r="L20" s="42" t="str">
        <f>IF($B20="","",COUNTIFS(pbp_PlayType,"?*",pbp_Desc,"*struck out*",pbp_Pitcher,$B20))</f>
        <v/>
      </c>
      <c r="M20" s="42" t="str">
        <f>IF($B20="","",SUMIFS(pbp_Runs,pbp_Pitcher,$B20))</f>
        <v/>
      </c>
      <c r="N20" s="42" t="str">
        <f>IF($B20="","",SUMPRODUCT(COUNTIFS(pbp_PlayType,EM_Type,pbp_Pitcher,$B20)*EM_AB))</f>
        <v/>
      </c>
      <c r="O20" s="42" t="str">
        <f>IF($B20="","",SUMPRODUCT(COUNTIFS(pbp_PlayType,EM_Type,pbp_Pitcher,$B20)*EM_SF))</f>
        <v/>
      </c>
      <c r="P20" s="42" t="str">
        <f>IF($B20="","",SUMIFS(pbp_Pitches,pbp_Pitcher,$B20,pbp_PlayType,"?*"))</f>
        <v/>
      </c>
      <c r="Q20" s="60" t="str">
        <f t="shared" si="1"/>
        <v/>
      </c>
      <c r="R20" s="59" t="str">
        <f>IF($B20="","",IF(E20=0,"",1-SUMPRODUCT((pbp_Pitcher=$B20)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0" s="59" t="str">
        <f>IF($B20="","",IF((SUMPRODUCT((pbp_Pitcher=$B20)*(LEN(pbp_PlayType)&gt;0)))=0,"",(SUMPRODUCT((pbp_Pitcher=$B20)*(LEN(pbp_PlayType)&gt;0)*ISNUMBER(MATCH(LEFT(TRIM(pbp_Seq)&amp;"/",FIND("/",TRIM(pbp_Seq)&amp;"/")-1),{"S","F","FT","FB","IN","MB","POS"},0))))/(SUMPRODUCT((pbp_Pitcher=$B20)*(LEN(pbp_PlayType)&gt;0)))))</f>
        <v/>
      </c>
      <c r="T20" s="59" t="str">
        <f t="shared" si="2"/>
        <v/>
      </c>
      <c r="U20" s="59" t="str">
        <f t="shared" si="3"/>
        <v/>
      </c>
      <c r="V20" s="59" t="str">
        <f t="shared" si="4"/>
        <v/>
      </c>
      <c r="W20" s="60" t="str">
        <f t="shared" si="5"/>
        <v/>
      </c>
      <c r="X20" s="60" t="str">
        <f t="shared" si="6"/>
        <v/>
      </c>
      <c r="Y20" s="58" t="str">
        <f t="shared" si="7"/>
        <v/>
      </c>
      <c r="Z20" s="58" t="str">
        <f t="shared" si="8"/>
        <v/>
      </c>
      <c r="AA20" s="62" t="str">
        <f>IF($B20="","",IF(OR(E20&lt;MinBF,X20=""),"",COUNTIFS($E$6:$E$255,"&gt;="&amp;MinBF,$X$6:$X$255,"&lt;"&amp;X20)+COUNTIFS($E$5:E19,"&gt;="&amp;MinBF,$X$5:X19,X20)+1))</f>
        <v/>
      </c>
    </row>
    <row r="21" spans="2:27" x14ac:dyDescent="0.2">
      <c r="B21" s="44" t="str">
        <f t="array" ref="B21">IFERROR(INDEX(pbp_Pitcher,MATCH(0,COUNTIF($B$5:B20,pbp_Pitcher)+(pbp_Pitcher=""),0)),"")</f>
        <v/>
      </c>
      <c r="C21" s="61" t="str">
        <f>IF($B21="","",IFERROR(INDEX(pbp_PitTeam,MATCH($B21,pbp_Pitcher,0)),""))</f>
        <v/>
      </c>
      <c r="D21" s="61" t="str">
        <f>IF($B21="","",IFERROR(INDEX(pbp_PitHand,MATCH($B21,pbp_Pitcher,0)),""))</f>
        <v/>
      </c>
      <c r="E21" s="42" t="str">
        <f>IF($B21="","",SUMPRODUCT(COUNTIFS(pbp_PlayType,EM_Type,pbp_Pitcher,$B21)*EM_PA))</f>
        <v/>
      </c>
      <c r="F21" s="42" t="str">
        <f>IF($B21="","",SUMIFS(pbp_Outs,pbp_Pitcher,$B21))</f>
        <v/>
      </c>
      <c r="G21" s="70" t="str">
        <f t="shared" si="0"/>
        <v/>
      </c>
      <c r="H21" s="42" t="str">
        <f>IF($B21="","",SUMPRODUCT(COUNTIFS(pbp_PlayType,EM_Type,pbp_Pitcher,$B21)*EM_H))</f>
        <v/>
      </c>
      <c r="I21" s="42" t="str">
        <f>IF($B21="","",SUMPRODUCT(COUNTIFS(pbp_PlayType,EM_Type,pbp_Pitcher,$B21)*EM_HR))</f>
        <v/>
      </c>
      <c r="J21" s="42" t="str">
        <f>IF($B21="","",SUMPRODUCT(COUNTIFS(pbp_PlayType,EM_Type,pbp_Pitcher,$B21)*EM_BB))</f>
        <v/>
      </c>
      <c r="K21" s="42" t="str">
        <f>IF($B21="","",SUMPRODUCT(COUNTIFS(pbp_PlayType,EM_Type,pbp_Pitcher,$B21)*EM_HBP))</f>
        <v/>
      </c>
      <c r="L21" s="42" t="str">
        <f>IF($B21="","",COUNTIFS(pbp_PlayType,"?*",pbp_Desc,"*struck out*",pbp_Pitcher,$B21))</f>
        <v/>
      </c>
      <c r="M21" s="42" t="str">
        <f>IF($B21="","",SUMIFS(pbp_Runs,pbp_Pitcher,$B21))</f>
        <v/>
      </c>
      <c r="N21" s="42" t="str">
        <f>IF($B21="","",SUMPRODUCT(COUNTIFS(pbp_PlayType,EM_Type,pbp_Pitcher,$B21)*EM_AB))</f>
        <v/>
      </c>
      <c r="O21" s="42" t="str">
        <f>IF($B21="","",SUMPRODUCT(COUNTIFS(pbp_PlayType,EM_Type,pbp_Pitcher,$B21)*EM_SF))</f>
        <v/>
      </c>
      <c r="P21" s="42" t="str">
        <f>IF($B21="","",SUMIFS(pbp_Pitches,pbp_Pitcher,$B21,pbp_PlayType,"?*"))</f>
        <v/>
      </c>
      <c r="Q21" s="60" t="str">
        <f t="shared" si="1"/>
        <v/>
      </c>
      <c r="R21" s="59" t="str">
        <f>IF($B21="","",IF(E21=0,"",1-SUMPRODUCT((pbp_Pitcher=$B21)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1" s="59" t="str">
        <f>IF($B21="","",IF((SUMPRODUCT((pbp_Pitcher=$B21)*(LEN(pbp_PlayType)&gt;0)))=0,"",(SUMPRODUCT((pbp_Pitcher=$B21)*(LEN(pbp_PlayType)&gt;0)*ISNUMBER(MATCH(LEFT(TRIM(pbp_Seq)&amp;"/",FIND("/",TRIM(pbp_Seq)&amp;"/")-1),{"S","F","FT","FB","IN","MB","POS"},0))))/(SUMPRODUCT((pbp_Pitcher=$B21)*(LEN(pbp_PlayType)&gt;0)))))</f>
        <v/>
      </c>
      <c r="T21" s="59" t="str">
        <f t="shared" si="2"/>
        <v/>
      </c>
      <c r="U21" s="59" t="str">
        <f t="shared" si="3"/>
        <v/>
      </c>
      <c r="V21" s="59" t="str">
        <f t="shared" si="4"/>
        <v/>
      </c>
      <c r="W21" s="60" t="str">
        <f t="shared" si="5"/>
        <v/>
      </c>
      <c r="X21" s="60" t="str">
        <f t="shared" si="6"/>
        <v/>
      </c>
      <c r="Y21" s="58" t="str">
        <f t="shared" si="7"/>
        <v/>
      </c>
      <c r="Z21" s="58" t="str">
        <f t="shared" si="8"/>
        <v/>
      </c>
      <c r="AA21" s="62" t="str">
        <f>IF($B21="","",IF(OR(E21&lt;MinBF,X21=""),"",COUNTIFS($E$6:$E$255,"&gt;="&amp;MinBF,$X$6:$X$255,"&lt;"&amp;X21)+COUNTIFS($E$5:E20,"&gt;="&amp;MinBF,$X$5:X20,X21)+1))</f>
        <v/>
      </c>
    </row>
    <row r="22" spans="2:27" x14ac:dyDescent="0.2">
      <c r="B22" s="44" t="str">
        <f t="array" ref="B22">IFERROR(INDEX(pbp_Pitcher,MATCH(0,COUNTIF($B$5:B21,pbp_Pitcher)+(pbp_Pitcher=""),0)),"")</f>
        <v/>
      </c>
      <c r="C22" s="61" t="str">
        <f>IF($B22="","",IFERROR(INDEX(pbp_PitTeam,MATCH($B22,pbp_Pitcher,0)),""))</f>
        <v/>
      </c>
      <c r="D22" s="61" t="str">
        <f>IF($B22="","",IFERROR(INDEX(pbp_PitHand,MATCH($B22,pbp_Pitcher,0)),""))</f>
        <v/>
      </c>
      <c r="E22" s="42" t="str">
        <f>IF($B22="","",SUMPRODUCT(COUNTIFS(pbp_PlayType,EM_Type,pbp_Pitcher,$B22)*EM_PA))</f>
        <v/>
      </c>
      <c r="F22" s="42" t="str">
        <f>IF($B22="","",SUMIFS(pbp_Outs,pbp_Pitcher,$B22))</f>
        <v/>
      </c>
      <c r="G22" s="70" t="str">
        <f t="shared" si="0"/>
        <v/>
      </c>
      <c r="H22" s="42" t="str">
        <f>IF($B22="","",SUMPRODUCT(COUNTIFS(pbp_PlayType,EM_Type,pbp_Pitcher,$B22)*EM_H))</f>
        <v/>
      </c>
      <c r="I22" s="42" t="str">
        <f>IF($B22="","",SUMPRODUCT(COUNTIFS(pbp_PlayType,EM_Type,pbp_Pitcher,$B22)*EM_HR))</f>
        <v/>
      </c>
      <c r="J22" s="42" t="str">
        <f>IF($B22="","",SUMPRODUCT(COUNTIFS(pbp_PlayType,EM_Type,pbp_Pitcher,$B22)*EM_BB))</f>
        <v/>
      </c>
      <c r="K22" s="42" t="str">
        <f>IF($B22="","",SUMPRODUCT(COUNTIFS(pbp_PlayType,EM_Type,pbp_Pitcher,$B22)*EM_HBP))</f>
        <v/>
      </c>
      <c r="L22" s="42" t="str">
        <f>IF($B22="","",COUNTIFS(pbp_PlayType,"?*",pbp_Desc,"*struck out*",pbp_Pitcher,$B22))</f>
        <v/>
      </c>
      <c r="M22" s="42" t="str">
        <f>IF($B22="","",SUMIFS(pbp_Runs,pbp_Pitcher,$B22))</f>
        <v/>
      </c>
      <c r="N22" s="42" t="str">
        <f>IF($B22="","",SUMPRODUCT(COUNTIFS(pbp_PlayType,EM_Type,pbp_Pitcher,$B22)*EM_AB))</f>
        <v/>
      </c>
      <c r="O22" s="42" t="str">
        <f>IF($B22="","",SUMPRODUCT(COUNTIFS(pbp_PlayType,EM_Type,pbp_Pitcher,$B22)*EM_SF))</f>
        <v/>
      </c>
      <c r="P22" s="42" t="str">
        <f>IF($B22="","",SUMIFS(pbp_Pitches,pbp_Pitcher,$B22,pbp_PlayType,"?*"))</f>
        <v/>
      </c>
      <c r="Q22" s="60" t="str">
        <f t="shared" si="1"/>
        <v/>
      </c>
      <c r="R22" s="59" t="str">
        <f>IF($B22="","",IF(E22=0,"",1-SUMPRODUCT((pbp_Pitcher=$B22)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2" s="59" t="str">
        <f>IF($B22="","",IF((SUMPRODUCT((pbp_Pitcher=$B22)*(LEN(pbp_PlayType)&gt;0)))=0,"",(SUMPRODUCT((pbp_Pitcher=$B22)*(LEN(pbp_PlayType)&gt;0)*ISNUMBER(MATCH(LEFT(TRIM(pbp_Seq)&amp;"/",FIND("/",TRIM(pbp_Seq)&amp;"/")-1),{"S","F","FT","FB","IN","MB","POS"},0))))/(SUMPRODUCT((pbp_Pitcher=$B22)*(LEN(pbp_PlayType)&gt;0)))))</f>
        <v/>
      </c>
      <c r="T22" s="59" t="str">
        <f t="shared" si="2"/>
        <v/>
      </c>
      <c r="U22" s="59" t="str">
        <f t="shared" si="3"/>
        <v/>
      </c>
      <c r="V22" s="59" t="str">
        <f t="shared" si="4"/>
        <v/>
      </c>
      <c r="W22" s="60" t="str">
        <f t="shared" si="5"/>
        <v/>
      </c>
      <c r="X22" s="60" t="str">
        <f t="shared" si="6"/>
        <v/>
      </c>
      <c r="Y22" s="58" t="str">
        <f t="shared" si="7"/>
        <v/>
      </c>
      <c r="Z22" s="58" t="str">
        <f t="shared" si="8"/>
        <v/>
      </c>
      <c r="AA22" s="62" t="str">
        <f>IF($B22="","",IF(OR(E22&lt;MinBF,X22=""),"",COUNTIFS($E$6:$E$255,"&gt;="&amp;MinBF,$X$6:$X$255,"&lt;"&amp;X22)+COUNTIFS($E$5:E21,"&gt;="&amp;MinBF,$X$5:X21,X22)+1))</f>
        <v/>
      </c>
    </row>
    <row r="23" spans="2:27" x14ac:dyDescent="0.2">
      <c r="B23" s="44" t="str">
        <f t="array" ref="B23">IFERROR(INDEX(pbp_Pitcher,MATCH(0,COUNTIF($B$5:B22,pbp_Pitcher)+(pbp_Pitcher=""),0)),"")</f>
        <v/>
      </c>
      <c r="C23" s="61" t="str">
        <f>IF($B23="","",IFERROR(INDEX(pbp_PitTeam,MATCH($B23,pbp_Pitcher,0)),""))</f>
        <v/>
      </c>
      <c r="D23" s="61" t="str">
        <f>IF($B23="","",IFERROR(INDEX(pbp_PitHand,MATCH($B23,pbp_Pitcher,0)),""))</f>
        <v/>
      </c>
      <c r="E23" s="42" t="str">
        <f>IF($B23="","",SUMPRODUCT(COUNTIFS(pbp_PlayType,EM_Type,pbp_Pitcher,$B23)*EM_PA))</f>
        <v/>
      </c>
      <c r="F23" s="42" t="str">
        <f>IF($B23="","",SUMIFS(pbp_Outs,pbp_Pitcher,$B23))</f>
        <v/>
      </c>
      <c r="G23" s="70" t="str">
        <f t="shared" si="0"/>
        <v/>
      </c>
      <c r="H23" s="42" t="str">
        <f>IF($B23="","",SUMPRODUCT(COUNTIFS(pbp_PlayType,EM_Type,pbp_Pitcher,$B23)*EM_H))</f>
        <v/>
      </c>
      <c r="I23" s="42" t="str">
        <f>IF($B23="","",SUMPRODUCT(COUNTIFS(pbp_PlayType,EM_Type,pbp_Pitcher,$B23)*EM_HR))</f>
        <v/>
      </c>
      <c r="J23" s="42" t="str">
        <f>IF($B23="","",SUMPRODUCT(COUNTIFS(pbp_PlayType,EM_Type,pbp_Pitcher,$B23)*EM_BB))</f>
        <v/>
      </c>
      <c r="K23" s="42" t="str">
        <f>IF($B23="","",SUMPRODUCT(COUNTIFS(pbp_PlayType,EM_Type,pbp_Pitcher,$B23)*EM_HBP))</f>
        <v/>
      </c>
      <c r="L23" s="42" t="str">
        <f>IF($B23="","",COUNTIFS(pbp_PlayType,"?*",pbp_Desc,"*struck out*",pbp_Pitcher,$B23))</f>
        <v/>
      </c>
      <c r="M23" s="42" t="str">
        <f>IF($B23="","",SUMIFS(pbp_Runs,pbp_Pitcher,$B23))</f>
        <v/>
      </c>
      <c r="N23" s="42" t="str">
        <f>IF($B23="","",SUMPRODUCT(COUNTIFS(pbp_PlayType,EM_Type,pbp_Pitcher,$B23)*EM_AB))</f>
        <v/>
      </c>
      <c r="O23" s="42" t="str">
        <f>IF($B23="","",SUMPRODUCT(COUNTIFS(pbp_PlayType,EM_Type,pbp_Pitcher,$B23)*EM_SF))</f>
        <v/>
      </c>
      <c r="P23" s="42" t="str">
        <f>IF($B23="","",SUMIFS(pbp_Pitches,pbp_Pitcher,$B23,pbp_PlayType,"?*"))</f>
        <v/>
      </c>
      <c r="Q23" s="60" t="str">
        <f t="shared" si="1"/>
        <v/>
      </c>
      <c r="R23" s="59" t="str">
        <f>IF($B23="","",IF(E23=0,"",1-SUMPRODUCT((pbp_Pitcher=$B23)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3" s="59" t="str">
        <f>IF($B23="","",IF((SUMPRODUCT((pbp_Pitcher=$B23)*(LEN(pbp_PlayType)&gt;0)))=0,"",(SUMPRODUCT((pbp_Pitcher=$B23)*(LEN(pbp_PlayType)&gt;0)*ISNUMBER(MATCH(LEFT(TRIM(pbp_Seq)&amp;"/",FIND("/",TRIM(pbp_Seq)&amp;"/")-1),{"S","F","FT","FB","IN","MB","POS"},0))))/(SUMPRODUCT((pbp_Pitcher=$B23)*(LEN(pbp_PlayType)&gt;0)))))</f>
        <v/>
      </c>
      <c r="T23" s="59" t="str">
        <f t="shared" si="2"/>
        <v/>
      </c>
      <c r="U23" s="59" t="str">
        <f t="shared" si="3"/>
        <v/>
      </c>
      <c r="V23" s="59" t="str">
        <f t="shared" si="4"/>
        <v/>
      </c>
      <c r="W23" s="60" t="str">
        <f t="shared" si="5"/>
        <v/>
      </c>
      <c r="X23" s="60" t="str">
        <f t="shared" si="6"/>
        <v/>
      </c>
      <c r="Y23" s="58" t="str">
        <f t="shared" si="7"/>
        <v/>
      </c>
      <c r="Z23" s="58" t="str">
        <f t="shared" si="8"/>
        <v/>
      </c>
      <c r="AA23" s="62" t="str">
        <f>IF($B23="","",IF(OR(E23&lt;MinBF,X23=""),"",COUNTIFS($E$6:$E$255,"&gt;="&amp;MinBF,$X$6:$X$255,"&lt;"&amp;X23)+COUNTIFS($E$5:E22,"&gt;="&amp;MinBF,$X$5:X22,X23)+1))</f>
        <v/>
      </c>
    </row>
    <row r="24" spans="2:27" x14ac:dyDescent="0.2">
      <c r="B24" s="44" t="str">
        <f t="array" ref="B24">IFERROR(INDEX(pbp_Pitcher,MATCH(0,COUNTIF($B$5:B23,pbp_Pitcher)+(pbp_Pitcher=""),0)),"")</f>
        <v/>
      </c>
      <c r="C24" s="61" t="str">
        <f>IF($B24="","",IFERROR(INDEX(pbp_PitTeam,MATCH($B24,pbp_Pitcher,0)),""))</f>
        <v/>
      </c>
      <c r="D24" s="61" t="str">
        <f>IF($B24="","",IFERROR(INDEX(pbp_PitHand,MATCH($B24,pbp_Pitcher,0)),""))</f>
        <v/>
      </c>
      <c r="E24" s="42" t="str">
        <f>IF($B24="","",SUMPRODUCT(COUNTIFS(pbp_PlayType,EM_Type,pbp_Pitcher,$B24)*EM_PA))</f>
        <v/>
      </c>
      <c r="F24" s="42" t="str">
        <f>IF($B24="","",SUMIFS(pbp_Outs,pbp_Pitcher,$B24))</f>
        <v/>
      </c>
      <c r="G24" s="70" t="str">
        <f t="shared" si="0"/>
        <v/>
      </c>
      <c r="H24" s="42" t="str">
        <f>IF($B24="","",SUMPRODUCT(COUNTIFS(pbp_PlayType,EM_Type,pbp_Pitcher,$B24)*EM_H))</f>
        <v/>
      </c>
      <c r="I24" s="42" t="str">
        <f>IF($B24="","",SUMPRODUCT(COUNTIFS(pbp_PlayType,EM_Type,pbp_Pitcher,$B24)*EM_HR))</f>
        <v/>
      </c>
      <c r="J24" s="42" t="str">
        <f>IF($B24="","",SUMPRODUCT(COUNTIFS(pbp_PlayType,EM_Type,pbp_Pitcher,$B24)*EM_BB))</f>
        <v/>
      </c>
      <c r="K24" s="42" t="str">
        <f>IF($B24="","",SUMPRODUCT(COUNTIFS(pbp_PlayType,EM_Type,pbp_Pitcher,$B24)*EM_HBP))</f>
        <v/>
      </c>
      <c r="L24" s="42" t="str">
        <f>IF($B24="","",COUNTIFS(pbp_PlayType,"?*",pbp_Desc,"*struck out*",pbp_Pitcher,$B24))</f>
        <v/>
      </c>
      <c r="M24" s="42" t="str">
        <f>IF($B24="","",SUMIFS(pbp_Runs,pbp_Pitcher,$B24))</f>
        <v/>
      </c>
      <c r="N24" s="42" t="str">
        <f>IF($B24="","",SUMPRODUCT(COUNTIFS(pbp_PlayType,EM_Type,pbp_Pitcher,$B24)*EM_AB))</f>
        <v/>
      </c>
      <c r="O24" s="42" t="str">
        <f>IF($B24="","",SUMPRODUCT(COUNTIFS(pbp_PlayType,EM_Type,pbp_Pitcher,$B24)*EM_SF))</f>
        <v/>
      </c>
      <c r="P24" s="42" t="str">
        <f>IF($B24="","",SUMIFS(pbp_Pitches,pbp_Pitcher,$B24,pbp_PlayType,"?*"))</f>
        <v/>
      </c>
      <c r="Q24" s="60" t="str">
        <f t="shared" si="1"/>
        <v/>
      </c>
      <c r="R24" s="59" t="str">
        <f>IF($B24="","",IF(E24=0,"",1-SUMPRODUCT((pbp_Pitcher=$B24)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4" s="59" t="str">
        <f>IF($B24="","",IF((SUMPRODUCT((pbp_Pitcher=$B24)*(LEN(pbp_PlayType)&gt;0)))=0,"",(SUMPRODUCT((pbp_Pitcher=$B24)*(LEN(pbp_PlayType)&gt;0)*ISNUMBER(MATCH(LEFT(TRIM(pbp_Seq)&amp;"/",FIND("/",TRIM(pbp_Seq)&amp;"/")-1),{"S","F","FT","FB","IN","MB","POS"},0))))/(SUMPRODUCT((pbp_Pitcher=$B24)*(LEN(pbp_PlayType)&gt;0)))))</f>
        <v/>
      </c>
      <c r="T24" s="59" t="str">
        <f t="shared" si="2"/>
        <v/>
      </c>
      <c r="U24" s="59" t="str">
        <f t="shared" si="3"/>
        <v/>
      </c>
      <c r="V24" s="59" t="str">
        <f t="shared" si="4"/>
        <v/>
      </c>
      <c r="W24" s="60" t="str">
        <f t="shared" si="5"/>
        <v/>
      </c>
      <c r="X24" s="60" t="str">
        <f t="shared" si="6"/>
        <v/>
      </c>
      <c r="Y24" s="58" t="str">
        <f t="shared" si="7"/>
        <v/>
      </c>
      <c r="Z24" s="58" t="str">
        <f t="shared" si="8"/>
        <v/>
      </c>
      <c r="AA24" s="62" t="str">
        <f>IF($B24="","",IF(OR(E24&lt;MinBF,X24=""),"",COUNTIFS($E$6:$E$255,"&gt;="&amp;MinBF,$X$6:$X$255,"&lt;"&amp;X24)+COUNTIFS($E$5:E23,"&gt;="&amp;MinBF,$X$5:X23,X24)+1))</f>
        <v/>
      </c>
    </row>
    <row r="25" spans="2:27" x14ac:dyDescent="0.2">
      <c r="B25" s="44" t="str">
        <f t="array" ref="B25">IFERROR(INDEX(pbp_Pitcher,MATCH(0,COUNTIF($B$5:B24,pbp_Pitcher)+(pbp_Pitcher=""),0)),"")</f>
        <v/>
      </c>
      <c r="C25" s="61" t="str">
        <f>IF($B25="","",IFERROR(INDEX(pbp_PitTeam,MATCH($B25,pbp_Pitcher,0)),""))</f>
        <v/>
      </c>
      <c r="D25" s="61" t="str">
        <f>IF($B25="","",IFERROR(INDEX(pbp_PitHand,MATCH($B25,pbp_Pitcher,0)),""))</f>
        <v/>
      </c>
      <c r="E25" s="42" t="str">
        <f>IF($B25="","",SUMPRODUCT(COUNTIFS(pbp_PlayType,EM_Type,pbp_Pitcher,$B25)*EM_PA))</f>
        <v/>
      </c>
      <c r="F25" s="42" t="str">
        <f>IF($B25="","",SUMIFS(pbp_Outs,pbp_Pitcher,$B25))</f>
        <v/>
      </c>
      <c r="G25" s="70" t="str">
        <f t="shared" si="0"/>
        <v/>
      </c>
      <c r="H25" s="42" t="str">
        <f>IF($B25="","",SUMPRODUCT(COUNTIFS(pbp_PlayType,EM_Type,pbp_Pitcher,$B25)*EM_H))</f>
        <v/>
      </c>
      <c r="I25" s="42" t="str">
        <f>IF($B25="","",SUMPRODUCT(COUNTIFS(pbp_PlayType,EM_Type,pbp_Pitcher,$B25)*EM_HR))</f>
        <v/>
      </c>
      <c r="J25" s="42" t="str">
        <f>IF($B25="","",SUMPRODUCT(COUNTIFS(pbp_PlayType,EM_Type,pbp_Pitcher,$B25)*EM_BB))</f>
        <v/>
      </c>
      <c r="K25" s="42" t="str">
        <f>IF($B25="","",SUMPRODUCT(COUNTIFS(pbp_PlayType,EM_Type,pbp_Pitcher,$B25)*EM_HBP))</f>
        <v/>
      </c>
      <c r="L25" s="42" t="str">
        <f>IF($B25="","",COUNTIFS(pbp_PlayType,"?*",pbp_Desc,"*struck out*",pbp_Pitcher,$B25))</f>
        <v/>
      </c>
      <c r="M25" s="42" t="str">
        <f>IF($B25="","",SUMIFS(pbp_Runs,pbp_Pitcher,$B25))</f>
        <v/>
      </c>
      <c r="N25" s="42" t="str">
        <f>IF($B25="","",SUMPRODUCT(COUNTIFS(pbp_PlayType,EM_Type,pbp_Pitcher,$B25)*EM_AB))</f>
        <v/>
      </c>
      <c r="O25" s="42" t="str">
        <f>IF($B25="","",SUMPRODUCT(COUNTIFS(pbp_PlayType,EM_Type,pbp_Pitcher,$B25)*EM_SF))</f>
        <v/>
      </c>
      <c r="P25" s="42" t="str">
        <f>IF($B25="","",SUMIFS(pbp_Pitches,pbp_Pitcher,$B25,pbp_PlayType,"?*"))</f>
        <v/>
      </c>
      <c r="Q25" s="60" t="str">
        <f t="shared" si="1"/>
        <v/>
      </c>
      <c r="R25" s="59" t="str">
        <f>IF($B25="","",IF(E25=0,"",1-SUMPRODUCT((pbp_Pitcher=$B25)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5" s="59" t="str">
        <f>IF($B25="","",IF((SUMPRODUCT((pbp_Pitcher=$B25)*(LEN(pbp_PlayType)&gt;0)))=0,"",(SUMPRODUCT((pbp_Pitcher=$B25)*(LEN(pbp_PlayType)&gt;0)*ISNUMBER(MATCH(LEFT(TRIM(pbp_Seq)&amp;"/",FIND("/",TRIM(pbp_Seq)&amp;"/")-1),{"S","F","FT","FB","IN","MB","POS"},0))))/(SUMPRODUCT((pbp_Pitcher=$B25)*(LEN(pbp_PlayType)&gt;0)))))</f>
        <v/>
      </c>
      <c r="T25" s="59" t="str">
        <f t="shared" si="2"/>
        <v/>
      </c>
      <c r="U25" s="59" t="str">
        <f t="shared" si="3"/>
        <v/>
      </c>
      <c r="V25" s="59" t="str">
        <f t="shared" si="4"/>
        <v/>
      </c>
      <c r="W25" s="60" t="str">
        <f t="shared" si="5"/>
        <v/>
      </c>
      <c r="X25" s="60" t="str">
        <f t="shared" si="6"/>
        <v/>
      </c>
      <c r="Y25" s="58" t="str">
        <f t="shared" si="7"/>
        <v/>
      </c>
      <c r="Z25" s="58" t="str">
        <f t="shared" si="8"/>
        <v/>
      </c>
      <c r="AA25" s="62" t="str">
        <f>IF($B25="","",IF(OR(E25&lt;MinBF,X25=""),"",COUNTIFS($E$6:$E$255,"&gt;="&amp;MinBF,$X$6:$X$255,"&lt;"&amp;X25)+COUNTIFS($E$5:E24,"&gt;="&amp;MinBF,$X$5:X24,X25)+1))</f>
        <v/>
      </c>
    </row>
    <row r="26" spans="2:27" x14ac:dyDescent="0.2">
      <c r="B26" s="44" t="str">
        <f t="array" ref="B26">IFERROR(INDEX(pbp_Pitcher,MATCH(0,COUNTIF($B$5:B25,pbp_Pitcher)+(pbp_Pitcher=""),0)),"")</f>
        <v/>
      </c>
      <c r="C26" s="61" t="str">
        <f>IF($B26="","",IFERROR(INDEX(pbp_PitTeam,MATCH($B26,pbp_Pitcher,0)),""))</f>
        <v/>
      </c>
      <c r="D26" s="61" t="str">
        <f>IF($B26="","",IFERROR(INDEX(pbp_PitHand,MATCH($B26,pbp_Pitcher,0)),""))</f>
        <v/>
      </c>
      <c r="E26" s="42" t="str">
        <f>IF($B26="","",SUMPRODUCT(COUNTIFS(pbp_PlayType,EM_Type,pbp_Pitcher,$B26)*EM_PA))</f>
        <v/>
      </c>
      <c r="F26" s="42" t="str">
        <f>IF($B26="","",SUMIFS(pbp_Outs,pbp_Pitcher,$B26))</f>
        <v/>
      </c>
      <c r="G26" s="70" t="str">
        <f t="shared" si="0"/>
        <v/>
      </c>
      <c r="H26" s="42" t="str">
        <f>IF($B26="","",SUMPRODUCT(COUNTIFS(pbp_PlayType,EM_Type,pbp_Pitcher,$B26)*EM_H))</f>
        <v/>
      </c>
      <c r="I26" s="42" t="str">
        <f>IF($B26="","",SUMPRODUCT(COUNTIFS(pbp_PlayType,EM_Type,pbp_Pitcher,$B26)*EM_HR))</f>
        <v/>
      </c>
      <c r="J26" s="42" t="str">
        <f>IF($B26="","",SUMPRODUCT(COUNTIFS(pbp_PlayType,EM_Type,pbp_Pitcher,$B26)*EM_BB))</f>
        <v/>
      </c>
      <c r="K26" s="42" t="str">
        <f>IF($B26="","",SUMPRODUCT(COUNTIFS(pbp_PlayType,EM_Type,pbp_Pitcher,$B26)*EM_HBP))</f>
        <v/>
      </c>
      <c r="L26" s="42" t="str">
        <f>IF($B26="","",COUNTIFS(pbp_PlayType,"?*",pbp_Desc,"*struck out*",pbp_Pitcher,$B26))</f>
        <v/>
      </c>
      <c r="M26" s="42" t="str">
        <f>IF($B26="","",SUMIFS(pbp_Runs,pbp_Pitcher,$B26))</f>
        <v/>
      </c>
      <c r="N26" s="42" t="str">
        <f>IF($B26="","",SUMPRODUCT(COUNTIFS(pbp_PlayType,EM_Type,pbp_Pitcher,$B26)*EM_AB))</f>
        <v/>
      </c>
      <c r="O26" s="42" t="str">
        <f>IF($B26="","",SUMPRODUCT(COUNTIFS(pbp_PlayType,EM_Type,pbp_Pitcher,$B26)*EM_SF))</f>
        <v/>
      </c>
      <c r="P26" s="42" t="str">
        <f>IF($B26="","",SUMIFS(pbp_Pitches,pbp_Pitcher,$B26,pbp_PlayType,"?*"))</f>
        <v/>
      </c>
      <c r="Q26" s="60" t="str">
        <f t="shared" si="1"/>
        <v/>
      </c>
      <c r="R26" s="59" t="str">
        <f>IF($B26="","",IF(E26=0,"",1-SUMPRODUCT((pbp_Pitcher=$B26)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6" s="59" t="str">
        <f>IF($B26="","",IF((SUMPRODUCT((pbp_Pitcher=$B26)*(LEN(pbp_PlayType)&gt;0)))=0,"",(SUMPRODUCT((pbp_Pitcher=$B26)*(LEN(pbp_PlayType)&gt;0)*ISNUMBER(MATCH(LEFT(TRIM(pbp_Seq)&amp;"/",FIND("/",TRIM(pbp_Seq)&amp;"/")-1),{"S","F","FT","FB","IN","MB","POS"},0))))/(SUMPRODUCT((pbp_Pitcher=$B26)*(LEN(pbp_PlayType)&gt;0)))))</f>
        <v/>
      </c>
      <c r="T26" s="59" t="str">
        <f t="shared" si="2"/>
        <v/>
      </c>
      <c r="U26" s="59" t="str">
        <f t="shared" si="3"/>
        <v/>
      </c>
      <c r="V26" s="59" t="str">
        <f t="shared" si="4"/>
        <v/>
      </c>
      <c r="W26" s="60" t="str">
        <f t="shared" si="5"/>
        <v/>
      </c>
      <c r="X26" s="60" t="str">
        <f t="shared" si="6"/>
        <v/>
      </c>
      <c r="Y26" s="58" t="str">
        <f t="shared" si="7"/>
        <v/>
      </c>
      <c r="Z26" s="58" t="str">
        <f t="shared" si="8"/>
        <v/>
      </c>
      <c r="AA26" s="62" t="str">
        <f>IF($B26="","",IF(OR(E26&lt;MinBF,X26=""),"",COUNTIFS($E$6:$E$255,"&gt;="&amp;MinBF,$X$6:$X$255,"&lt;"&amp;X26)+COUNTIFS($E$5:E25,"&gt;="&amp;MinBF,$X$5:X25,X26)+1))</f>
        <v/>
      </c>
    </row>
    <row r="27" spans="2:27" x14ac:dyDescent="0.2">
      <c r="B27" s="44" t="str">
        <f t="array" ref="B27">IFERROR(INDEX(pbp_Pitcher,MATCH(0,COUNTIF($B$5:B26,pbp_Pitcher)+(pbp_Pitcher=""),0)),"")</f>
        <v/>
      </c>
      <c r="C27" s="61" t="str">
        <f>IF($B27="","",IFERROR(INDEX(pbp_PitTeam,MATCH($B27,pbp_Pitcher,0)),""))</f>
        <v/>
      </c>
      <c r="D27" s="61" t="str">
        <f>IF($B27="","",IFERROR(INDEX(pbp_PitHand,MATCH($B27,pbp_Pitcher,0)),""))</f>
        <v/>
      </c>
      <c r="E27" s="42" t="str">
        <f>IF($B27="","",SUMPRODUCT(COUNTIFS(pbp_PlayType,EM_Type,pbp_Pitcher,$B27)*EM_PA))</f>
        <v/>
      </c>
      <c r="F27" s="42" t="str">
        <f>IF($B27="","",SUMIFS(pbp_Outs,pbp_Pitcher,$B27))</f>
        <v/>
      </c>
      <c r="G27" s="70" t="str">
        <f t="shared" si="0"/>
        <v/>
      </c>
      <c r="H27" s="42" t="str">
        <f>IF($B27="","",SUMPRODUCT(COUNTIFS(pbp_PlayType,EM_Type,pbp_Pitcher,$B27)*EM_H))</f>
        <v/>
      </c>
      <c r="I27" s="42" t="str">
        <f>IF($B27="","",SUMPRODUCT(COUNTIFS(pbp_PlayType,EM_Type,pbp_Pitcher,$B27)*EM_HR))</f>
        <v/>
      </c>
      <c r="J27" s="42" t="str">
        <f>IF($B27="","",SUMPRODUCT(COUNTIFS(pbp_PlayType,EM_Type,pbp_Pitcher,$B27)*EM_BB))</f>
        <v/>
      </c>
      <c r="K27" s="42" t="str">
        <f>IF($B27="","",SUMPRODUCT(COUNTIFS(pbp_PlayType,EM_Type,pbp_Pitcher,$B27)*EM_HBP))</f>
        <v/>
      </c>
      <c r="L27" s="42" t="str">
        <f>IF($B27="","",COUNTIFS(pbp_PlayType,"?*",pbp_Desc,"*struck out*",pbp_Pitcher,$B27))</f>
        <v/>
      </c>
      <c r="M27" s="42" t="str">
        <f>IF($B27="","",SUMIFS(pbp_Runs,pbp_Pitcher,$B27))</f>
        <v/>
      </c>
      <c r="N27" s="42" t="str">
        <f>IF($B27="","",SUMPRODUCT(COUNTIFS(pbp_PlayType,EM_Type,pbp_Pitcher,$B27)*EM_AB))</f>
        <v/>
      </c>
      <c r="O27" s="42" t="str">
        <f>IF($B27="","",SUMPRODUCT(COUNTIFS(pbp_PlayType,EM_Type,pbp_Pitcher,$B27)*EM_SF))</f>
        <v/>
      </c>
      <c r="P27" s="42" t="str">
        <f>IF($B27="","",SUMIFS(pbp_Pitches,pbp_Pitcher,$B27,pbp_PlayType,"?*"))</f>
        <v/>
      </c>
      <c r="Q27" s="60" t="str">
        <f t="shared" si="1"/>
        <v/>
      </c>
      <c r="R27" s="59" t="str">
        <f>IF($B27="","",IF(E27=0,"",1-SUMPRODUCT((pbp_Pitcher=$B27)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7" s="59" t="str">
        <f>IF($B27="","",IF((SUMPRODUCT((pbp_Pitcher=$B27)*(LEN(pbp_PlayType)&gt;0)))=0,"",(SUMPRODUCT((pbp_Pitcher=$B27)*(LEN(pbp_PlayType)&gt;0)*ISNUMBER(MATCH(LEFT(TRIM(pbp_Seq)&amp;"/",FIND("/",TRIM(pbp_Seq)&amp;"/")-1),{"S","F","FT","FB","IN","MB","POS"},0))))/(SUMPRODUCT((pbp_Pitcher=$B27)*(LEN(pbp_PlayType)&gt;0)))))</f>
        <v/>
      </c>
      <c r="T27" s="59" t="str">
        <f t="shared" si="2"/>
        <v/>
      </c>
      <c r="U27" s="59" t="str">
        <f t="shared" si="3"/>
        <v/>
      </c>
      <c r="V27" s="59" t="str">
        <f t="shared" si="4"/>
        <v/>
      </c>
      <c r="W27" s="60" t="str">
        <f t="shared" si="5"/>
        <v/>
      </c>
      <c r="X27" s="60" t="str">
        <f t="shared" si="6"/>
        <v/>
      </c>
      <c r="Y27" s="58" t="str">
        <f t="shared" si="7"/>
        <v/>
      </c>
      <c r="Z27" s="58" t="str">
        <f t="shared" si="8"/>
        <v/>
      </c>
      <c r="AA27" s="62" t="str">
        <f>IF($B27="","",IF(OR(E27&lt;MinBF,X27=""),"",COUNTIFS($E$6:$E$255,"&gt;="&amp;MinBF,$X$6:$X$255,"&lt;"&amp;X27)+COUNTIFS($E$5:E26,"&gt;="&amp;MinBF,$X$5:X26,X27)+1))</f>
        <v/>
      </c>
    </row>
    <row r="28" spans="2:27" x14ac:dyDescent="0.2">
      <c r="B28" s="44" t="str">
        <f t="array" ref="B28">IFERROR(INDEX(pbp_Pitcher,MATCH(0,COUNTIF($B$5:B27,pbp_Pitcher)+(pbp_Pitcher=""),0)),"")</f>
        <v/>
      </c>
      <c r="C28" s="61" t="str">
        <f>IF($B28="","",IFERROR(INDEX(pbp_PitTeam,MATCH($B28,pbp_Pitcher,0)),""))</f>
        <v/>
      </c>
      <c r="D28" s="61" t="str">
        <f>IF($B28="","",IFERROR(INDEX(pbp_PitHand,MATCH($B28,pbp_Pitcher,0)),""))</f>
        <v/>
      </c>
      <c r="E28" s="42" t="str">
        <f>IF($B28="","",SUMPRODUCT(COUNTIFS(pbp_PlayType,EM_Type,pbp_Pitcher,$B28)*EM_PA))</f>
        <v/>
      </c>
      <c r="F28" s="42" t="str">
        <f>IF($B28="","",SUMIFS(pbp_Outs,pbp_Pitcher,$B28))</f>
        <v/>
      </c>
      <c r="G28" s="70" t="str">
        <f t="shared" si="0"/>
        <v/>
      </c>
      <c r="H28" s="42" t="str">
        <f>IF($B28="","",SUMPRODUCT(COUNTIFS(pbp_PlayType,EM_Type,pbp_Pitcher,$B28)*EM_H))</f>
        <v/>
      </c>
      <c r="I28" s="42" t="str">
        <f>IF($B28="","",SUMPRODUCT(COUNTIFS(pbp_PlayType,EM_Type,pbp_Pitcher,$B28)*EM_HR))</f>
        <v/>
      </c>
      <c r="J28" s="42" t="str">
        <f>IF($B28="","",SUMPRODUCT(COUNTIFS(pbp_PlayType,EM_Type,pbp_Pitcher,$B28)*EM_BB))</f>
        <v/>
      </c>
      <c r="K28" s="42" t="str">
        <f>IF($B28="","",SUMPRODUCT(COUNTIFS(pbp_PlayType,EM_Type,pbp_Pitcher,$B28)*EM_HBP))</f>
        <v/>
      </c>
      <c r="L28" s="42" t="str">
        <f>IF($B28="","",COUNTIFS(pbp_PlayType,"?*",pbp_Desc,"*struck out*",pbp_Pitcher,$B28))</f>
        <v/>
      </c>
      <c r="M28" s="42" t="str">
        <f>IF($B28="","",SUMIFS(pbp_Runs,pbp_Pitcher,$B28))</f>
        <v/>
      </c>
      <c r="N28" s="42" t="str">
        <f>IF($B28="","",SUMPRODUCT(COUNTIFS(pbp_PlayType,EM_Type,pbp_Pitcher,$B28)*EM_AB))</f>
        <v/>
      </c>
      <c r="O28" s="42" t="str">
        <f>IF($B28="","",SUMPRODUCT(COUNTIFS(pbp_PlayType,EM_Type,pbp_Pitcher,$B28)*EM_SF))</f>
        <v/>
      </c>
      <c r="P28" s="42" t="str">
        <f>IF($B28="","",SUMIFS(pbp_Pitches,pbp_Pitcher,$B28,pbp_PlayType,"?*"))</f>
        <v/>
      </c>
      <c r="Q28" s="60" t="str">
        <f t="shared" si="1"/>
        <v/>
      </c>
      <c r="R28" s="59" t="str">
        <f>IF($B28="","",IF(E28=0,"",1-SUMPRODUCT((pbp_Pitcher=$B28)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8" s="59" t="str">
        <f>IF($B28="","",IF((SUMPRODUCT((pbp_Pitcher=$B28)*(LEN(pbp_PlayType)&gt;0)))=0,"",(SUMPRODUCT((pbp_Pitcher=$B28)*(LEN(pbp_PlayType)&gt;0)*ISNUMBER(MATCH(LEFT(TRIM(pbp_Seq)&amp;"/",FIND("/",TRIM(pbp_Seq)&amp;"/")-1),{"S","F","FT","FB","IN","MB","POS"},0))))/(SUMPRODUCT((pbp_Pitcher=$B28)*(LEN(pbp_PlayType)&gt;0)))))</f>
        <v/>
      </c>
      <c r="T28" s="59" t="str">
        <f t="shared" si="2"/>
        <v/>
      </c>
      <c r="U28" s="59" t="str">
        <f t="shared" si="3"/>
        <v/>
      </c>
      <c r="V28" s="59" t="str">
        <f t="shared" si="4"/>
        <v/>
      </c>
      <c r="W28" s="60" t="str">
        <f t="shared" si="5"/>
        <v/>
      </c>
      <c r="X28" s="60" t="str">
        <f t="shared" si="6"/>
        <v/>
      </c>
      <c r="Y28" s="58" t="str">
        <f t="shared" si="7"/>
        <v/>
      </c>
      <c r="Z28" s="58" t="str">
        <f t="shared" si="8"/>
        <v/>
      </c>
      <c r="AA28" s="62" t="str">
        <f>IF($B28="","",IF(OR(E28&lt;MinBF,X28=""),"",COUNTIFS($E$6:$E$255,"&gt;="&amp;MinBF,$X$6:$X$255,"&lt;"&amp;X28)+COUNTIFS($E$5:E27,"&gt;="&amp;MinBF,$X$5:X27,X28)+1))</f>
        <v/>
      </c>
    </row>
    <row r="29" spans="2:27" x14ac:dyDescent="0.2">
      <c r="B29" s="44" t="str">
        <f t="array" ref="B29">IFERROR(INDEX(pbp_Pitcher,MATCH(0,COUNTIF($B$5:B28,pbp_Pitcher)+(pbp_Pitcher=""),0)),"")</f>
        <v/>
      </c>
      <c r="C29" s="61" t="str">
        <f>IF($B29="","",IFERROR(INDEX(pbp_PitTeam,MATCH($B29,pbp_Pitcher,0)),""))</f>
        <v/>
      </c>
      <c r="D29" s="61" t="str">
        <f>IF($B29="","",IFERROR(INDEX(pbp_PitHand,MATCH($B29,pbp_Pitcher,0)),""))</f>
        <v/>
      </c>
      <c r="E29" s="42" t="str">
        <f>IF($B29="","",SUMPRODUCT(COUNTIFS(pbp_PlayType,EM_Type,pbp_Pitcher,$B29)*EM_PA))</f>
        <v/>
      </c>
      <c r="F29" s="42" t="str">
        <f>IF($B29="","",SUMIFS(pbp_Outs,pbp_Pitcher,$B29))</f>
        <v/>
      </c>
      <c r="G29" s="70" t="str">
        <f t="shared" si="0"/>
        <v/>
      </c>
      <c r="H29" s="42" t="str">
        <f>IF($B29="","",SUMPRODUCT(COUNTIFS(pbp_PlayType,EM_Type,pbp_Pitcher,$B29)*EM_H))</f>
        <v/>
      </c>
      <c r="I29" s="42" t="str">
        <f>IF($B29="","",SUMPRODUCT(COUNTIFS(pbp_PlayType,EM_Type,pbp_Pitcher,$B29)*EM_HR))</f>
        <v/>
      </c>
      <c r="J29" s="42" t="str">
        <f>IF($B29="","",SUMPRODUCT(COUNTIFS(pbp_PlayType,EM_Type,pbp_Pitcher,$B29)*EM_BB))</f>
        <v/>
      </c>
      <c r="K29" s="42" t="str">
        <f>IF($B29="","",SUMPRODUCT(COUNTIFS(pbp_PlayType,EM_Type,pbp_Pitcher,$B29)*EM_HBP))</f>
        <v/>
      </c>
      <c r="L29" s="42" t="str">
        <f>IF($B29="","",COUNTIFS(pbp_PlayType,"?*",pbp_Desc,"*struck out*",pbp_Pitcher,$B29))</f>
        <v/>
      </c>
      <c r="M29" s="42" t="str">
        <f>IF($B29="","",SUMIFS(pbp_Runs,pbp_Pitcher,$B29))</f>
        <v/>
      </c>
      <c r="N29" s="42" t="str">
        <f>IF($B29="","",SUMPRODUCT(COUNTIFS(pbp_PlayType,EM_Type,pbp_Pitcher,$B29)*EM_AB))</f>
        <v/>
      </c>
      <c r="O29" s="42" t="str">
        <f>IF($B29="","",SUMPRODUCT(COUNTIFS(pbp_PlayType,EM_Type,pbp_Pitcher,$B29)*EM_SF))</f>
        <v/>
      </c>
      <c r="P29" s="42" t="str">
        <f>IF($B29="","",SUMIFS(pbp_Pitches,pbp_Pitcher,$B29,pbp_PlayType,"?*"))</f>
        <v/>
      </c>
      <c r="Q29" s="60" t="str">
        <f t="shared" si="1"/>
        <v/>
      </c>
      <c r="R29" s="59" t="str">
        <f>IF($B29="","",IF(E29=0,"",1-SUMPRODUCT((pbp_Pitcher=$B29)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9" s="59" t="str">
        <f>IF($B29="","",IF((SUMPRODUCT((pbp_Pitcher=$B29)*(LEN(pbp_PlayType)&gt;0)))=0,"",(SUMPRODUCT((pbp_Pitcher=$B29)*(LEN(pbp_PlayType)&gt;0)*ISNUMBER(MATCH(LEFT(TRIM(pbp_Seq)&amp;"/",FIND("/",TRIM(pbp_Seq)&amp;"/")-1),{"S","F","FT","FB","IN","MB","POS"},0))))/(SUMPRODUCT((pbp_Pitcher=$B29)*(LEN(pbp_PlayType)&gt;0)))))</f>
        <v/>
      </c>
      <c r="T29" s="59" t="str">
        <f t="shared" si="2"/>
        <v/>
      </c>
      <c r="U29" s="59" t="str">
        <f t="shared" si="3"/>
        <v/>
      </c>
      <c r="V29" s="59" t="str">
        <f t="shared" si="4"/>
        <v/>
      </c>
      <c r="W29" s="60" t="str">
        <f t="shared" si="5"/>
        <v/>
      </c>
      <c r="X29" s="60" t="str">
        <f t="shared" si="6"/>
        <v/>
      </c>
      <c r="Y29" s="58" t="str">
        <f t="shared" si="7"/>
        <v/>
      </c>
      <c r="Z29" s="58" t="str">
        <f t="shared" si="8"/>
        <v/>
      </c>
      <c r="AA29" s="62" t="str">
        <f>IF($B29="","",IF(OR(E29&lt;MinBF,X29=""),"",COUNTIFS($E$6:$E$255,"&gt;="&amp;MinBF,$X$6:$X$255,"&lt;"&amp;X29)+COUNTIFS($E$5:E28,"&gt;="&amp;MinBF,$X$5:X28,X29)+1))</f>
        <v/>
      </c>
    </row>
    <row r="30" spans="2:27" x14ac:dyDescent="0.2">
      <c r="B30" s="44" t="str">
        <f t="array" ref="B30">IFERROR(INDEX(pbp_Pitcher,MATCH(0,COUNTIF($B$5:B29,pbp_Pitcher)+(pbp_Pitcher=""),0)),"")</f>
        <v/>
      </c>
      <c r="C30" s="61" t="str">
        <f>IF($B30="","",IFERROR(INDEX(pbp_PitTeam,MATCH($B30,pbp_Pitcher,0)),""))</f>
        <v/>
      </c>
      <c r="D30" s="61" t="str">
        <f>IF($B30="","",IFERROR(INDEX(pbp_PitHand,MATCH($B30,pbp_Pitcher,0)),""))</f>
        <v/>
      </c>
      <c r="E30" s="42" t="str">
        <f>IF($B30="","",SUMPRODUCT(COUNTIFS(pbp_PlayType,EM_Type,pbp_Pitcher,$B30)*EM_PA))</f>
        <v/>
      </c>
      <c r="F30" s="42" t="str">
        <f>IF($B30="","",SUMIFS(pbp_Outs,pbp_Pitcher,$B30))</f>
        <v/>
      </c>
      <c r="G30" s="70" t="str">
        <f t="shared" si="0"/>
        <v/>
      </c>
      <c r="H30" s="42" t="str">
        <f>IF($B30="","",SUMPRODUCT(COUNTIFS(pbp_PlayType,EM_Type,pbp_Pitcher,$B30)*EM_H))</f>
        <v/>
      </c>
      <c r="I30" s="42" t="str">
        <f>IF($B30="","",SUMPRODUCT(COUNTIFS(pbp_PlayType,EM_Type,pbp_Pitcher,$B30)*EM_HR))</f>
        <v/>
      </c>
      <c r="J30" s="42" t="str">
        <f>IF($B30="","",SUMPRODUCT(COUNTIFS(pbp_PlayType,EM_Type,pbp_Pitcher,$B30)*EM_BB))</f>
        <v/>
      </c>
      <c r="K30" s="42" t="str">
        <f>IF($B30="","",SUMPRODUCT(COUNTIFS(pbp_PlayType,EM_Type,pbp_Pitcher,$B30)*EM_HBP))</f>
        <v/>
      </c>
      <c r="L30" s="42" t="str">
        <f>IF($B30="","",COUNTIFS(pbp_PlayType,"?*",pbp_Desc,"*struck out*",pbp_Pitcher,$B30))</f>
        <v/>
      </c>
      <c r="M30" s="42" t="str">
        <f>IF($B30="","",SUMIFS(pbp_Runs,pbp_Pitcher,$B30))</f>
        <v/>
      </c>
      <c r="N30" s="42" t="str">
        <f>IF($B30="","",SUMPRODUCT(COUNTIFS(pbp_PlayType,EM_Type,pbp_Pitcher,$B30)*EM_AB))</f>
        <v/>
      </c>
      <c r="O30" s="42" t="str">
        <f>IF($B30="","",SUMPRODUCT(COUNTIFS(pbp_PlayType,EM_Type,pbp_Pitcher,$B30)*EM_SF))</f>
        <v/>
      </c>
      <c r="P30" s="42" t="str">
        <f>IF($B30="","",SUMIFS(pbp_Pitches,pbp_Pitcher,$B30,pbp_PlayType,"?*"))</f>
        <v/>
      </c>
      <c r="Q30" s="60" t="str">
        <f t="shared" si="1"/>
        <v/>
      </c>
      <c r="R30" s="59" t="str">
        <f>IF($B30="","",IF(E30=0,"",1-SUMPRODUCT((pbp_Pitcher=$B30)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30)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30" s="59" t="str">
        <f>IF($B30="","",IF((SUMPRODUCT((pbp_Pitcher=$B30)*(LEN(pbp_PlayType)&gt;0)))=0,"",(SUMPRODUCT((pbp_Pitcher=$B30)*(LEN(pbp_PlayType)&gt;0)*ISNUMBER(MATCH(LEFT(TRIM(pbp_Seq)&amp;"/",FIND("/",TRIM(pbp_Seq)&amp;"/")-1),{"S","F","FT","FB","IN","MB","POS"},0))))/(SUMPRODUCT((pbp_Pitcher=$B30)*(LEN(pbp_PlayType)&gt;0)))))</f>
        <v/>
      </c>
      <c r="T30" s="59" t="str">
        <f t="shared" si="2"/>
        <v/>
      </c>
      <c r="U30" s="59" t="str">
        <f t="shared" si="3"/>
        <v/>
      </c>
      <c r="V30" s="59" t="str">
        <f t="shared" si="4"/>
        <v/>
      </c>
      <c r="W30" s="60" t="str">
        <f t="shared" si="5"/>
        <v/>
      </c>
      <c r="X30" s="60" t="str">
        <f t="shared" si="6"/>
        <v/>
      </c>
      <c r="Y30" s="58" t="str">
        <f t="shared" si="7"/>
        <v/>
      </c>
      <c r="Z30" s="58" t="str">
        <f t="shared" si="8"/>
        <v/>
      </c>
      <c r="AA30" s="62" t="str">
        <f>IF($B30="","",IF(OR(E30&lt;MinBF,X30=""),"",COUNTIFS($E$6:$E$255,"&gt;="&amp;MinBF,$X$6:$X$255,"&lt;"&amp;X30)+COUNTIFS($E$5:E29,"&gt;="&amp;MinBF,$X$5:X29,X30)+1))</f>
        <v/>
      </c>
    </row>
    <row r="31" spans="2:27" x14ac:dyDescent="0.2">
      <c r="B31" s="44" t="str">
        <f t="array" ref="B31">IFERROR(INDEX(pbp_Pitcher,MATCH(0,COUNTIF($B$5:B30,pbp_Pitcher)+(pbp_Pitcher=""),0)),"")</f>
        <v/>
      </c>
      <c r="C31" s="61" t="str">
        <f>IF($B31="","",IFERROR(INDEX(pbp_PitTeam,MATCH($B31,pbp_Pitcher,0)),""))</f>
        <v/>
      </c>
      <c r="D31" s="61" t="str">
        <f>IF($B31="","",IFERROR(INDEX(pbp_PitHand,MATCH($B31,pbp_Pitcher,0)),""))</f>
        <v/>
      </c>
      <c r="E31" s="42" t="str">
        <f>IF($B31="","",SUMPRODUCT(COUNTIFS(pbp_PlayType,EM_Type,pbp_Pitcher,$B31)*EM_PA))</f>
        <v/>
      </c>
      <c r="F31" s="42" t="str">
        <f>IF($B31="","",SUMIFS(pbp_Outs,pbp_Pitcher,$B31))</f>
        <v/>
      </c>
      <c r="G31" s="70" t="str">
        <f t="shared" si="0"/>
        <v/>
      </c>
      <c r="H31" s="42" t="str">
        <f>IF($B31="","",SUMPRODUCT(COUNTIFS(pbp_PlayType,EM_Type,pbp_Pitcher,$B31)*EM_H))</f>
        <v/>
      </c>
      <c r="I31" s="42" t="str">
        <f>IF($B31="","",SUMPRODUCT(COUNTIFS(pbp_PlayType,EM_Type,pbp_Pitcher,$B31)*EM_HR))</f>
        <v/>
      </c>
      <c r="J31" s="42" t="str">
        <f>IF($B31="","",SUMPRODUCT(COUNTIFS(pbp_PlayType,EM_Type,pbp_Pitcher,$B31)*EM_BB))</f>
        <v/>
      </c>
      <c r="K31" s="42" t="str">
        <f>IF($B31="","",SUMPRODUCT(COUNTIFS(pbp_PlayType,EM_Type,pbp_Pitcher,$B31)*EM_HBP))</f>
        <v/>
      </c>
      <c r="L31" s="42" t="str">
        <f>IF($B31="","",COUNTIFS(pbp_PlayType,"?*",pbp_Desc,"*struck out*",pbp_Pitcher,$B31))</f>
        <v/>
      </c>
      <c r="M31" s="42" t="str">
        <f>IF($B31="","",SUMIFS(pbp_Runs,pbp_Pitcher,$B31))</f>
        <v/>
      </c>
      <c r="N31" s="42" t="str">
        <f>IF($B31="","",SUMPRODUCT(COUNTIFS(pbp_PlayType,EM_Type,pbp_Pitcher,$B31)*EM_AB))</f>
        <v/>
      </c>
      <c r="O31" s="42" t="str">
        <f>IF($B31="","",SUMPRODUCT(COUNTIFS(pbp_PlayType,EM_Type,pbp_Pitcher,$B31)*EM_SF))</f>
        <v/>
      </c>
      <c r="P31" s="42" t="str">
        <f>IF($B31="","",SUMIFS(pbp_Pitches,pbp_Pitcher,$B31,pbp_PlayType,"?*"))</f>
        <v/>
      </c>
      <c r="Q31" s="60" t="str">
        <f t="shared" si="1"/>
        <v/>
      </c>
      <c r="R31" s="59" t="str">
        <f>IF($B31="","",IF(E31=0,"",1-SUMPRODUCT((pbp_Pitcher=$B31)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31)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31" s="59" t="str">
        <f>IF($B31="","",IF((SUMPRODUCT((pbp_Pitcher=$B31)*(LEN(pbp_PlayType)&gt;0)))=0,"",(SUMPRODUCT((pbp_Pitcher=$B31)*(LEN(pbp_PlayType)&gt;0)*ISNUMBER(MATCH(LEFT(TRIM(pbp_Seq)&amp;"/",FIND("/",TRIM(pbp_Seq)&amp;"/")-1),{"S","F","FT","FB","IN","MB","POS"},0))))/(SUMPRODUCT((pbp_Pitcher=$B31)*(LEN(pbp_PlayType)&gt;0)))))</f>
        <v/>
      </c>
      <c r="T31" s="59" t="str">
        <f t="shared" si="2"/>
        <v/>
      </c>
      <c r="U31" s="59" t="str">
        <f t="shared" si="3"/>
        <v/>
      </c>
      <c r="V31" s="59" t="str">
        <f t="shared" si="4"/>
        <v/>
      </c>
      <c r="W31" s="60" t="str">
        <f t="shared" si="5"/>
        <v/>
      </c>
      <c r="X31" s="60" t="str">
        <f t="shared" si="6"/>
        <v/>
      </c>
      <c r="Y31" s="58" t="str">
        <f t="shared" si="7"/>
        <v/>
      </c>
      <c r="Z31" s="58" t="str">
        <f t="shared" si="8"/>
        <v/>
      </c>
      <c r="AA31" s="62" t="str">
        <f>IF($B31="","",IF(OR(E31&lt;MinBF,X31=""),"",COUNTIFS($E$6:$E$255,"&gt;="&amp;MinBF,$X$6:$X$255,"&lt;"&amp;X31)+COUNTIFS($E$5:E30,"&gt;="&amp;MinBF,$X$5:X30,X31)+1))</f>
        <v/>
      </c>
    </row>
    <row r="32" spans="2:27" x14ac:dyDescent="0.2">
      <c r="B32" s="44" t="str">
        <f t="array" ref="B32">IFERROR(INDEX(pbp_Pitcher,MATCH(0,COUNTIF($B$5:B31,pbp_Pitcher)+(pbp_Pitcher=""),0)),"")</f>
        <v/>
      </c>
      <c r="C32" s="61" t="str">
        <f>IF($B32="","",IFERROR(INDEX(pbp_PitTeam,MATCH($B32,pbp_Pitcher,0)),""))</f>
        <v/>
      </c>
      <c r="D32" s="61" t="str">
        <f>IF($B32="","",IFERROR(INDEX(pbp_PitHand,MATCH($B32,pbp_Pitcher,0)),""))</f>
        <v/>
      </c>
      <c r="E32" s="42" t="str">
        <f>IF($B32="","",SUMPRODUCT(COUNTIFS(pbp_PlayType,EM_Type,pbp_Pitcher,$B32)*EM_PA))</f>
        <v/>
      </c>
      <c r="F32" s="42" t="str">
        <f>IF($B32="","",SUMIFS(pbp_Outs,pbp_Pitcher,$B32))</f>
        <v/>
      </c>
      <c r="G32" s="70" t="str">
        <f t="shared" si="0"/>
        <v/>
      </c>
      <c r="H32" s="42" t="str">
        <f>IF($B32="","",SUMPRODUCT(COUNTIFS(pbp_PlayType,EM_Type,pbp_Pitcher,$B32)*EM_H))</f>
        <v/>
      </c>
      <c r="I32" s="42" t="str">
        <f>IF($B32="","",SUMPRODUCT(COUNTIFS(pbp_PlayType,EM_Type,pbp_Pitcher,$B32)*EM_HR))</f>
        <v/>
      </c>
      <c r="J32" s="42" t="str">
        <f>IF($B32="","",SUMPRODUCT(COUNTIFS(pbp_PlayType,EM_Type,pbp_Pitcher,$B32)*EM_BB))</f>
        <v/>
      </c>
      <c r="K32" s="42" t="str">
        <f>IF($B32="","",SUMPRODUCT(COUNTIFS(pbp_PlayType,EM_Type,pbp_Pitcher,$B32)*EM_HBP))</f>
        <v/>
      </c>
      <c r="L32" s="42" t="str">
        <f>IF($B32="","",COUNTIFS(pbp_PlayType,"?*",pbp_Desc,"*struck out*",pbp_Pitcher,$B32))</f>
        <v/>
      </c>
      <c r="M32" s="42" t="str">
        <f>IF($B32="","",SUMIFS(pbp_Runs,pbp_Pitcher,$B32))</f>
        <v/>
      </c>
      <c r="N32" s="42" t="str">
        <f>IF($B32="","",SUMPRODUCT(COUNTIFS(pbp_PlayType,EM_Type,pbp_Pitcher,$B32)*EM_AB))</f>
        <v/>
      </c>
      <c r="O32" s="42" t="str">
        <f>IF($B32="","",SUMPRODUCT(COUNTIFS(pbp_PlayType,EM_Type,pbp_Pitcher,$B32)*EM_SF))</f>
        <v/>
      </c>
      <c r="P32" s="42" t="str">
        <f>IF($B32="","",SUMIFS(pbp_Pitches,pbp_Pitcher,$B32,pbp_PlayType,"?*"))</f>
        <v/>
      </c>
      <c r="Q32" s="60" t="str">
        <f t="shared" si="1"/>
        <v/>
      </c>
      <c r="R32" s="59" t="str">
        <f>IF($B32="","",IF(E32=0,"",1-SUMPRODUCT((pbp_Pitcher=$B32)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32)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32" s="59" t="str">
        <f>IF($B32="","",IF((SUMPRODUCT((pbp_Pitcher=$B32)*(LEN(pbp_PlayType)&gt;0)))=0,"",(SUMPRODUCT((pbp_Pitcher=$B32)*(LEN(pbp_PlayType)&gt;0)*ISNUMBER(MATCH(LEFT(TRIM(pbp_Seq)&amp;"/",FIND("/",TRIM(pbp_Seq)&amp;"/")-1),{"S","F","FT","FB","IN","MB","POS"},0))))/(SUMPRODUCT((pbp_Pitcher=$B32)*(LEN(pbp_PlayType)&gt;0)))))</f>
        <v/>
      </c>
      <c r="T32" s="59" t="str">
        <f t="shared" si="2"/>
        <v/>
      </c>
      <c r="U32" s="59" t="str">
        <f t="shared" si="3"/>
        <v/>
      </c>
      <c r="V32" s="59" t="str">
        <f t="shared" si="4"/>
        <v/>
      </c>
      <c r="W32" s="60" t="str">
        <f t="shared" si="5"/>
        <v/>
      </c>
      <c r="X32" s="60" t="str">
        <f t="shared" si="6"/>
        <v/>
      </c>
      <c r="Y32" s="58" t="str">
        <f t="shared" si="7"/>
        <v/>
      </c>
      <c r="Z32" s="58" t="str">
        <f t="shared" si="8"/>
        <v/>
      </c>
      <c r="AA32" s="62" t="str">
        <f>IF($B32="","",IF(OR(E32&lt;MinBF,X32=""),"",COUNTIFS($E$6:$E$255,"&gt;="&amp;MinBF,$X$6:$X$255,"&lt;"&amp;X32)+COUNTIFS($E$5:E31,"&gt;="&amp;MinBF,$X$5:X31,X32)+1))</f>
        <v/>
      </c>
    </row>
    <row r="33" spans="2:27" x14ac:dyDescent="0.2">
      <c r="B33" s="44" t="str">
        <f t="array" ref="B33">IFERROR(INDEX(pbp_Pitcher,MATCH(0,COUNTIF($B$5:B32,pbp_Pitcher)+(pbp_Pitcher=""),0)),"")</f>
        <v/>
      </c>
      <c r="C33" s="61" t="str">
        <f>IF($B33="","",IFERROR(INDEX(pbp_PitTeam,MATCH($B33,pbp_Pitcher,0)),""))</f>
        <v/>
      </c>
      <c r="D33" s="61" t="str">
        <f>IF($B33="","",IFERROR(INDEX(pbp_PitHand,MATCH($B33,pbp_Pitcher,0)),""))</f>
        <v/>
      </c>
      <c r="E33" s="42" t="str">
        <f>IF($B33="","",SUMPRODUCT(COUNTIFS(pbp_PlayType,EM_Type,pbp_Pitcher,$B33)*EM_PA))</f>
        <v/>
      </c>
      <c r="F33" s="42" t="str">
        <f>IF($B33="","",SUMIFS(pbp_Outs,pbp_Pitcher,$B33))</f>
        <v/>
      </c>
      <c r="G33" s="70" t="str">
        <f t="shared" si="0"/>
        <v/>
      </c>
      <c r="H33" s="42" t="str">
        <f>IF($B33="","",SUMPRODUCT(COUNTIFS(pbp_PlayType,EM_Type,pbp_Pitcher,$B33)*EM_H))</f>
        <v/>
      </c>
      <c r="I33" s="42" t="str">
        <f>IF($B33="","",SUMPRODUCT(COUNTIFS(pbp_PlayType,EM_Type,pbp_Pitcher,$B33)*EM_HR))</f>
        <v/>
      </c>
      <c r="J33" s="42" t="str">
        <f>IF($B33="","",SUMPRODUCT(COUNTIFS(pbp_PlayType,EM_Type,pbp_Pitcher,$B33)*EM_BB))</f>
        <v/>
      </c>
      <c r="K33" s="42" t="str">
        <f>IF($B33="","",SUMPRODUCT(COUNTIFS(pbp_PlayType,EM_Type,pbp_Pitcher,$B33)*EM_HBP))</f>
        <v/>
      </c>
      <c r="L33" s="42" t="str">
        <f>IF($B33="","",COUNTIFS(pbp_PlayType,"?*",pbp_Desc,"*struck out*",pbp_Pitcher,$B33))</f>
        <v/>
      </c>
      <c r="M33" s="42" t="str">
        <f>IF($B33="","",SUMIFS(pbp_Runs,pbp_Pitcher,$B33))</f>
        <v/>
      </c>
      <c r="N33" s="42" t="str">
        <f>IF($B33="","",SUMPRODUCT(COUNTIFS(pbp_PlayType,EM_Type,pbp_Pitcher,$B33)*EM_AB))</f>
        <v/>
      </c>
      <c r="O33" s="42" t="str">
        <f>IF($B33="","",SUMPRODUCT(COUNTIFS(pbp_PlayType,EM_Type,pbp_Pitcher,$B33)*EM_SF))</f>
        <v/>
      </c>
      <c r="P33" s="42" t="str">
        <f>IF($B33="","",SUMIFS(pbp_Pitches,pbp_Pitcher,$B33,pbp_PlayType,"?*"))</f>
        <v/>
      </c>
      <c r="Q33" s="60" t="str">
        <f t="shared" si="1"/>
        <v/>
      </c>
      <c r="R33" s="59" t="str">
        <f>IF($B33="","",IF(E33=0,"",1-SUMPRODUCT((pbp_Pitcher=$B33)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33)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33" s="59" t="str">
        <f>IF($B33="","",IF((SUMPRODUCT((pbp_Pitcher=$B33)*(LEN(pbp_PlayType)&gt;0)))=0,"",(SUMPRODUCT((pbp_Pitcher=$B33)*(LEN(pbp_PlayType)&gt;0)*ISNUMBER(MATCH(LEFT(TRIM(pbp_Seq)&amp;"/",FIND("/",TRIM(pbp_Seq)&amp;"/")-1),{"S","F","FT","FB","IN","MB","POS"},0))))/(SUMPRODUCT((pbp_Pitcher=$B33)*(LEN(pbp_PlayType)&gt;0)))))</f>
        <v/>
      </c>
      <c r="T33" s="59" t="str">
        <f t="shared" si="2"/>
        <v/>
      </c>
      <c r="U33" s="59" t="str">
        <f t="shared" si="3"/>
        <v/>
      </c>
      <c r="V33" s="59" t="str">
        <f t="shared" si="4"/>
        <v/>
      </c>
      <c r="W33" s="60" t="str">
        <f t="shared" si="5"/>
        <v/>
      </c>
      <c r="X33" s="60" t="str">
        <f t="shared" si="6"/>
        <v/>
      </c>
      <c r="Y33" s="58" t="str">
        <f t="shared" si="7"/>
        <v/>
      </c>
      <c r="Z33" s="58" t="str">
        <f t="shared" si="8"/>
        <v/>
      </c>
      <c r="AA33" s="62" t="str">
        <f>IF($B33="","",IF(OR(E33&lt;MinBF,X33=""),"",COUNTIFS($E$6:$E$255,"&gt;="&amp;MinBF,$X$6:$X$255,"&lt;"&amp;X33)+COUNTIFS($E$5:E32,"&gt;="&amp;MinBF,$X$5:X32,X33)+1))</f>
        <v/>
      </c>
    </row>
    <row r="34" spans="2:27" x14ac:dyDescent="0.2">
      <c r="B34" s="44" t="str">
        <f t="array" ref="B34">IFERROR(INDEX(pbp_Pitcher,MATCH(0,COUNTIF($B$5:B33,pbp_Pitcher)+(pbp_Pitcher=""),0)),"")</f>
        <v/>
      </c>
      <c r="C34" s="61" t="str">
        <f>IF($B34="","",IFERROR(INDEX(pbp_PitTeam,MATCH($B34,pbp_Pitcher,0)),""))</f>
        <v/>
      </c>
      <c r="D34" s="61" t="str">
        <f>IF($B34="","",IFERROR(INDEX(pbp_PitHand,MATCH($B34,pbp_Pitcher,0)),""))</f>
        <v/>
      </c>
      <c r="E34" s="42" t="str">
        <f>IF($B34="","",SUMPRODUCT(COUNTIFS(pbp_PlayType,EM_Type,pbp_Pitcher,$B34)*EM_PA))</f>
        <v/>
      </c>
      <c r="F34" s="42" t="str">
        <f>IF($B34="","",SUMIFS(pbp_Outs,pbp_Pitcher,$B34))</f>
        <v/>
      </c>
      <c r="G34" s="70" t="str">
        <f t="shared" si="0"/>
        <v/>
      </c>
      <c r="H34" s="42" t="str">
        <f>IF($B34="","",SUMPRODUCT(COUNTIFS(pbp_PlayType,EM_Type,pbp_Pitcher,$B34)*EM_H))</f>
        <v/>
      </c>
      <c r="I34" s="42" t="str">
        <f>IF($B34="","",SUMPRODUCT(COUNTIFS(pbp_PlayType,EM_Type,pbp_Pitcher,$B34)*EM_HR))</f>
        <v/>
      </c>
      <c r="J34" s="42" t="str">
        <f>IF($B34="","",SUMPRODUCT(COUNTIFS(pbp_PlayType,EM_Type,pbp_Pitcher,$B34)*EM_BB))</f>
        <v/>
      </c>
      <c r="K34" s="42" t="str">
        <f>IF($B34="","",SUMPRODUCT(COUNTIFS(pbp_PlayType,EM_Type,pbp_Pitcher,$B34)*EM_HBP))</f>
        <v/>
      </c>
      <c r="L34" s="42" t="str">
        <f>IF($B34="","",COUNTIFS(pbp_PlayType,"?*",pbp_Desc,"*struck out*",pbp_Pitcher,$B34))</f>
        <v/>
      </c>
      <c r="M34" s="42" t="str">
        <f>IF($B34="","",SUMIFS(pbp_Runs,pbp_Pitcher,$B34))</f>
        <v/>
      </c>
      <c r="N34" s="42" t="str">
        <f>IF($B34="","",SUMPRODUCT(COUNTIFS(pbp_PlayType,EM_Type,pbp_Pitcher,$B34)*EM_AB))</f>
        <v/>
      </c>
      <c r="O34" s="42" t="str">
        <f>IF($B34="","",SUMPRODUCT(COUNTIFS(pbp_PlayType,EM_Type,pbp_Pitcher,$B34)*EM_SF))</f>
        <v/>
      </c>
      <c r="P34" s="42" t="str">
        <f>IF($B34="","",SUMIFS(pbp_Pitches,pbp_Pitcher,$B34,pbp_PlayType,"?*"))</f>
        <v/>
      </c>
      <c r="Q34" s="60" t="str">
        <f t="shared" si="1"/>
        <v/>
      </c>
      <c r="R34" s="59" t="str">
        <f>IF($B34="","",IF(E34=0,"",1-SUMPRODUCT((pbp_Pitcher=$B34)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34)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34" s="59" t="str">
        <f>IF($B34="","",IF((SUMPRODUCT((pbp_Pitcher=$B34)*(LEN(pbp_PlayType)&gt;0)))=0,"",(SUMPRODUCT((pbp_Pitcher=$B34)*(LEN(pbp_PlayType)&gt;0)*ISNUMBER(MATCH(LEFT(TRIM(pbp_Seq)&amp;"/",FIND("/",TRIM(pbp_Seq)&amp;"/")-1),{"S","F","FT","FB","IN","MB","POS"},0))))/(SUMPRODUCT((pbp_Pitcher=$B34)*(LEN(pbp_PlayType)&gt;0)))))</f>
        <v/>
      </c>
      <c r="T34" s="59" t="str">
        <f t="shared" si="2"/>
        <v/>
      </c>
      <c r="U34" s="59" t="str">
        <f t="shared" si="3"/>
        <v/>
      </c>
      <c r="V34" s="59" t="str">
        <f t="shared" si="4"/>
        <v/>
      </c>
      <c r="W34" s="60" t="str">
        <f t="shared" si="5"/>
        <v/>
      </c>
      <c r="X34" s="60" t="str">
        <f t="shared" si="6"/>
        <v/>
      </c>
      <c r="Y34" s="58" t="str">
        <f t="shared" si="7"/>
        <v/>
      </c>
      <c r="Z34" s="58" t="str">
        <f t="shared" si="8"/>
        <v/>
      </c>
      <c r="AA34" s="62" t="str">
        <f>IF($B34="","",IF(OR(E34&lt;MinBF,X34=""),"",COUNTIFS($E$6:$E$255,"&gt;="&amp;MinBF,$X$6:$X$255,"&lt;"&amp;X34)+COUNTIFS($E$5:E33,"&gt;="&amp;MinBF,$X$5:X33,X34)+1))</f>
        <v/>
      </c>
    </row>
    <row r="35" spans="2:27" x14ac:dyDescent="0.2">
      <c r="B35" s="44" t="str">
        <f t="array" ref="B35">IFERROR(INDEX(pbp_Pitcher,MATCH(0,COUNTIF($B$5:B34,pbp_Pitcher)+(pbp_Pitcher=""),0)),"")</f>
        <v/>
      </c>
      <c r="C35" s="61" t="str">
        <f>IF($B35="","",IFERROR(INDEX(pbp_PitTeam,MATCH($B35,pbp_Pitcher,0)),""))</f>
        <v/>
      </c>
      <c r="D35" s="61" t="str">
        <f>IF($B35="","",IFERROR(INDEX(pbp_PitHand,MATCH($B35,pbp_Pitcher,0)),""))</f>
        <v/>
      </c>
      <c r="E35" s="42" t="str">
        <f>IF($B35="","",SUMPRODUCT(COUNTIFS(pbp_PlayType,EM_Type,pbp_Pitcher,$B35)*EM_PA))</f>
        <v/>
      </c>
      <c r="F35" s="42" t="str">
        <f>IF($B35="","",SUMIFS(pbp_Outs,pbp_Pitcher,$B35))</f>
        <v/>
      </c>
      <c r="G35" s="70" t="str">
        <f t="shared" si="0"/>
        <v/>
      </c>
      <c r="H35" s="42" t="str">
        <f>IF($B35="","",SUMPRODUCT(COUNTIFS(pbp_PlayType,EM_Type,pbp_Pitcher,$B35)*EM_H))</f>
        <v/>
      </c>
      <c r="I35" s="42" t="str">
        <f>IF($B35="","",SUMPRODUCT(COUNTIFS(pbp_PlayType,EM_Type,pbp_Pitcher,$B35)*EM_HR))</f>
        <v/>
      </c>
      <c r="J35" s="42" t="str">
        <f>IF($B35="","",SUMPRODUCT(COUNTIFS(pbp_PlayType,EM_Type,pbp_Pitcher,$B35)*EM_BB))</f>
        <v/>
      </c>
      <c r="K35" s="42" t="str">
        <f>IF($B35="","",SUMPRODUCT(COUNTIFS(pbp_PlayType,EM_Type,pbp_Pitcher,$B35)*EM_HBP))</f>
        <v/>
      </c>
      <c r="L35" s="42" t="str">
        <f>IF($B35="","",COUNTIFS(pbp_PlayType,"?*",pbp_Desc,"*struck out*",pbp_Pitcher,$B35))</f>
        <v/>
      </c>
      <c r="M35" s="42" t="str">
        <f>IF($B35="","",SUMIFS(pbp_Runs,pbp_Pitcher,$B35))</f>
        <v/>
      </c>
      <c r="N35" s="42" t="str">
        <f>IF($B35="","",SUMPRODUCT(COUNTIFS(pbp_PlayType,EM_Type,pbp_Pitcher,$B35)*EM_AB))</f>
        <v/>
      </c>
      <c r="O35" s="42" t="str">
        <f>IF($B35="","",SUMPRODUCT(COUNTIFS(pbp_PlayType,EM_Type,pbp_Pitcher,$B35)*EM_SF))</f>
        <v/>
      </c>
      <c r="P35" s="42" t="str">
        <f>IF($B35="","",SUMIFS(pbp_Pitches,pbp_Pitcher,$B35,pbp_PlayType,"?*"))</f>
        <v/>
      </c>
      <c r="Q35" s="60" t="str">
        <f t="shared" si="1"/>
        <v/>
      </c>
      <c r="R35" s="59" t="str">
        <f>IF($B35="","",IF(E35=0,"",1-SUMPRODUCT((pbp_Pitcher=$B35)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35)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35" s="59" t="str">
        <f>IF($B35="","",IF((SUMPRODUCT((pbp_Pitcher=$B35)*(LEN(pbp_PlayType)&gt;0)))=0,"",(SUMPRODUCT((pbp_Pitcher=$B35)*(LEN(pbp_PlayType)&gt;0)*ISNUMBER(MATCH(LEFT(TRIM(pbp_Seq)&amp;"/",FIND("/",TRIM(pbp_Seq)&amp;"/")-1),{"S","F","FT","FB","IN","MB","POS"},0))))/(SUMPRODUCT((pbp_Pitcher=$B35)*(LEN(pbp_PlayType)&gt;0)))))</f>
        <v/>
      </c>
      <c r="T35" s="59" t="str">
        <f t="shared" si="2"/>
        <v/>
      </c>
      <c r="U35" s="59" t="str">
        <f t="shared" si="3"/>
        <v/>
      </c>
      <c r="V35" s="59" t="str">
        <f t="shared" si="4"/>
        <v/>
      </c>
      <c r="W35" s="60" t="str">
        <f t="shared" si="5"/>
        <v/>
      </c>
      <c r="X35" s="60" t="str">
        <f t="shared" si="6"/>
        <v/>
      </c>
      <c r="Y35" s="58" t="str">
        <f t="shared" si="7"/>
        <v/>
      </c>
      <c r="Z35" s="58" t="str">
        <f t="shared" si="8"/>
        <v/>
      </c>
      <c r="AA35" s="62" t="str">
        <f>IF($B35="","",IF(OR(E35&lt;MinBF,X35=""),"",COUNTIFS($E$6:$E$255,"&gt;="&amp;MinBF,$X$6:$X$255,"&lt;"&amp;X35)+COUNTIFS($E$5:E34,"&gt;="&amp;MinBF,$X$5:X34,X35)+1))</f>
        <v/>
      </c>
    </row>
    <row r="36" spans="2:27" x14ac:dyDescent="0.2">
      <c r="B36" s="44" t="str">
        <f t="array" ref="B36">IFERROR(INDEX(pbp_Pitcher,MATCH(0,COUNTIF($B$5:B35,pbp_Pitcher)+(pbp_Pitcher=""),0)),"")</f>
        <v/>
      </c>
      <c r="C36" s="61" t="str">
        <f>IF($B36="","",IFERROR(INDEX(pbp_PitTeam,MATCH($B36,pbp_Pitcher,0)),""))</f>
        <v/>
      </c>
      <c r="D36" s="61" t="str">
        <f>IF($B36="","",IFERROR(INDEX(pbp_PitHand,MATCH($B36,pbp_Pitcher,0)),""))</f>
        <v/>
      </c>
      <c r="E36" s="42" t="str">
        <f>IF($B36="","",SUMPRODUCT(COUNTIFS(pbp_PlayType,EM_Type,pbp_Pitcher,$B36)*EM_PA))</f>
        <v/>
      </c>
      <c r="F36" s="42" t="str">
        <f>IF($B36="","",SUMIFS(pbp_Outs,pbp_Pitcher,$B36))</f>
        <v/>
      </c>
      <c r="G36" s="70" t="str">
        <f t="shared" si="0"/>
        <v/>
      </c>
      <c r="H36" s="42" t="str">
        <f>IF($B36="","",SUMPRODUCT(COUNTIFS(pbp_PlayType,EM_Type,pbp_Pitcher,$B36)*EM_H))</f>
        <v/>
      </c>
      <c r="I36" s="42" t="str">
        <f>IF($B36="","",SUMPRODUCT(COUNTIFS(pbp_PlayType,EM_Type,pbp_Pitcher,$B36)*EM_HR))</f>
        <v/>
      </c>
      <c r="J36" s="42" t="str">
        <f>IF($B36="","",SUMPRODUCT(COUNTIFS(pbp_PlayType,EM_Type,pbp_Pitcher,$B36)*EM_BB))</f>
        <v/>
      </c>
      <c r="K36" s="42" t="str">
        <f>IF($B36="","",SUMPRODUCT(COUNTIFS(pbp_PlayType,EM_Type,pbp_Pitcher,$B36)*EM_HBP))</f>
        <v/>
      </c>
      <c r="L36" s="42" t="str">
        <f>IF($B36="","",COUNTIFS(pbp_PlayType,"?*",pbp_Desc,"*struck out*",pbp_Pitcher,$B36))</f>
        <v/>
      </c>
      <c r="M36" s="42" t="str">
        <f>IF($B36="","",SUMIFS(pbp_Runs,pbp_Pitcher,$B36))</f>
        <v/>
      </c>
      <c r="N36" s="42" t="str">
        <f>IF($B36="","",SUMPRODUCT(COUNTIFS(pbp_PlayType,EM_Type,pbp_Pitcher,$B36)*EM_AB))</f>
        <v/>
      </c>
      <c r="O36" s="42" t="str">
        <f>IF($B36="","",SUMPRODUCT(COUNTIFS(pbp_PlayType,EM_Type,pbp_Pitcher,$B36)*EM_SF))</f>
        <v/>
      </c>
      <c r="P36" s="42" t="str">
        <f>IF($B36="","",SUMIFS(pbp_Pitches,pbp_Pitcher,$B36,pbp_PlayType,"?*"))</f>
        <v/>
      </c>
      <c r="Q36" s="60" t="str">
        <f t="shared" si="1"/>
        <v/>
      </c>
      <c r="R36" s="59" t="str">
        <f>IF($B36="","",IF(E36=0,"",1-SUMPRODUCT((pbp_Pitcher=$B36)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36)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36" s="59" t="str">
        <f>IF($B36="","",IF((SUMPRODUCT((pbp_Pitcher=$B36)*(LEN(pbp_PlayType)&gt;0)))=0,"",(SUMPRODUCT((pbp_Pitcher=$B36)*(LEN(pbp_PlayType)&gt;0)*ISNUMBER(MATCH(LEFT(TRIM(pbp_Seq)&amp;"/",FIND("/",TRIM(pbp_Seq)&amp;"/")-1),{"S","F","FT","FB","IN","MB","POS"},0))))/(SUMPRODUCT((pbp_Pitcher=$B36)*(LEN(pbp_PlayType)&gt;0)))))</f>
        <v/>
      </c>
      <c r="T36" s="59" t="str">
        <f t="shared" si="2"/>
        <v/>
      </c>
      <c r="U36" s="59" t="str">
        <f t="shared" si="3"/>
        <v/>
      </c>
      <c r="V36" s="59" t="str">
        <f t="shared" si="4"/>
        <v/>
      </c>
      <c r="W36" s="60" t="str">
        <f t="shared" si="5"/>
        <v/>
      </c>
      <c r="X36" s="60" t="str">
        <f t="shared" si="6"/>
        <v/>
      </c>
      <c r="Y36" s="58" t="str">
        <f t="shared" si="7"/>
        <v/>
      </c>
      <c r="Z36" s="58" t="str">
        <f t="shared" si="8"/>
        <v/>
      </c>
      <c r="AA36" s="62" t="str">
        <f>IF($B36="","",IF(OR(E36&lt;MinBF,X36=""),"",COUNTIFS($E$6:$E$255,"&gt;="&amp;MinBF,$X$6:$X$255,"&lt;"&amp;X36)+COUNTIFS($E$5:E35,"&gt;="&amp;MinBF,$X$5:X35,X36)+1))</f>
        <v/>
      </c>
    </row>
    <row r="37" spans="2:27" x14ac:dyDescent="0.2">
      <c r="B37" s="44" t="str">
        <f t="array" ref="B37">IFERROR(INDEX(pbp_Pitcher,MATCH(0,COUNTIF($B$5:B36,pbp_Pitcher)+(pbp_Pitcher=""),0)),"")</f>
        <v/>
      </c>
      <c r="C37" s="61" t="str">
        <f>IF($B37="","",IFERROR(INDEX(pbp_PitTeam,MATCH($B37,pbp_Pitcher,0)),""))</f>
        <v/>
      </c>
      <c r="D37" s="61" t="str">
        <f>IF($B37="","",IFERROR(INDEX(pbp_PitHand,MATCH($B37,pbp_Pitcher,0)),""))</f>
        <v/>
      </c>
      <c r="E37" s="42" t="str">
        <f>IF($B37="","",SUMPRODUCT(COUNTIFS(pbp_PlayType,EM_Type,pbp_Pitcher,$B37)*EM_PA))</f>
        <v/>
      </c>
      <c r="F37" s="42" t="str">
        <f>IF($B37="","",SUMIFS(pbp_Outs,pbp_Pitcher,$B37))</f>
        <v/>
      </c>
      <c r="G37" s="70" t="str">
        <f t="shared" si="0"/>
        <v/>
      </c>
      <c r="H37" s="42" t="str">
        <f>IF($B37="","",SUMPRODUCT(COUNTIFS(pbp_PlayType,EM_Type,pbp_Pitcher,$B37)*EM_H))</f>
        <v/>
      </c>
      <c r="I37" s="42" t="str">
        <f>IF($B37="","",SUMPRODUCT(COUNTIFS(pbp_PlayType,EM_Type,pbp_Pitcher,$B37)*EM_HR))</f>
        <v/>
      </c>
      <c r="J37" s="42" t="str">
        <f>IF($B37="","",SUMPRODUCT(COUNTIFS(pbp_PlayType,EM_Type,pbp_Pitcher,$B37)*EM_BB))</f>
        <v/>
      </c>
      <c r="K37" s="42" t="str">
        <f>IF($B37="","",SUMPRODUCT(COUNTIFS(pbp_PlayType,EM_Type,pbp_Pitcher,$B37)*EM_HBP))</f>
        <v/>
      </c>
      <c r="L37" s="42" t="str">
        <f>IF($B37="","",COUNTIFS(pbp_PlayType,"?*",pbp_Desc,"*struck out*",pbp_Pitcher,$B37))</f>
        <v/>
      </c>
      <c r="M37" s="42" t="str">
        <f>IF($B37="","",SUMIFS(pbp_Runs,pbp_Pitcher,$B37))</f>
        <v/>
      </c>
      <c r="N37" s="42" t="str">
        <f>IF($B37="","",SUMPRODUCT(COUNTIFS(pbp_PlayType,EM_Type,pbp_Pitcher,$B37)*EM_AB))</f>
        <v/>
      </c>
      <c r="O37" s="42" t="str">
        <f>IF($B37="","",SUMPRODUCT(COUNTIFS(pbp_PlayType,EM_Type,pbp_Pitcher,$B37)*EM_SF))</f>
        <v/>
      </c>
      <c r="P37" s="42" t="str">
        <f>IF($B37="","",SUMIFS(pbp_Pitches,pbp_Pitcher,$B37,pbp_PlayType,"?*"))</f>
        <v/>
      </c>
      <c r="Q37" s="60" t="str">
        <f t="shared" si="1"/>
        <v/>
      </c>
      <c r="R37" s="59" t="str">
        <f>IF($B37="","",IF(E37=0,"",1-SUMPRODUCT((pbp_Pitcher=$B37)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37)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37" s="59" t="str">
        <f>IF($B37="","",IF((SUMPRODUCT((pbp_Pitcher=$B37)*(LEN(pbp_PlayType)&gt;0)))=0,"",(SUMPRODUCT((pbp_Pitcher=$B37)*(LEN(pbp_PlayType)&gt;0)*ISNUMBER(MATCH(LEFT(TRIM(pbp_Seq)&amp;"/",FIND("/",TRIM(pbp_Seq)&amp;"/")-1),{"S","F","FT","FB","IN","MB","POS"},0))))/(SUMPRODUCT((pbp_Pitcher=$B37)*(LEN(pbp_PlayType)&gt;0)))))</f>
        <v/>
      </c>
      <c r="T37" s="59" t="str">
        <f t="shared" si="2"/>
        <v/>
      </c>
      <c r="U37" s="59" t="str">
        <f t="shared" si="3"/>
        <v/>
      </c>
      <c r="V37" s="59" t="str">
        <f t="shared" si="4"/>
        <v/>
      </c>
      <c r="W37" s="60" t="str">
        <f t="shared" si="5"/>
        <v/>
      </c>
      <c r="X37" s="60" t="str">
        <f t="shared" si="6"/>
        <v/>
      </c>
      <c r="Y37" s="58" t="str">
        <f t="shared" si="7"/>
        <v/>
      </c>
      <c r="Z37" s="58" t="str">
        <f t="shared" si="8"/>
        <v/>
      </c>
      <c r="AA37" s="62" t="str">
        <f>IF($B37="","",IF(OR(E37&lt;MinBF,X37=""),"",COUNTIFS($E$6:$E$255,"&gt;="&amp;MinBF,$X$6:$X$255,"&lt;"&amp;X37)+COUNTIFS($E$5:E36,"&gt;="&amp;MinBF,$X$5:X36,X37)+1))</f>
        <v/>
      </c>
    </row>
    <row r="38" spans="2:27" x14ac:dyDescent="0.2">
      <c r="B38" s="44" t="str">
        <f t="array" ref="B38">IFERROR(INDEX(pbp_Pitcher,MATCH(0,COUNTIF($B$5:B37,pbp_Pitcher)+(pbp_Pitcher=""),0)),"")</f>
        <v/>
      </c>
      <c r="C38" s="61" t="str">
        <f>IF($B38="","",IFERROR(INDEX(pbp_PitTeam,MATCH($B38,pbp_Pitcher,0)),""))</f>
        <v/>
      </c>
      <c r="D38" s="61" t="str">
        <f>IF($B38="","",IFERROR(INDEX(pbp_PitHand,MATCH($B38,pbp_Pitcher,0)),""))</f>
        <v/>
      </c>
      <c r="E38" s="42" t="str">
        <f>IF($B38="","",SUMPRODUCT(COUNTIFS(pbp_PlayType,EM_Type,pbp_Pitcher,$B38)*EM_PA))</f>
        <v/>
      </c>
      <c r="F38" s="42" t="str">
        <f>IF($B38="","",SUMIFS(pbp_Outs,pbp_Pitcher,$B38))</f>
        <v/>
      </c>
      <c r="G38" s="70" t="str">
        <f t="shared" si="0"/>
        <v/>
      </c>
      <c r="H38" s="42" t="str">
        <f>IF($B38="","",SUMPRODUCT(COUNTIFS(pbp_PlayType,EM_Type,pbp_Pitcher,$B38)*EM_H))</f>
        <v/>
      </c>
      <c r="I38" s="42" t="str">
        <f>IF($B38="","",SUMPRODUCT(COUNTIFS(pbp_PlayType,EM_Type,pbp_Pitcher,$B38)*EM_HR))</f>
        <v/>
      </c>
      <c r="J38" s="42" t="str">
        <f>IF($B38="","",SUMPRODUCT(COUNTIFS(pbp_PlayType,EM_Type,pbp_Pitcher,$B38)*EM_BB))</f>
        <v/>
      </c>
      <c r="K38" s="42" t="str">
        <f>IF($B38="","",SUMPRODUCT(COUNTIFS(pbp_PlayType,EM_Type,pbp_Pitcher,$B38)*EM_HBP))</f>
        <v/>
      </c>
      <c r="L38" s="42" t="str">
        <f>IF($B38="","",COUNTIFS(pbp_PlayType,"?*",pbp_Desc,"*struck out*",pbp_Pitcher,$B38))</f>
        <v/>
      </c>
      <c r="M38" s="42" t="str">
        <f>IF($B38="","",SUMIFS(pbp_Runs,pbp_Pitcher,$B38))</f>
        <v/>
      </c>
      <c r="N38" s="42" t="str">
        <f>IF($B38="","",SUMPRODUCT(COUNTIFS(pbp_PlayType,EM_Type,pbp_Pitcher,$B38)*EM_AB))</f>
        <v/>
      </c>
      <c r="O38" s="42" t="str">
        <f>IF($B38="","",SUMPRODUCT(COUNTIFS(pbp_PlayType,EM_Type,pbp_Pitcher,$B38)*EM_SF))</f>
        <v/>
      </c>
      <c r="P38" s="42" t="str">
        <f>IF($B38="","",SUMIFS(pbp_Pitches,pbp_Pitcher,$B38,pbp_PlayType,"?*"))</f>
        <v/>
      </c>
      <c r="Q38" s="60" t="str">
        <f t="shared" si="1"/>
        <v/>
      </c>
      <c r="R38" s="59" t="str">
        <f>IF($B38="","",IF(E38=0,"",1-SUMPRODUCT((pbp_Pitcher=$B38)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38)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38" s="59" t="str">
        <f>IF($B38="","",IF((SUMPRODUCT((pbp_Pitcher=$B38)*(LEN(pbp_PlayType)&gt;0)))=0,"",(SUMPRODUCT((pbp_Pitcher=$B38)*(LEN(pbp_PlayType)&gt;0)*ISNUMBER(MATCH(LEFT(TRIM(pbp_Seq)&amp;"/",FIND("/",TRIM(pbp_Seq)&amp;"/")-1),{"S","F","FT","FB","IN","MB","POS"},0))))/(SUMPRODUCT((pbp_Pitcher=$B38)*(LEN(pbp_PlayType)&gt;0)))))</f>
        <v/>
      </c>
      <c r="T38" s="59" t="str">
        <f t="shared" si="2"/>
        <v/>
      </c>
      <c r="U38" s="59" t="str">
        <f t="shared" si="3"/>
        <v/>
      </c>
      <c r="V38" s="59" t="str">
        <f t="shared" si="4"/>
        <v/>
      </c>
      <c r="W38" s="60" t="str">
        <f t="shared" si="5"/>
        <v/>
      </c>
      <c r="X38" s="60" t="str">
        <f t="shared" si="6"/>
        <v/>
      </c>
      <c r="Y38" s="58" t="str">
        <f t="shared" si="7"/>
        <v/>
      </c>
      <c r="Z38" s="58" t="str">
        <f t="shared" si="8"/>
        <v/>
      </c>
      <c r="AA38" s="62" t="str">
        <f>IF($B38="","",IF(OR(E38&lt;MinBF,X38=""),"",COUNTIFS($E$6:$E$255,"&gt;="&amp;MinBF,$X$6:$X$255,"&lt;"&amp;X38)+COUNTIFS($E$5:E37,"&gt;="&amp;MinBF,$X$5:X37,X38)+1))</f>
        <v/>
      </c>
    </row>
    <row r="39" spans="2:27" x14ac:dyDescent="0.2">
      <c r="B39" s="44" t="str">
        <f t="array" ref="B39">IFERROR(INDEX(pbp_Pitcher,MATCH(0,COUNTIF($B$5:B38,pbp_Pitcher)+(pbp_Pitcher=""),0)),"")</f>
        <v/>
      </c>
      <c r="C39" s="61" t="str">
        <f>IF($B39="","",IFERROR(INDEX(pbp_PitTeam,MATCH($B39,pbp_Pitcher,0)),""))</f>
        <v/>
      </c>
      <c r="D39" s="61" t="str">
        <f>IF($B39="","",IFERROR(INDEX(pbp_PitHand,MATCH($B39,pbp_Pitcher,0)),""))</f>
        <v/>
      </c>
      <c r="E39" s="42" t="str">
        <f>IF($B39="","",SUMPRODUCT(COUNTIFS(pbp_PlayType,EM_Type,pbp_Pitcher,$B39)*EM_PA))</f>
        <v/>
      </c>
      <c r="F39" s="42" t="str">
        <f>IF($B39="","",SUMIFS(pbp_Outs,pbp_Pitcher,$B39))</f>
        <v/>
      </c>
      <c r="G39" s="70" t="str">
        <f t="shared" si="0"/>
        <v/>
      </c>
      <c r="H39" s="42" t="str">
        <f>IF($B39="","",SUMPRODUCT(COUNTIFS(pbp_PlayType,EM_Type,pbp_Pitcher,$B39)*EM_H))</f>
        <v/>
      </c>
      <c r="I39" s="42" t="str">
        <f>IF($B39="","",SUMPRODUCT(COUNTIFS(pbp_PlayType,EM_Type,pbp_Pitcher,$B39)*EM_HR))</f>
        <v/>
      </c>
      <c r="J39" s="42" t="str">
        <f>IF($B39="","",SUMPRODUCT(COUNTIFS(pbp_PlayType,EM_Type,pbp_Pitcher,$B39)*EM_BB))</f>
        <v/>
      </c>
      <c r="K39" s="42" t="str">
        <f>IF($B39="","",SUMPRODUCT(COUNTIFS(pbp_PlayType,EM_Type,pbp_Pitcher,$B39)*EM_HBP))</f>
        <v/>
      </c>
      <c r="L39" s="42" t="str">
        <f>IF($B39="","",COUNTIFS(pbp_PlayType,"?*",pbp_Desc,"*struck out*",pbp_Pitcher,$B39))</f>
        <v/>
      </c>
      <c r="M39" s="42" t="str">
        <f>IF($B39="","",SUMIFS(pbp_Runs,pbp_Pitcher,$B39))</f>
        <v/>
      </c>
      <c r="N39" s="42" t="str">
        <f>IF($B39="","",SUMPRODUCT(COUNTIFS(pbp_PlayType,EM_Type,pbp_Pitcher,$B39)*EM_AB))</f>
        <v/>
      </c>
      <c r="O39" s="42" t="str">
        <f>IF($B39="","",SUMPRODUCT(COUNTIFS(pbp_PlayType,EM_Type,pbp_Pitcher,$B39)*EM_SF))</f>
        <v/>
      </c>
      <c r="P39" s="42" t="str">
        <f>IF($B39="","",SUMIFS(pbp_Pitches,pbp_Pitcher,$B39,pbp_PlayType,"?*"))</f>
        <v/>
      </c>
      <c r="Q39" s="60" t="str">
        <f t="shared" si="1"/>
        <v/>
      </c>
      <c r="R39" s="59" t="str">
        <f>IF($B39="","",IF(E39=0,"",1-SUMPRODUCT((pbp_Pitcher=$B39)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39)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39" s="59" t="str">
        <f>IF($B39="","",IF((SUMPRODUCT((pbp_Pitcher=$B39)*(LEN(pbp_PlayType)&gt;0)))=0,"",(SUMPRODUCT((pbp_Pitcher=$B39)*(LEN(pbp_PlayType)&gt;0)*ISNUMBER(MATCH(LEFT(TRIM(pbp_Seq)&amp;"/",FIND("/",TRIM(pbp_Seq)&amp;"/")-1),{"S","F","FT","FB","IN","MB","POS"},0))))/(SUMPRODUCT((pbp_Pitcher=$B39)*(LEN(pbp_PlayType)&gt;0)))))</f>
        <v/>
      </c>
      <c r="T39" s="59" t="str">
        <f t="shared" si="2"/>
        <v/>
      </c>
      <c r="U39" s="59" t="str">
        <f t="shared" si="3"/>
        <v/>
      </c>
      <c r="V39" s="59" t="str">
        <f t="shared" si="4"/>
        <v/>
      </c>
      <c r="W39" s="60" t="str">
        <f t="shared" si="5"/>
        <v/>
      </c>
      <c r="X39" s="60" t="str">
        <f t="shared" si="6"/>
        <v/>
      </c>
      <c r="Y39" s="58" t="str">
        <f t="shared" si="7"/>
        <v/>
      </c>
      <c r="Z39" s="58" t="str">
        <f t="shared" si="8"/>
        <v/>
      </c>
      <c r="AA39" s="62" t="str">
        <f>IF($B39="","",IF(OR(E39&lt;MinBF,X39=""),"",COUNTIFS($E$6:$E$255,"&gt;="&amp;MinBF,$X$6:$X$255,"&lt;"&amp;X39)+COUNTIFS($E$5:E38,"&gt;="&amp;MinBF,$X$5:X38,X39)+1))</f>
        <v/>
      </c>
    </row>
    <row r="40" spans="2:27" x14ac:dyDescent="0.2">
      <c r="B40" s="44" t="str">
        <f t="array" ref="B40">IFERROR(INDEX(pbp_Pitcher,MATCH(0,COUNTIF($B$5:B39,pbp_Pitcher)+(pbp_Pitcher=""),0)),"")</f>
        <v/>
      </c>
      <c r="C40" s="61" t="str">
        <f>IF($B40="","",IFERROR(INDEX(pbp_PitTeam,MATCH($B40,pbp_Pitcher,0)),""))</f>
        <v/>
      </c>
      <c r="D40" s="61" t="str">
        <f>IF($B40="","",IFERROR(INDEX(pbp_PitHand,MATCH($B40,pbp_Pitcher,0)),""))</f>
        <v/>
      </c>
      <c r="E40" s="42" t="str">
        <f>IF($B40="","",SUMPRODUCT(COUNTIFS(pbp_PlayType,EM_Type,pbp_Pitcher,$B40)*EM_PA))</f>
        <v/>
      </c>
      <c r="F40" s="42" t="str">
        <f>IF($B40="","",SUMIFS(pbp_Outs,pbp_Pitcher,$B40))</f>
        <v/>
      </c>
      <c r="G40" s="70" t="str">
        <f t="shared" si="0"/>
        <v/>
      </c>
      <c r="H40" s="42" t="str">
        <f>IF($B40="","",SUMPRODUCT(COUNTIFS(pbp_PlayType,EM_Type,pbp_Pitcher,$B40)*EM_H))</f>
        <v/>
      </c>
      <c r="I40" s="42" t="str">
        <f>IF($B40="","",SUMPRODUCT(COUNTIFS(pbp_PlayType,EM_Type,pbp_Pitcher,$B40)*EM_HR))</f>
        <v/>
      </c>
      <c r="J40" s="42" t="str">
        <f>IF($B40="","",SUMPRODUCT(COUNTIFS(pbp_PlayType,EM_Type,pbp_Pitcher,$B40)*EM_BB))</f>
        <v/>
      </c>
      <c r="K40" s="42" t="str">
        <f>IF($B40="","",SUMPRODUCT(COUNTIFS(pbp_PlayType,EM_Type,pbp_Pitcher,$B40)*EM_HBP))</f>
        <v/>
      </c>
      <c r="L40" s="42" t="str">
        <f>IF($B40="","",COUNTIFS(pbp_PlayType,"?*",pbp_Desc,"*struck out*",pbp_Pitcher,$B40))</f>
        <v/>
      </c>
      <c r="M40" s="42" t="str">
        <f>IF($B40="","",SUMIFS(pbp_Runs,pbp_Pitcher,$B40))</f>
        <v/>
      </c>
      <c r="N40" s="42" t="str">
        <f>IF($B40="","",SUMPRODUCT(COUNTIFS(pbp_PlayType,EM_Type,pbp_Pitcher,$B40)*EM_AB))</f>
        <v/>
      </c>
      <c r="O40" s="42" t="str">
        <f>IF($B40="","",SUMPRODUCT(COUNTIFS(pbp_PlayType,EM_Type,pbp_Pitcher,$B40)*EM_SF))</f>
        <v/>
      </c>
      <c r="P40" s="42" t="str">
        <f>IF($B40="","",SUMIFS(pbp_Pitches,pbp_Pitcher,$B40,pbp_PlayType,"?*"))</f>
        <v/>
      </c>
      <c r="Q40" s="60" t="str">
        <f t="shared" si="1"/>
        <v/>
      </c>
      <c r="R40" s="59" t="str">
        <f>IF($B40="","",IF(E40=0,"",1-SUMPRODUCT((pbp_Pitcher=$B40)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40)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40" s="59" t="str">
        <f>IF($B40="","",IF((SUMPRODUCT((pbp_Pitcher=$B40)*(LEN(pbp_PlayType)&gt;0)))=0,"",(SUMPRODUCT((pbp_Pitcher=$B40)*(LEN(pbp_PlayType)&gt;0)*ISNUMBER(MATCH(LEFT(TRIM(pbp_Seq)&amp;"/",FIND("/",TRIM(pbp_Seq)&amp;"/")-1),{"S","F","FT","FB","IN","MB","POS"},0))))/(SUMPRODUCT((pbp_Pitcher=$B40)*(LEN(pbp_PlayType)&gt;0)))))</f>
        <v/>
      </c>
      <c r="T40" s="59" t="str">
        <f t="shared" si="2"/>
        <v/>
      </c>
      <c r="U40" s="59" t="str">
        <f t="shared" si="3"/>
        <v/>
      </c>
      <c r="V40" s="59" t="str">
        <f t="shared" si="4"/>
        <v/>
      </c>
      <c r="W40" s="60" t="str">
        <f t="shared" si="5"/>
        <v/>
      </c>
      <c r="X40" s="60" t="str">
        <f t="shared" si="6"/>
        <v/>
      </c>
      <c r="Y40" s="58" t="str">
        <f t="shared" si="7"/>
        <v/>
      </c>
      <c r="Z40" s="58" t="str">
        <f t="shared" si="8"/>
        <v/>
      </c>
      <c r="AA40" s="62" t="str">
        <f>IF($B40="","",IF(OR(E40&lt;MinBF,X40=""),"",COUNTIFS($E$6:$E$255,"&gt;="&amp;MinBF,$X$6:$X$255,"&lt;"&amp;X40)+COUNTIFS($E$5:E39,"&gt;="&amp;MinBF,$X$5:X39,X40)+1))</f>
        <v/>
      </c>
    </row>
    <row r="41" spans="2:27" x14ac:dyDescent="0.2">
      <c r="B41" s="44" t="str">
        <f t="array" ref="B41">IFERROR(INDEX(pbp_Pitcher,MATCH(0,COUNTIF($B$5:B40,pbp_Pitcher)+(pbp_Pitcher=""),0)),"")</f>
        <v/>
      </c>
      <c r="C41" s="61" t="str">
        <f>IF($B41="","",IFERROR(INDEX(pbp_PitTeam,MATCH($B41,pbp_Pitcher,0)),""))</f>
        <v/>
      </c>
      <c r="D41" s="61" t="str">
        <f>IF($B41="","",IFERROR(INDEX(pbp_PitHand,MATCH($B41,pbp_Pitcher,0)),""))</f>
        <v/>
      </c>
      <c r="E41" s="42" t="str">
        <f>IF($B41="","",SUMPRODUCT(COUNTIFS(pbp_PlayType,EM_Type,pbp_Pitcher,$B41)*EM_PA))</f>
        <v/>
      </c>
      <c r="F41" s="42" t="str">
        <f>IF($B41="","",SUMIFS(pbp_Outs,pbp_Pitcher,$B41))</f>
        <v/>
      </c>
      <c r="G41" s="70" t="str">
        <f t="shared" si="0"/>
        <v/>
      </c>
      <c r="H41" s="42" t="str">
        <f>IF($B41="","",SUMPRODUCT(COUNTIFS(pbp_PlayType,EM_Type,pbp_Pitcher,$B41)*EM_H))</f>
        <v/>
      </c>
      <c r="I41" s="42" t="str">
        <f>IF($B41="","",SUMPRODUCT(COUNTIFS(pbp_PlayType,EM_Type,pbp_Pitcher,$B41)*EM_HR))</f>
        <v/>
      </c>
      <c r="J41" s="42" t="str">
        <f>IF($B41="","",SUMPRODUCT(COUNTIFS(pbp_PlayType,EM_Type,pbp_Pitcher,$B41)*EM_BB))</f>
        <v/>
      </c>
      <c r="K41" s="42" t="str">
        <f>IF($B41="","",SUMPRODUCT(COUNTIFS(pbp_PlayType,EM_Type,pbp_Pitcher,$B41)*EM_HBP))</f>
        <v/>
      </c>
      <c r="L41" s="42" t="str">
        <f>IF($B41="","",COUNTIFS(pbp_PlayType,"?*",pbp_Desc,"*struck out*",pbp_Pitcher,$B41))</f>
        <v/>
      </c>
      <c r="M41" s="42" t="str">
        <f>IF($B41="","",SUMIFS(pbp_Runs,pbp_Pitcher,$B41))</f>
        <v/>
      </c>
      <c r="N41" s="42" t="str">
        <f>IF($B41="","",SUMPRODUCT(COUNTIFS(pbp_PlayType,EM_Type,pbp_Pitcher,$B41)*EM_AB))</f>
        <v/>
      </c>
      <c r="O41" s="42" t="str">
        <f>IF($B41="","",SUMPRODUCT(COUNTIFS(pbp_PlayType,EM_Type,pbp_Pitcher,$B41)*EM_SF))</f>
        <v/>
      </c>
      <c r="P41" s="42" t="str">
        <f>IF($B41="","",SUMIFS(pbp_Pitches,pbp_Pitcher,$B41,pbp_PlayType,"?*"))</f>
        <v/>
      </c>
      <c r="Q41" s="60" t="str">
        <f t="shared" si="1"/>
        <v/>
      </c>
      <c r="R41" s="59" t="str">
        <f>IF($B41="","",IF(E41=0,"",1-SUMPRODUCT((pbp_Pitcher=$B41)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41)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41" s="59" t="str">
        <f>IF($B41="","",IF((SUMPRODUCT((pbp_Pitcher=$B41)*(LEN(pbp_PlayType)&gt;0)))=0,"",(SUMPRODUCT((pbp_Pitcher=$B41)*(LEN(pbp_PlayType)&gt;0)*ISNUMBER(MATCH(LEFT(TRIM(pbp_Seq)&amp;"/",FIND("/",TRIM(pbp_Seq)&amp;"/")-1),{"S","F","FT","FB","IN","MB","POS"},0))))/(SUMPRODUCT((pbp_Pitcher=$B41)*(LEN(pbp_PlayType)&gt;0)))))</f>
        <v/>
      </c>
      <c r="T41" s="59" t="str">
        <f t="shared" si="2"/>
        <v/>
      </c>
      <c r="U41" s="59" t="str">
        <f t="shared" si="3"/>
        <v/>
      </c>
      <c r="V41" s="59" t="str">
        <f t="shared" si="4"/>
        <v/>
      </c>
      <c r="W41" s="60" t="str">
        <f t="shared" si="5"/>
        <v/>
      </c>
      <c r="X41" s="60" t="str">
        <f t="shared" si="6"/>
        <v/>
      </c>
      <c r="Y41" s="58" t="str">
        <f t="shared" si="7"/>
        <v/>
      </c>
      <c r="Z41" s="58" t="str">
        <f t="shared" si="8"/>
        <v/>
      </c>
      <c r="AA41" s="62" t="str">
        <f>IF($B41="","",IF(OR(E41&lt;MinBF,X41=""),"",COUNTIFS($E$6:$E$255,"&gt;="&amp;MinBF,$X$6:$X$255,"&lt;"&amp;X41)+COUNTIFS($E$5:E40,"&gt;="&amp;MinBF,$X$5:X40,X41)+1))</f>
        <v/>
      </c>
    </row>
    <row r="42" spans="2:27" x14ac:dyDescent="0.2">
      <c r="B42" s="44" t="str">
        <f t="array" ref="B42">IFERROR(INDEX(pbp_Pitcher,MATCH(0,COUNTIF($B$5:B41,pbp_Pitcher)+(pbp_Pitcher=""),0)),"")</f>
        <v/>
      </c>
      <c r="C42" s="61" t="str">
        <f>IF($B42="","",IFERROR(INDEX(pbp_PitTeam,MATCH($B42,pbp_Pitcher,0)),""))</f>
        <v/>
      </c>
      <c r="D42" s="61" t="str">
        <f>IF($B42="","",IFERROR(INDEX(pbp_PitHand,MATCH($B42,pbp_Pitcher,0)),""))</f>
        <v/>
      </c>
      <c r="E42" s="42" t="str">
        <f>IF($B42="","",SUMPRODUCT(COUNTIFS(pbp_PlayType,EM_Type,pbp_Pitcher,$B42)*EM_PA))</f>
        <v/>
      </c>
      <c r="F42" s="42" t="str">
        <f>IF($B42="","",SUMIFS(pbp_Outs,pbp_Pitcher,$B42))</f>
        <v/>
      </c>
      <c r="G42" s="70" t="str">
        <f t="shared" si="0"/>
        <v/>
      </c>
      <c r="H42" s="42" t="str">
        <f>IF($B42="","",SUMPRODUCT(COUNTIFS(pbp_PlayType,EM_Type,pbp_Pitcher,$B42)*EM_H))</f>
        <v/>
      </c>
      <c r="I42" s="42" t="str">
        <f>IF($B42="","",SUMPRODUCT(COUNTIFS(pbp_PlayType,EM_Type,pbp_Pitcher,$B42)*EM_HR))</f>
        <v/>
      </c>
      <c r="J42" s="42" t="str">
        <f>IF($B42="","",SUMPRODUCT(COUNTIFS(pbp_PlayType,EM_Type,pbp_Pitcher,$B42)*EM_BB))</f>
        <v/>
      </c>
      <c r="K42" s="42" t="str">
        <f>IF($B42="","",SUMPRODUCT(COUNTIFS(pbp_PlayType,EM_Type,pbp_Pitcher,$B42)*EM_HBP))</f>
        <v/>
      </c>
      <c r="L42" s="42" t="str">
        <f>IF($B42="","",COUNTIFS(pbp_PlayType,"?*",pbp_Desc,"*struck out*",pbp_Pitcher,$B42))</f>
        <v/>
      </c>
      <c r="M42" s="42" t="str">
        <f>IF($B42="","",SUMIFS(pbp_Runs,pbp_Pitcher,$B42))</f>
        <v/>
      </c>
      <c r="N42" s="42" t="str">
        <f>IF($B42="","",SUMPRODUCT(COUNTIFS(pbp_PlayType,EM_Type,pbp_Pitcher,$B42)*EM_AB))</f>
        <v/>
      </c>
      <c r="O42" s="42" t="str">
        <f>IF($B42="","",SUMPRODUCT(COUNTIFS(pbp_PlayType,EM_Type,pbp_Pitcher,$B42)*EM_SF))</f>
        <v/>
      </c>
      <c r="P42" s="42" t="str">
        <f>IF($B42="","",SUMIFS(pbp_Pitches,pbp_Pitcher,$B42,pbp_PlayType,"?*"))</f>
        <v/>
      </c>
      <c r="Q42" s="60" t="str">
        <f t="shared" si="1"/>
        <v/>
      </c>
      <c r="R42" s="59" t="str">
        <f>IF($B42="","",IF(E42=0,"",1-SUMPRODUCT((pbp_Pitcher=$B42)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42)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42" s="59" t="str">
        <f>IF($B42="","",IF((SUMPRODUCT((pbp_Pitcher=$B42)*(LEN(pbp_PlayType)&gt;0)))=0,"",(SUMPRODUCT((pbp_Pitcher=$B42)*(LEN(pbp_PlayType)&gt;0)*ISNUMBER(MATCH(LEFT(TRIM(pbp_Seq)&amp;"/",FIND("/",TRIM(pbp_Seq)&amp;"/")-1),{"S","F","FT","FB","IN","MB","POS"},0))))/(SUMPRODUCT((pbp_Pitcher=$B42)*(LEN(pbp_PlayType)&gt;0)))))</f>
        <v/>
      </c>
      <c r="T42" s="59" t="str">
        <f t="shared" si="2"/>
        <v/>
      </c>
      <c r="U42" s="59" t="str">
        <f t="shared" si="3"/>
        <v/>
      </c>
      <c r="V42" s="59" t="str">
        <f t="shared" si="4"/>
        <v/>
      </c>
      <c r="W42" s="60" t="str">
        <f t="shared" si="5"/>
        <v/>
      </c>
      <c r="X42" s="60" t="str">
        <f t="shared" si="6"/>
        <v/>
      </c>
      <c r="Y42" s="58" t="str">
        <f t="shared" si="7"/>
        <v/>
      </c>
      <c r="Z42" s="58" t="str">
        <f t="shared" si="8"/>
        <v/>
      </c>
      <c r="AA42" s="62" t="str">
        <f>IF($B42="","",IF(OR(E42&lt;MinBF,X42=""),"",COUNTIFS($E$6:$E$255,"&gt;="&amp;MinBF,$X$6:$X$255,"&lt;"&amp;X42)+COUNTIFS($E$5:E41,"&gt;="&amp;MinBF,$X$5:X41,X42)+1))</f>
        <v/>
      </c>
    </row>
    <row r="43" spans="2:27" x14ac:dyDescent="0.2">
      <c r="B43" s="44" t="str">
        <f t="array" ref="B43">IFERROR(INDEX(pbp_Pitcher,MATCH(0,COUNTIF($B$5:B42,pbp_Pitcher)+(pbp_Pitcher=""),0)),"")</f>
        <v/>
      </c>
      <c r="C43" s="61" t="str">
        <f>IF($B43="","",IFERROR(INDEX(pbp_PitTeam,MATCH($B43,pbp_Pitcher,0)),""))</f>
        <v/>
      </c>
      <c r="D43" s="61" t="str">
        <f>IF($B43="","",IFERROR(INDEX(pbp_PitHand,MATCH($B43,pbp_Pitcher,0)),""))</f>
        <v/>
      </c>
      <c r="E43" s="42" t="str">
        <f>IF($B43="","",SUMPRODUCT(COUNTIFS(pbp_PlayType,EM_Type,pbp_Pitcher,$B43)*EM_PA))</f>
        <v/>
      </c>
      <c r="F43" s="42" t="str">
        <f>IF($B43="","",SUMIFS(pbp_Outs,pbp_Pitcher,$B43))</f>
        <v/>
      </c>
      <c r="G43" s="70" t="str">
        <f t="shared" si="0"/>
        <v/>
      </c>
      <c r="H43" s="42" t="str">
        <f>IF($B43="","",SUMPRODUCT(COUNTIFS(pbp_PlayType,EM_Type,pbp_Pitcher,$B43)*EM_H))</f>
        <v/>
      </c>
      <c r="I43" s="42" t="str">
        <f>IF($B43="","",SUMPRODUCT(COUNTIFS(pbp_PlayType,EM_Type,pbp_Pitcher,$B43)*EM_HR))</f>
        <v/>
      </c>
      <c r="J43" s="42" t="str">
        <f>IF($B43="","",SUMPRODUCT(COUNTIFS(pbp_PlayType,EM_Type,pbp_Pitcher,$B43)*EM_BB))</f>
        <v/>
      </c>
      <c r="K43" s="42" t="str">
        <f>IF($B43="","",SUMPRODUCT(COUNTIFS(pbp_PlayType,EM_Type,pbp_Pitcher,$B43)*EM_HBP))</f>
        <v/>
      </c>
      <c r="L43" s="42" t="str">
        <f>IF($B43="","",COUNTIFS(pbp_PlayType,"?*",pbp_Desc,"*struck out*",pbp_Pitcher,$B43))</f>
        <v/>
      </c>
      <c r="M43" s="42" t="str">
        <f>IF($B43="","",SUMIFS(pbp_Runs,pbp_Pitcher,$B43))</f>
        <v/>
      </c>
      <c r="N43" s="42" t="str">
        <f>IF($B43="","",SUMPRODUCT(COUNTIFS(pbp_PlayType,EM_Type,pbp_Pitcher,$B43)*EM_AB))</f>
        <v/>
      </c>
      <c r="O43" s="42" t="str">
        <f>IF($B43="","",SUMPRODUCT(COUNTIFS(pbp_PlayType,EM_Type,pbp_Pitcher,$B43)*EM_SF))</f>
        <v/>
      </c>
      <c r="P43" s="42" t="str">
        <f>IF($B43="","",SUMIFS(pbp_Pitches,pbp_Pitcher,$B43,pbp_PlayType,"?*"))</f>
        <v/>
      </c>
      <c r="Q43" s="60" t="str">
        <f t="shared" si="1"/>
        <v/>
      </c>
      <c r="R43" s="59" t="str">
        <f>IF($B43="","",IF(E43=0,"",1-SUMPRODUCT((pbp_Pitcher=$B43)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43)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43" s="59" t="str">
        <f>IF($B43="","",IF((SUMPRODUCT((pbp_Pitcher=$B43)*(LEN(pbp_PlayType)&gt;0)))=0,"",(SUMPRODUCT((pbp_Pitcher=$B43)*(LEN(pbp_PlayType)&gt;0)*ISNUMBER(MATCH(LEFT(TRIM(pbp_Seq)&amp;"/",FIND("/",TRIM(pbp_Seq)&amp;"/")-1),{"S","F","FT","FB","IN","MB","POS"},0))))/(SUMPRODUCT((pbp_Pitcher=$B43)*(LEN(pbp_PlayType)&gt;0)))))</f>
        <v/>
      </c>
      <c r="T43" s="59" t="str">
        <f t="shared" si="2"/>
        <v/>
      </c>
      <c r="U43" s="59" t="str">
        <f t="shared" si="3"/>
        <v/>
      </c>
      <c r="V43" s="59" t="str">
        <f t="shared" si="4"/>
        <v/>
      </c>
      <c r="W43" s="60" t="str">
        <f t="shared" si="5"/>
        <v/>
      </c>
      <c r="X43" s="60" t="str">
        <f t="shared" si="6"/>
        <v/>
      </c>
      <c r="Y43" s="58" t="str">
        <f t="shared" si="7"/>
        <v/>
      </c>
      <c r="Z43" s="58" t="str">
        <f t="shared" si="8"/>
        <v/>
      </c>
      <c r="AA43" s="62" t="str">
        <f>IF($B43="","",IF(OR(E43&lt;MinBF,X43=""),"",COUNTIFS($E$6:$E$255,"&gt;="&amp;MinBF,$X$6:$X$255,"&lt;"&amp;X43)+COUNTIFS($E$5:E42,"&gt;="&amp;MinBF,$X$5:X42,X43)+1))</f>
        <v/>
      </c>
    </row>
    <row r="44" spans="2:27" x14ac:dyDescent="0.2">
      <c r="B44" s="44" t="str">
        <f t="array" ref="B44">IFERROR(INDEX(pbp_Pitcher,MATCH(0,COUNTIF($B$5:B43,pbp_Pitcher)+(pbp_Pitcher=""),0)),"")</f>
        <v/>
      </c>
      <c r="C44" s="61" t="str">
        <f>IF($B44="","",IFERROR(INDEX(pbp_PitTeam,MATCH($B44,pbp_Pitcher,0)),""))</f>
        <v/>
      </c>
      <c r="D44" s="61" t="str">
        <f>IF($B44="","",IFERROR(INDEX(pbp_PitHand,MATCH($B44,pbp_Pitcher,0)),""))</f>
        <v/>
      </c>
      <c r="E44" s="42" t="str">
        <f>IF($B44="","",SUMPRODUCT(COUNTIFS(pbp_PlayType,EM_Type,pbp_Pitcher,$B44)*EM_PA))</f>
        <v/>
      </c>
      <c r="F44" s="42" t="str">
        <f>IF($B44="","",SUMIFS(pbp_Outs,pbp_Pitcher,$B44))</f>
        <v/>
      </c>
      <c r="G44" s="70" t="str">
        <f t="shared" si="0"/>
        <v/>
      </c>
      <c r="H44" s="42" t="str">
        <f>IF($B44="","",SUMPRODUCT(COUNTIFS(pbp_PlayType,EM_Type,pbp_Pitcher,$B44)*EM_H))</f>
        <v/>
      </c>
      <c r="I44" s="42" t="str">
        <f>IF($B44="","",SUMPRODUCT(COUNTIFS(pbp_PlayType,EM_Type,pbp_Pitcher,$B44)*EM_HR))</f>
        <v/>
      </c>
      <c r="J44" s="42" t="str">
        <f>IF($B44="","",SUMPRODUCT(COUNTIFS(pbp_PlayType,EM_Type,pbp_Pitcher,$B44)*EM_BB))</f>
        <v/>
      </c>
      <c r="K44" s="42" t="str">
        <f>IF($B44="","",SUMPRODUCT(COUNTIFS(pbp_PlayType,EM_Type,pbp_Pitcher,$B44)*EM_HBP))</f>
        <v/>
      </c>
      <c r="L44" s="42" t="str">
        <f>IF($B44="","",COUNTIFS(pbp_PlayType,"?*",pbp_Desc,"*struck out*",pbp_Pitcher,$B44))</f>
        <v/>
      </c>
      <c r="M44" s="42" t="str">
        <f>IF($B44="","",SUMIFS(pbp_Runs,pbp_Pitcher,$B44))</f>
        <v/>
      </c>
      <c r="N44" s="42" t="str">
        <f>IF($B44="","",SUMPRODUCT(COUNTIFS(pbp_PlayType,EM_Type,pbp_Pitcher,$B44)*EM_AB))</f>
        <v/>
      </c>
      <c r="O44" s="42" t="str">
        <f>IF($B44="","",SUMPRODUCT(COUNTIFS(pbp_PlayType,EM_Type,pbp_Pitcher,$B44)*EM_SF))</f>
        <v/>
      </c>
      <c r="P44" s="42" t="str">
        <f>IF($B44="","",SUMIFS(pbp_Pitches,pbp_Pitcher,$B44,pbp_PlayType,"?*"))</f>
        <v/>
      </c>
      <c r="Q44" s="60" t="str">
        <f t="shared" si="1"/>
        <v/>
      </c>
      <c r="R44" s="59" t="str">
        <f>IF($B44="","",IF(E44=0,"",1-SUMPRODUCT((pbp_Pitcher=$B44)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44)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44" s="59" t="str">
        <f>IF($B44="","",IF((SUMPRODUCT((pbp_Pitcher=$B44)*(LEN(pbp_PlayType)&gt;0)))=0,"",(SUMPRODUCT((pbp_Pitcher=$B44)*(LEN(pbp_PlayType)&gt;0)*ISNUMBER(MATCH(LEFT(TRIM(pbp_Seq)&amp;"/",FIND("/",TRIM(pbp_Seq)&amp;"/")-1),{"S","F","FT","FB","IN","MB","POS"},0))))/(SUMPRODUCT((pbp_Pitcher=$B44)*(LEN(pbp_PlayType)&gt;0)))))</f>
        <v/>
      </c>
      <c r="T44" s="59" t="str">
        <f t="shared" si="2"/>
        <v/>
      </c>
      <c r="U44" s="59" t="str">
        <f t="shared" si="3"/>
        <v/>
      </c>
      <c r="V44" s="59" t="str">
        <f t="shared" si="4"/>
        <v/>
      </c>
      <c r="W44" s="60" t="str">
        <f t="shared" si="5"/>
        <v/>
      </c>
      <c r="X44" s="60" t="str">
        <f t="shared" si="6"/>
        <v/>
      </c>
      <c r="Y44" s="58" t="str">
        <f t="shared" si="7"/>
        <v/>
      </c>
      <c r="Z44" s="58" t="str">
        <f t="shared" si="8"/>
        <v/>
      </c>
      <c r="AA44" s="62" t="str">
        <f>IF($B44="","",IF(OR(E44&lt;MinBF,X44=""),"",COUNTIFS($E$6:$E$255,"&gt;="&amp;MinBF,$X$6:$X$255,"&lt;"&amp;X44)+COUNTIFS($E$5:E43,"&gt;="&amp;MinBF,$X$5:X43,X44)+1))</f>
        <v/>
      </c>
    </row>
    <row r="45" spans="2:27" x14ac:dyDescent="0.2">
      <c r="B45" s="44" t="str">
        <f t="array" ref="B45">IFERROR(INDEX(pbp_Pitcher,MATCH(0,COUNTIF($B$5:B44,pbp_Pitcher)+(pbp_Pitcher=""),0)),"")</f>
        <v/>
      </c>
      <c r="C45" s="61" t="str">
        <f>IF($B45="","",IFERROR(INDEX(pbp_PitTeam,MATCH($B45,pbp_Pitcher,0)),""))</f>
        <v/>
      </c>
      <c r="D45" s="61" t="str">
        <f>IF($B45="","",IFERROR(INDEX(pbp_PitHand,MATCH($B45,pbp_Pitcher,0)),""))</f>
        <v/>
      </c>
      <c r="E45" s="42" t="str">
        <f>IF($B45="","",SUMPRODUCT(COUNTIFS(pbp_PlayType,EM_Type,pbp_Pitcher,$B45)*EM_PA))</f>
        <v/>
      </c>
      <c r="F45" s="42" t="str">
        <f>IF($B45="","",SUMIFS(pbp_Outs,pbp_Pitcher,$B45))</f>
        <v/>
      </c>
      <c r="G45" s="70" t="str">
        <f t="shared" si="0"/>
        <v/>
      </c>
      <c r="H45" s="42" t="str">
        <f>IF($B45="","",SUMPRODUCT(COUNTIFS(pbp_PlayType,EM_Type,pbp_Pitcher,$B45)*EM_H))</f>
        <v/>
      </c>
      <c r="I45" s="42" t="str">
        <f>IF($B45="","",SUMPRODUCT(COUNTIFS(pbp_PlayType,EM_Type,pbp_Pitcher,$B45)*EM_HR))</f>
        <v/>
      </c>
      <c r="J45" s="42" t="str">
        <f>IF($B45="","",SUMPRODUCT(COUNTIFS(pbp_PlayType,EM_Type,pbp_Pitcher,$B45)*EM_BB))</f>
        <v/>
      </c>
      <c r="K45" s="42" t="str">
        <f>IF($B45="","",SUMPRODUCT(COUNTIFS(pbp_PlayType,EM_Type,pbp_Pitcher,$B45)*EM_HBP))</f>
        <v/>
      </c>
      <c r="L45" s="42" t="str">
        <f>IF($B45="","",COUNTIFS(pbp_PlayType,"?*",pbp_Desc,"*struck out*",pbp_Pitcher,$B45))</f>
        <v/>
      </c>
      <c r="M45" s="42" t="str">
        <f>IF($B45="","",SUMIFS(pbp_Runs,pbp_Pitcher,$B45))</f>
        <v/>
      </c>
      <c r="N45" s="42" t="str">
        <f>IF($B45="","",SUMPRODUCT(COUNTIFS(pbp_PlayType,EM_Type,pbp_Pitcher,$B45)*EM_AB))</f>
        <v/>
      </c>
      <c r="O45" s="42" t="str">
        <f>IF($B45="","",SUMPRODUCT(COUNTIFS(pbp_PlayType,EM_Type,pbp_Pitcher,$B45)*EM_SF))</f>
        <v/>
      </c>
      <c r="P45" s="42" t="str">
        <f>IF($B45="","",SUMIFS(pbp_Pitches,pbp_Pitcher,$B45,pbp_PlayType,"?*"))</f>
        <v/>
      </c>
      <c r="Q45" s="60" t="str">
        <f t="shared" si="1"/>
        <v/>
      </c>
      <c r="R45" s="59" t="str">
        <f>IF($B45="","",IF(E45=0,"",1-SUMPRODUCT((pbp_Pitcher=$B45)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45)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45" s="59" t="str">
        <f>IF($B45="","",IF((SUMPRODUCT((pbp_Pitcher=$B45)*(LEN(pbp_PlayType)&gt;0)))=0,"",(SUMPRODUCT((pbp_Pitcher=$B45)*(LEN(pbp_PlayType)&gt;0)*ISNUMBER(MATCH(LEFT(TRIM(pbp_Seq)&amp;"/",FIND("/",TRIM(pbp_Seq)&amp;"/")-1),{"S","F","FT","FB","IN","MB","POS"},0))))/(SUMPRODUCT((pbp_Pitcher=$B45)*(LEN(pbp_PlayType)&gt;0)))))</f>
        <v/>
      </c>
      <c r="T45" s="59" t="str">
        <f t="shared" si="2"/>
        <v/>
      </c>
      <c r="U45" s="59" t="str">
        <f t="shared" si="3"/>
        <v/>
      </c>
      <c r="V45" s="59" t="str">
        <f t="shared" si="4"/>
        <v/>
      </c>
      <c r="W45" s="60" t="str">
        <f t="shared" si="5"/>
        <v/>
      </c>
      <c r="X45" s="60" t="str">
        <f t="shared" si="6"/>
        <v/>
      </c>
      <c r="Y45" s="58" t="str">
        <f t="shared" si="7"/>
        <v/>
      </c>
      <c r="Z45" s="58" t="str">
        <f t="shared" si="8"/>
        <v/>
      </c>
      <c r="AA45" s="62" t="str">
        <f>IF($B45="","",IF(OR(E45&lt;MinBF,X45=""),"",COUNTIFS($E$6:$E$255,"&gt;="&amp;MinBF,$X$6:$X$255,"&lt;"&amp;X45)+COUNTIFS($E$5:E44,"&gt;="&amp;MinBF,$X$5:X44,X45)+1))</f>
        <v/>
      </c>
    </row>
    <row r="46" spans="2:27" x14ac:dyDescent="0.2">
      <c r="B46" s="44" t="str">
        <f t="array" ref="B46">IFERROR(INDEX(pbp_Pitcher,MATCH(0,COUNTIF($B$5:B45,pbp_Pitcher)+(pbp_Pitcher=""),0)),"")</f>
        <v/>
      </c>
      <c r="C46" s="61" t="str">
        <f>IF($B46="","",IFERROR(INDEX(pbp_PitTeam,MATCH($B46,pbp_Pitcher,0)),""))</f>
        <v/>
      </c>
      <c r="D46" s="61" t="str">
        <f>IF($B46="","",IFERROR(INDEX(pbp_PitHand,MATCH($B46,pbp_Pitcher,0)),""))</f>
        <v/>
      </c>
      <c r="E46" s="42" t="str">
        <f>IF($B46="","",SUMPRODUCT(COUNTIFS(pbp_PlayType,EM_Type,pbp_Pitcher,$B46)*EM_PA))</f>
        <v/>
      </c>
      <c r="F46" s="42" t="str">
        <f>IF($B46="","",SUMIFS(pbp_Outs,pbp_Pitcher,$B46))</f>
        <v/>
      </c>
      <c r="G46" s="70" t="str">
        <f t="shared" si="0"/>
        <v/>
      </c>
      <c r="H46" s="42" t="str">
        <f>IF($B46="","",SUMPRODUCT(COUNTIFS(pbp_PlayType,EM_Type,pbp_Pitcher,$B46)*EM_H))</f>
        <v/>
      </c>
      <c r="I46" s="42" t="str">
        <f>IF($B46="","",SUMPRODUCT(COUNTIFS(pbp_PlayType,EM_Type,pbp_Pitcher,$B46)*EM_HR))</f>
        <v/>
      </c>
      <c r="J46" s="42" t="str">
        <f>IF($B46="","",SUMPRODUCT(COUNTIFS(pbp_PlayType,EM_Type,pbp_Pitcher,$B46)*EM_BB))</f>
        <v/>
      </c>
      <c r="K46" s="42" t="str">
        <f>IF($B46="","",SUMPRODUCT(COUNTIFS(pbp_PlayType,EM_Type,pbp_Pitcher,$B46)*EM_HBP))</f>
        <v/>
      </c>
      <c r="L46" s="42" t="str">
        <f>IF($B46="","",COUNTIFS(pbp_PlayType,"?*",pbp_Desc,"*struck out*",pbp_Pitcher,$B46))</f>
        <v/>
      </c>
      <c r="M46" s="42" t="str">
        <f>IF($B46="","",SUMIFS(pbp_Runs,pbp_Pitcher,$B46))</f>
        <v/>
      </c>
      <c r="N46" s="42" t="str">
        <f>IF($B46="","",SUMPRODUCT(COUNTIFS(pbp_PlayType,EM_Type,pbp_Pitcher,$B46)*EM_AB))</f>
        <v/>
      </c>
      <c r="O46" s="42" t="str">
        <f>IF($B46="","",SUMPRODUCT(COUNTIFS(pbp_PlayType,EM_Type,pbp_Pitcher,$B46)*EM_SF))</f>
        <v/>
      </c>
      <c r="P46" s="42" t="str">
        <f>IF($B46="","",SUMIFS(pbp_Pitches,pbp_Pitcher,$B46,pbp_PlayType,"?*"))</f>
        <v/>
      </c>
      <c r="Q46" s="60" t="str">
        <f t="shared" si="1"/>
        <v/>
      </c>
      <c r="R46" s="59" t="str">
        <f>IF($B46="","",IF(E46=0,"",1-SUMPRODUCT((pbp_Pitcher=$B46)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46)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46" s="59" t="str">
        <f>IF($B46="","",IF((SUMPRODUCT((pbp_Pitcher=$B46)*(LEN(pbp_PlayType)&gt;0)))=0,"",(SUMPRODUCT((pbp_Pitcher=$B46)*(LEN(pbp_PlayType)&gt;0)*ISNUMBER(MATCH(LEFT(TRIM(pbp_Seq)&amp;"/",FIND("/",TRIM(pbp_Seq)&amp;"/")-1),{"S","F","FT","FB","IN","MB","POS"},0))))/(SUMPRODUCT((pbp_Pitcher=$B46)*(LEN(pbp_PlayType)&gt;0)))))</f>
        <v/>
      </c>
      <c r="T46" s="59" t="str">
        <f t="shared" si="2"/>
        <v/>
      </c>
      <c r="U46" s="59" t="str">
        <f t="shared" si="3"/>
        <v/>
      </c>
      <c r="V46" s="59" t="str">
        <f t="shared" si="4"/>
        <v/>
      </c>
      <c r="W46" s="60" t="str">
        <f t="shared" si="5"/>
        <v/>
      </c>
      <c r="X46" s="60" t="str">
        <f t="shared" si="6"/>
        <v/>
      </c>
      <c r="Y46" s="58" t="str">
        <f t="shared" si="7"/>
        <v/>
      </c>
      <c r="Z46" s="58" t="str">
        <f t="shared" si="8"/>
        <v/>
      </c>
      <c r="AA46" s="62" t="str">
        <f>IF($B46="","",IF(OR(E46&lt;MinBF,X46=""),"",COUNTIFS($E$6:$E$255,"&gt;="&amp;MinBF,$X$6:$X$255,"&lt;"&amp;X46)+COUNTIFS($E$5:E45,"&gt;="&amp;MinBF,$X$5:X45,X46)+1))</f>
        <v/>
      </c>
    </row>
    <row r="47" spans="2:27" x14ac:dyDescent="0.2">
      <c r="B47" s="44" t="str">
        <f t="array" ref="B47">IFERROR(INDEX(pbp_Pitcher,MATCH(0,COUNTIF($B$5:B46,pbp_Pitcher)+(pbp_Pitcher=""),0)),"")</f>
        <v/>
      </c>
      <c r="C47" s="61" t="str">
        <f>IF($B47="","",IFERROR(INDEX(pbp_PitTeam,MATCH($B47,pbp_Pitcher,0)),""))</f>
        <v/>
      </c>
      <c r="D47" s="61" t="str">
        <f>IF($B47="","",IFERROR(INDEX(pbp_PitHand,MATCH($B47,pbp_Pitcher,0)),""))</f>
        <v/>
      </c>
      <c r="E47" s="42" t="str">
        <f>IF($B47="","",SUMPRODUCT(COUNTIFS(pbp_PlayType,EM_Type,pbp_Pitcher,$B47)*EM_PA))</f>
        <v/>
      </c>
      <c r="F47" s="42" t="str">
        <f>IF($B47="","",SUMIFS(pbp_Outs,pbp_Pitcher,$B47))</f>
        <v/>
      </c>
      <c r="G47" s="70" t="str">
        <f t="shared" si="0"/>
        <v/>
      </c>
      <c r="H47" s="42" t="str">
        <f>IF($B47="","",SUMPRODUCT(COUNTIFS(pbp_PlayType,EM_Type,pbp_Pitcher,$B47)*EM_H))</f>
        <v/>
      </c>
      <c r="I47" s="42" t="str">
        <f>IF($B47="","",SUMPRODUCT(COUNTIFS(pbp_PlayType,EM_Type,pbp_Pitcher,$B47)*EM_HR))</f>
        <v/>
      </c>
      <c r="J47" s="42" t="str">
        <f>IF($B47="","",SUMPRODUCT(COUNTIFS(pbp_PlayType,EM_Type,pbp_Pitcher,$B47)*EM_BB))</f>
        <v/>
      </c>
      <c r="K47" s="42" t="str">
        <f>IF($B47="","",SUMPRODUCT(COUNTIFS(pbp_PlayType,EM_Type,pbp_Pitcher,$B47)*EM_HBP))</f>
        <v/>
      </c>
      <c r="L47" s="42" t="str">
        <f>IF($B47="","",COUNTIFS(pbp_PlayType,"?*",pbp_Desc,"*struck out*",pbp_Pitcher,$B47))</f>
        <v/>
      </c>
      <c r="M47" s="42" t="str">
        <f>IF($B47="","",SUMIFS(pbp_Runs,pbp_Pitcher,$B47))</f>
        <v/>
      </c>
      <c r="N47" s="42" t="str">
        <f>IF($B47="","",SUMPRODUCT(COUNTIFS(pbp_PlayType,EM_Type,pbp_Pitcher,$B47)*EM_AB))</f>
        <v/>
      </c>
      <c r="O47" s="42" t="str">
        <f>IF($B47="","",SUMPRODUCT(COUNTIFS(pbp_PlayType,EM_Type,pbp_Pitcher,$B47)*EM_SF))</f>
        <v/>
      </c>
      <c r="P47" s="42" t="str">
        <f>IF($B47="","",SUMIFS(pbp_Pitches,pbp_Pitcher,$B47,pbp_PlayType,"?*"))</f>
        <v/>
      </c>
      <c r="Q47" s="60" t="str">
        <f t="shared" si="1"/>
        <v/>
      </c>
      <c r="R47" s="59" t="str">
        <f>IF($B47="","",IF(E47=0,"",1-SUMPRODUCT((pbp_Pitcher=$B47)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47)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47" s="59" t="str">
        <f>IF($B47="","",IF((SUMPRODUCT((pbp_Pitcher=$B47)*(LEN(pbp_PlayType)&gt;0)))=0,"",(SUMPRODUCT((pbp_Pitcher=$B47)*(LEN(pbp_PlayType)&gt;0)*ISNUMBER(MATCH(LEFT(TRIM(pbp_Seq)&amp;"/",FIND("/",TRIM(pbp_Seq)&amp;"/")-1),{"S","F","FT","FB","IN","MB","POS"},0))))/(SUMPRODUCT((pbp_Pitcher=$B47)*(LEN(pbp_PlayType)&gt;0)))))</f>
        <v/>
      </c>
      <c r="T47" s="59" t="str">
        <f t="shared" si="2"/>
        <v/>
      </c>
      <c r="U47" s="59" t="str">
        <f t="shared" si="3"/>
        <v/>
      </c>
      <c r="V47" s="59" t="str">
        <f t="shared" si="4"/>
        <v/>
      </c>
      <c r="W47" s="60" t="str">
        <f t="shared" si="5"/>
        <v/>
      </c>
      <c r="X47" s="60" t="str">
        <f t="shared" si="6"/>
        <v/>
      </c>
      <c r="Y47" s="58" t="str">
        <f t="shared" si="7"/>
        <v/>
      </c>
      <c r="Z47" s="58" t="str">
        <f t="shared" si="8"/>
        <v/>
      </c>
      <c r="AA47" s="62" t="str">
        <f>IF($B47="","",IF(OR(E47&lt;MinBF,X47=""),"",COUNTIFS($E$6:$E$255,"&gt;="&amp;MinBF,$X$6:$X$255,"&lt;"&amp;X47)+COUNTIFS($E$5:E46,"&gt;="&amp;MinBF,$X$5:X46,X47)+1))</f>
        <v/>
      </c>
    </row>
    <row r="48" spans="2:27" x14ac:dyDescent="0.2">
      <c r="B48" s="44" t="str">
        <f t="array" ref="B48">IFERROR(INDEX(pbp_Pitcher,MATCH(0,COUNTIF($B$5:B47,pbp_Pitcher)+(pbp_Pitcher=""),0)),"")</f>
        <v/>
      </c>
      <c r="C48" s="61" t="str">
        <f>IF($B48="","",IFERROR(INDEX(pbp_PitTeam,MATCH($B48,pbp_Pitcher,0)),""))</f>
        <v/>
      </c>
      <c r="D48" s="61" t="str">
        <f>IF($B48="","",IFERROR(INDEX(pbp_PitHand,MATCH($B48,pbp_Pitcher,0)),""))</f>
        <v/>
      </c>
      <c r="E48" s="42" t="str">
        <f>IF($B48="","",SUMPRODUCT(COUNTIFS(pbp_PlayType,EM_Type,pbp_Pitcher,$B48)*EM_PA))</f>
        <v/>
      </c>
      <c r="F48" s="42" t="str">
        <f>IF($B48="","",SUMIFS(pbp_Outs,pbp_Pitcher,$B48))</f>
        <v/>
      </c>
      <c r="G48" s="70" t="str">
        <f t="shared" si="0"/>
        <v/>
      </c>
      <c r="H48" s="42" t="str">
        <f>IF($B48="","",SUMPRODUCT(COUNTIFS(pbp_PlayType,EM_Type,pbp_Pitcher,$B48)*EM_H))</f>
        <v/>
      </c>
      <c r="I48" s="42" t="str">
        <f>IF($B48="","",SUMPRODUCT(COUNTIFS(pbp_PlayType,EM_Type,pbp_Pitcher,$B48)*EM_HR))</f>
        <v/>
      </c>
      <c r="J48" s="42" t="str">
        <f>IF($B48="","",SUMPRODUCT(COUNTIFS(pbp_PlayType,EM_Type,pbp_Pitcher,$B48)*EM_BB))</f>
        <v/>
      </c>
      <c r="K48" s="42" t="str">
        <f>IF($B48="","",SUMPRODUCT(COUNTIFS(pbp_PlayType,EM_Type,pbp_Pitcher,$B48)*EM_HBP))</f>
        <v/>
      </c>
      <c r="L48" s="42" t="str">
        <f>IF($B48="","",COUNTIFS(pbp_PlayType,"?*",pbp_Desc,"*struck out*",pbp_Pitcher,$B48))</f>
        <v/>
      </c>
      <c r="M48" s="42" t="str">
        <f>IF($B48="","",SUMIFS(pbp_Runs,pbp_Pitcher,$B48))</f>
        <v/>
      </c>
      <c r="N48" s="42" t="str">
        <f>IF($B48="","",SUMPRODUCT(COUNTIFS(pbp_PlayType,EM_Type,pbp_Pitcher,$B48)*EM_AB))</f>
        <v/>
      </c>
      <c r="O48" s="42" t="str">
        <f>IF($B48="","",SUMPRODUCT(COUNTIFS(pbp_PlayType,EM_Type,pbp_Pitcher,$B48)*EM_SF))</f>
        <v/>
      </c>
      <c r="P48" s="42" t="str">
        <f>IF($B48="","",SUMIFS(pbp_Pitches,pbp_Pitcher,$B48,pbp_PlayType,"?*"))</f>
        <v/>
      </c>
      <c r="Q48" s="60" t="str">
        <f t="shared" si="1"/>
        <v/>
      </c>
      <c r="R48" s="59" t="str">
        <f>IF($B48="","",IF(E48=0,"",1-SUMPRODUCT((pbp_Pitcher=$B48)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48)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48" s="59" t="str">
        <f>IF($B48="","",IF((SUMPRODUCT((pbp_Pitcher=$B48)*(LEN(pbp_PlayType)&gt;0)))=0,"",(SUMPRODUCT((pbp_Pitcher=$B48)*(LEN(pbp_PlayType)&gt;0)*ISNUMBER(MATCH(LEFT(TRIM(pbp_Seq)&amp;"/",FIND("/",TRIM(pbp_Seq)&amp;"/")-1),{"S","F","FT","FB","IN","MB","POS"},0))))/(SUMPRODUCT((pbp_Pitcher=$B48)*(LEN(pbp_PlayType)&gt;0)))))</f>
        <v/>
      </c>
      <c r="T48" s="59" t="str">
        <f t="shared" si="2"/>
        <v/>
      </c>
      <c r="U48" s="59" t="str">
        <f t="shared" si="3"/>
        <v/>
      </c>
      <c r="V48" s="59" t="str">
        <f t="shared" si="4"/>
        <v/>
      </c>
      <c r="W48" s="60" t="str">
        <f t="shared" si="5"/>
        <v/>
      </c>
      <c r="X48" s="60" t="str">
        <f t="shared" si="6"/>
        <v/>
      </c>
      <c r="Y48" s="58" t="str">
        <f t="shared" si="7"/>
        <v/>
      </c>
      <c r="Z48" s="58" t="str">
        <f t="shared" si="8"/>
        <v/>
      </c>
      <c r="AA48" s="62" t="str">
        <f>IF($B48="","",IF(OR(E48&lt;MinBF,X48=""),"",COUNTIFS($E$6:$E$255,"&gt;="&amp;MinBF,$X$6:$X$255,"&lt;"&amp;X48)+COUNTIFS($E$5:E47,"&gt;="&amp;MinBF,$X$5:X47,X48)+1))</f>
        <v/>
      </c>
    </row>
    <row r="49" spans="2:27" x14ac:dyDescent="0.2">
      <c r="B49" s="44" t="str">
        <f t="array" ref="B49">IFERROR(INDEX(pbp_Pitcher,MATCH(0,COUNTIF($B$5:B48,pbp_Pitcher)+(pbp_Pitcher=""),0)),"")</f>
        <v/>
      </c>
      <c r="C49" s="61" t="str">
        <f>IF($B49="","",IFERROR(INDEX(pbp_PitTeam,MATCH($B49,pbp_Pitcher,0)),""))</f>
        <v/>
      </c>
      <c r="D49" s="61" t="str">
        <f>IF($B49="","",IFERROR(INDEX(pbp_PitHand,MATCH($B49,pbp_Pitcher,0)),""))</f>
        <v/>
      </c>
      <c r="E49" s="42" t="str">
        <f>IF($B49="","",SUMPRODUCT(COUNTIFS(pbp_PlayType,EM_Type,pbp_Pitcher,$B49)*EM_PA))</f>
        <v/>
      </c>
      <c r="F49" s="42" t="str">
        <f>IF($B49="","",SUMIFS(pbp_Outs,pbp_Pitcher,$B49))</f>
        <v/>
      </c>
      <c r="G49" s="70" t="str">
        <f t="shared" si="0"/>
        <v/>
      </c>
      <c r="H49" s="42" t="str">
        <f>IF($B49="","",SUMPRODUCT(COUNTIFS(pbp_PlayType,EM_Type,pbp_Pitcher,$B49)*EM_H))</f>
        <v/>
      </c>
      <c r="I49" s="42" t="str">
        <f>IF($B49="","",SUMPRODUCT(COUNTIFS(pbp_PlayType,EM_Type,pbp_Pitcher,$B49)*EM_HR))</f>
        <v/>
      </c>
      <c r="J49" s="42" t="str">
        <f>IF($B49="","",SUMPRODUCT(COUNTIFS(pbp_PlayType,EM_Type,pbp_Pitcher,$B49)*EM_BB))</f>
        <v/>
      </c>
      <c r="K49" s="42" t="str">
        <f>IF($B49="","",SUMPRODUCT(COUNTIFS(pbp_PlayType,EM_Type,pbp_Pitcher,$B49)*EM_HBP))</f>
        <v/>
      </c>
      <c r="L49" s="42" t="str">
        <f>IF($B49="","",COUNTIFS(pbp_PlayType,"?*",pbp_Desc,"*struck out*",pbp_Pitcher,$B49))</f>
        <v/>
      </c>
      <c r="M49" s="42" t="str">
        <f>IF($B49="","",SUMIFS(pbp_Runs,pbp_Pitcher,$B49))</f>
        <v/>
      </c>
      <c r="N49" s="42" t="str">
        <f>IF($B49="","",SUMPRODUCT(COUNTIFS(pbp_PlayType,EM_Type,pbp_Pitcher,$B49)*EM_AB))</f>
        <v/>
      </c>
      <c r="O49" s="42" t="str">
        <f>IF($B49="","",SUMPRODUCT(COUNTIFS(pbp_PlayType,EM_Type,pbp_Pitcher,$B49)*EM_SF))</f>
        <v/>
      </c>
      <c r="P49" s="42" t="str">
        <f>IF($B49="","",SUMIFS(pbp_Pitches,pbp_Pitcher,$B49,pbp_PlayType,"?*"))</f>
        <v/>
      </c>
      <c r="Q49" s="60" t="str">
        <f t="shared" si="1"/>
        <v/>
      </c>
      <c r="R49" s="59" t="str">
        <f>IF($B49="","",IF(E49=0,"",1-SUMPRODUCT((pbp_Pitcher=$B49)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49)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49" s="59" t="str">
        <f>IF($B49="","",IF((SUMPRODUCT((pbp_Pitcher=$B49)*(LEN(pbp_PlayType)&gt;0)))=0,"",(SUMPRODUCT((pbp_Pitcher=$B49)*(LEN(pbp_PlayType)&gt;0)*ISNUMBER(MATCH(LEFT(TRIM(pbp_Seq)&amp;"/",FIND("/",TRIM(pbp_Seq)&amp;"/")-1),{"S","F","FT","FB","IN","MB","POS"},0))))/(SUMPRODUCT((pbp_Pitcher=$B49)*(LEN(pbp_PlayType)&gt;0)))))</f>
        <v/>
      </c>
      <c r="T49" s="59" t="str">
        <f t="shared" si="2"/>
        <v/>
      </c>
      <c r="U49" s="59" t="str">
        <f t="shared" si="3"/>
        <v/>
      </c>
      <c r="V49" s="59" t="str">
        <f t="shared" si="4"/>
        <v/>
      </c>
      <c r="W49" s="60" t="str">
        <f t="shared" si="5"/>
        <v/>
      </c>
      <c r="X49" s="60" t="str">
        <f t="shared" si="6"/>
        <v/>
      </c>
      <c r="Y49" s="58" t="str">
        <f t="shared" si="7"/>
        <v/>
      </c>
      <c r="Z49" s="58" t="str">
        <f t="shared" si="8"/>
        <v/>
      </c>
      <c r="AA49" s="62" t="str">
        <f>IF($B49="","",IF(OR(E49&lt;MinBF,X49=""),"",COUNTIFS($E$6:$E$255,"&gt;="&amp;MinBF,$X$6:$X$255,"&lt;"&amp;X49)+COUNTIFS($E$5:E48,"&gt;="&amp;MinBF,$X$5:X48,X49)+1))</f>
        <v/>
      </c>
    </row>
    <row r="50" spans="2:27" x14ac:dyDescent="0.2">
      <c r="B50" s="44" t="str">
        <f t="array" ref="B50">IFERROR(INDEX(pbp_Pitcher,MATCH(0,COUNTIF($B$5:B49,pbp_Pitcher)+(pbp_Pitcher=""),0)),"")</f>
        <v/>
      </c>
      <c r="C50" s="61" t="str">
        <f>IF($B50="","",IFERROR(INDEX(pbp_PitTeam,MATCH($B50,pbp_Pitcher,0)),""))</f>
        <v/>
      </c>
      <c r="D50" s="61" t="str">
        <f>IF($B50="","",IFERROR(INDEX(pbp_PitHand,MATCH($B50,pbp_Pitcher,0)),""))</f>
        <v/>
      </c>
      <c r="E50" s="42" t="str">
        <f>IF($B50="","",SUMPRODUCT(COUNTIFS(pbp_PlayType,EM_Type,pbp_Pitcher,$B50)*EM_PA))</f>
        <v/>
      </c>
      <c r="F50" s="42" t="str">
        <f>IF($B50="","",SUMIFS(pbp_Outs,pbp_Pitcher,$B50))</f>
        <v/>
      </c>
      <c r="G50" s="70" t="str">
        <f t="shared" si="0"/>
        <v/>
      </c>
      <c r="H50" s="42" t="str">
        <f>IF($B50="","",SUMPRODUCT(COUNTIFS(pbp_PlayType,EM_Type,pbp_Pitcher,$B50)*EM_H))</f>
        <v/>
      </c>
      <c r="I50" s="42" t="str">
        <f>IF($B50="","",SUMPRODUCT(COUNTIFS(pbp_PlayType,EM_Type,pbp_Pitcher,$B50)*EM_HR))</f>
        <v/>
      </c>
      <c r="J50" s="42" t="str">
        <f>IF($B50="","",SUMPRODUCT(COUNTIFS(pbp_PlayType,EM_Type,pbp_Pitcher,$B50)*EM_BB))</f>
        <v/>
      </c>
      <c r="K50" s="42" t="str">
        <f>IF($B50="","",SUMPRODUCT(COUNTIFS(pbp_PlayType,EM_Type,pbp_Pitcher,$B50)*EM_HBP))</f>
        <v/>
      </c>
      <c r="L50" s="42" t="str">
        <f>IF($B50="","",COUNTIFS(pbp_PlayType,"?*",pbp_Desc,"*struck out*",pbp_Pitcher,$B50))</f>
        <v/>
      </c>
      <c r="M50" s="42" t="str">
        <f>IF($B50="","",SUMIFS(pbp_Runs,pbp_Pitcher,$B50))</f>
        <v/>
      </c>
      <c r="N50" s="42" t="str">
        <f>IF($B50="","",SUMPRODUCT(COUNTIFS(pbp_PlayType,EM_Type,pbp_Pitcher,$B50)*EM_AB))</f>
        <v/>
      </c>
      <c r="O50" s="42" t="str">
        <f>IF($B50="","",SUMPRODUCT(COUNTIFS(pbp_PlayType,EM_Type,pbp_Pitcher,$B50)*EM_SF))</f>
        <v/>
      </c>
      <c r="P50" s="42" t="str">
        <f>IF($B50="","",SUMIFS(pbp_Pitches,pbp_Pitcher,$B50,pbp_PlayType,"?*"))</f>
        <v/>
      </c>
      <c r="Q50" s="60" t="str">
        <f t="shared" si="1"/>
        <v/>
      </c>
      <c r="R50" s="59" t="str">
        <f>IF($B50="","",IF(E50=0,"",1-SUMPRODUCT((pbp_Pitcher=$B50)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50)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50" s="59" t="str">
        <f>IF($B50="","",IF((SUMPRODUCT((pbp_Pitcher=$B50)*(LEN(pbp_PlayType)&gt;0)))=0,"",(SUMPRODUCT((pbp_Pitcher=$B50)*(LEN(pbp_PlayType)&gt;0)*ISNUMBER(MATCH(LEFT(TRIM(pbp_Seq)&amp;"/",FIND("/",TRIM(pbp_Seq)&amp;"/")-1),{"S","F","FT","FB","IN","MB","POS"},0))))/(SUMPRODUCT((pbp_Pitcher=$B50)*(LEN(pbp_PlayType)&gt;0)))))</f>
        <v/>
      </c>
      <c r="T50" s="59" t="str">
        <f t="shared" si="2"/>
        <v/>
      </c>
      <c r="U50" s="59" t="str">
        <f t="shared" si="3"/>
        <v/>
      </c>
      <c r="V50" s="59" t="str">
        <f t="shared" si="4"/>
        <v/>
      </c>
      <c r="W50" s="60" t="str">
        <f t="shared" si="5"/>
        <v/>
      </c>
      <c r="X50" s="60" t="str">
        <f t="shared" si="6"/>
        <v/>
      </c>
      <c r="Y50" s="58" t="str">
        <f t="shared" si="7"/>
        <v/>
      </c>
      <c r="Z50" s="58" t="str">
        <f t="shared" si="8"/>
        <v/>
      </c>
      <c r="AA50" s="62" t="str">
        <f>IF($B50="","",IF(OR(E50&lt;MinBF,X50=""),"",COUNTIFS($E$6:$E$255,"&gt;="&amp;MinBF,$X$6:$X$255,"&lt;"&amp;X50)+COUNTIFS($E$5:E49,"&gt;="&amp;MinBF,$X$5:X49,X50)+1))</f>
        <v/>
      </c>
    </row>
    <row r="51" spans="2:27" x14ac:dyDescent="0.2">
      <c r="B51" s="44" t="str">
        <f t="array" ref="B51">IFERROR(INDEX(pbp_Pitcher,MATCH(0,COUNTIF($B$5:B50,pbp_Pitcher)+(pbp_Pitcher=""),0)),"")</f>
        <v/>
      </c>
      <c r="C51" s="61" t="str">
        <f>IF($B51="","",IFERROR(INDEX(pbp_PitTeam,MATCH($B51,pbp_Pitcher,0)),""))</f>
        <v/>
      </c>
      <c r="D51" s="61" t="str">
        <f>IF($B51="","",IFERROR(INDEX(pbp_PitHand,MATCH($B51,pbp_Pitcher,0)),""))</f>
        <v/>
      </c>
      <c r="E51" s="42" t="str">
        <f>IF($B51="","",SUMPRODUCT(COUNTIFS(pbp_PlayType,EM_Type,pbp_Pitcher,$B51)*EM_PA))</f>
        <v/>
      </c>
      <c r="F51" s="42" t="str">
        <f>IF($B51="","",SUMIFS(pbp_Outs,pbp_Pitcher,$B51))</f>
        <v/>
      </c>
      <c r="G51" s="70" t="str">
        <f t="shared" si="0"/>
        <v/>
      </c>
      <c r="H51" s="42" t="str">
        <f>IF($B51="","",SUMPRODUCT(COUNTIFS(pbp_PlayType,EM_Type,pbp_Pitcher,$B51)*EM_H))</f>
        <v/>
      </c>
      <c r="I51" s="42" t="str">
        <f>IF($B51="","",SUMPRODUCT(COUNTIFS(pbp_PlayType,EM_Type,pbp_Pitcher,$B51)*EM_HR))</f>
        <v/>
      </c>
      <c r="J51" s="42" t="str">
        <f>IF($B51="","",SUMPRODUCT(COUNTIFS(pbp_PlayType,EM_Type,pbp_Pitcher,$B51)*EM_BB))</f>
        <v/>
      </c>
      <c r="K51" s="42" t="str">
        <f>IF($B51="","",SUMPRODUCT(COUNTIFS(pbp_PlayType,EM_Type,pbp_Pitcher,$B51)*EM_HBP))</f>
        <v/>
      </c>
      <c r="L51" s="42" t="str">
        <f>IF($B51="","",COUNTIFS(pbp_PlayType,"?*",pbp_Desc,"*struck out*",pbp_Pitcher,$B51))</f>
        <v/>
      </c>
      <c r="M51" s="42" t="str">
        <f>IF($B51="","",SUMIFS(pbp_Runs,pbp_Pitcher,$B51))</f>
        <v/>
      </c>
      <c r="N51" s="42" t="str">
        <f>IF($B51="","",SUMPRODUCT(COUNTIFS(pbp_PlayType,EM_Type,pbp_Pitcher,$B51)*EM_AB))</f>
        <v/>
      </c>
      <c r="O51" s="42" t="str">
        <f>IF($B51="","",SUMPRODUCT(COUNTIFS(pbp_PlayType,EM_Type,pbp_Pitcher,$B51)*EM_SF))</f>
        <v/>
      </c>
      <c r="P51" s="42" t="str">
        <f>IF($B51="","",SUMIFS(pbp_Pitches,pbp_Pitcher,$B51,pbp_PlayType,"?*"))</f>
        <v/>
      </c>
      <c r="Q51" s="60" t="str">
        <f t="shared" si="1"/>
        <v/>
      </c>
      <c r="R51" s="59" t="str">
        <f>IF($B51="","",IF(E51=0,"",1-SUMPRODUCT((pbp_Pitcher=$B51)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51)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51" s="59" t="str">
        <f>IF($B51="","",IF((SUMPRODUCT((pbp_Pitcher=$B51)*(LEN(pbp_PlayType)&gt;0)))=0,"",(SUMPRODUCT((pbp_Pitcher=$B51)*(LEN(pbp_PlayType)&gt;0)*ISNUMBER(MATCH(LEFT(TRIM(pbp_Seq)&amp;"/",FIND("/",TRIM(pbp_Seq)&amp;"/")-1),{"S","F","FT","FB","IN","MB","POS"},0))))/(SUMPRODUCT((pbp_Pitcher=$B51)*(LEN(pbp_PlayType)&gt;0)))))</f>
        <v/>
      </c>
      <c r="T51" s="59" t="str">
        <f t="shared" si="2"/>
        <v/>
      </c>
      <c r="U51" s="59" t="str">
        <f t="shared" si="3"/>
        <v/>
      </c>
      <c r="V51" s="59" t="str">
        <f t="shared" si="4"/>
        <v/>
      </c>
      <c r="W51" s="60" t="str">
        <f t="shared" si="5"/>
        <v/>
      </c>
      <c r="X51" s="60" t="str">
        <f t="shared" si="6"/>
        <v/>
      </c>
      <c r="Y51" s="58" t="str">
        <f t="shared" si="7"/>
        <v/>
      </c>
      <c r="Z51" s="58" t="str">
        <f t="shared" si="8"/>
        <v/>
      </c>
      <c r="AA51" s="62" t="str">
        <f>IF($B51="","",IF(OR(E51&lt;MinBF,X51=""),"",COUNTIFS($E$6:$E$255,"&gt;="&amp;MinBF,$X$6:$X$255,"&lt;"&amp;X51)+COUNTIFS($E$5:E50,"&gt;="&amp;MinBF,$X$5:X50,X51)+1))</f>
        <v/>
      </c>
    </row>
    <row r="52" spans="2:27" x14ac:dyDescent="0.2">
      <c r="B52" s="44" t="str">
        <f t="array" ref="B52">IFERROR(INDEX(pbp_Pitcher,MATCH(0,COUNTIF($B$5:B51,pbp_Pitcher)+(pbp_Pitcher=""),0)),"")</f>
        <v/>
      </c>
      <c r="C52" s="61" t="str">
        <f>IF($B52="","",IFERROR(INDEX(pbp_PitTeam,MATCH($B52,pbp_Pitcher,0)),""))</f>
        <v/>
      </c>
      <c r="D52" s="61" t="str">
        <f>IF($B52="","",IFERROR(INDEX(pbp_PitHand,MATCH($B52,pbp_Pitcher,0)),""))</f>
        <v/>
      </c>
      <c r="E52" s="42" t="str">
        <f>IF($B52="","",SUMPRODUCT(COUNTIFS(pbp_PlayType,EM_Type,pbp_Pitcher,$B52)*EM_PA))</f>
        <v/>
      </c>
      <c r="F52" s="42" t="str">
        <f>IF($B52="","",SUMIFS(pbp_Outs,pbp_Pitcher,$B52))</f>
        <v/>
      </c>
      <c r="G52" s="70" t="str">
        <f t="shared" si="0"/>
        <v/>
      </c>
      <c r="H52" s="42" t="str">
        <f>IF($B52="","",SUMPRODUCT(COUNTIFS(pbp_PlayType,EM_Type,pbp_Pitcher,$B52)*EM_H))</f>
        <v/>
      </c>
      <c r="I52" s="42" t="str">
        <f>IF($B52="","",SUMPRODUCT(COUNTIFS(pbp_PlayType,EM_Type,pbp_Pitcher,$B52)*EM_HR))</f>
        <v/>
      </c>
      <c r="J52" s="42" t="str">
        <f>IF($B52="","",SUMPRODUCT(COUNTIFS(pbp_PlayType,EM_Type,pbp_Pitcher,$B52)*EM_BB))</f>
        <v/>
      </c>
      <c r="K52" s="42" t="str">
        <f>IF($B52="","",SUMPRODUCT(COUNTIFS(pbp_PlayType,EM_Type,pbp_Pitcher,$B52)*EM_HBP))</f>
        <v/>
      </c>
      <c r="L52" s="42" t="str">
        <f>IF($B52="","",COUNTIFS(pbp_PlayType,"?*",pbp_Desc,"*struck out*",pbp_Pitcher,$B52))</f>
        <v/>
      </c>
      <c r="M52" s="42" t="str">
        <f>IF($B52="","",SUMIFS(pbp_Runs,pbp_Pitcher,$B52))</f>
        <v/>
      </c>
      <c r="N52" s="42" t="str">
        <f>IF($B52="","",SUMPRODUCT(COUNTIFS(pbp_PlayType,EM_Type,pbp_Pitcher,$B52)*EM_AB))</f>
        <v/>
      </c>
      <c r="O52" s="42" t="str">
        <f>IF($B52="","",SUMPRODUCT(COUNTIFS(pbp_PlayType,EM_Type,pbp_Pitcher,$B52)*EM_SF))</f>
        <v/>
      </c>
      <c r="P52" s="42" t="str">
        <f>IF($B52="","",SUMIFS(pbp_Pitches,pbp_Pitcher,$B52,pbp_PlayType,"?*"))</f>
        <v/>
      </c>
      <c r="Q52" s="60" t="str">
        <f t="shared" si="1"/>
        <v/>
      </c>
      <c r="R52" s="59" t="str">
        <f>IF($B52="","",IF(E52=0,"",1-SUMPRODUCT((pbp_Pitcher=$B52)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52)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52" s="59" t="str">
        <f>IF($B52="","",IF((SUMPRODUCT((pbp_Pitcher=$B52)*(LEN(pbp_PlayType)&gt;0)))=0,"",(SUMPRODUCT((pbp_Pitcher=$B52)*(LEN(pbp_PlayType)&gt;0)*ISNUMBER(MATCH(LEFT(TRIM(pbp_Seq)&amp;"/",FIND("/",TRIM(pbp_Seq)&amp;"/")-1),{"S","F","FT","FB","IN","MB","POS"},0))))/(SUMPRODUCT((pbp_Pitcher=$B52)*(LEN(pbp_PlayType)&gt;0)))))</f>
        <v/>
      </c>
      <c r="T52" s="59" t="str">
        <f t="shared" si="2"/>
        <v/>
      </c>
      <c r="U52" s="59" t="str">
        <f t="shared" si="3"/>
        <v/>
      </c>
      <c r="V52" s="59" t="str">
        <f t="shared" si="4"/>
        <v/>
      </c>
      <c r="W52" s="60" t="str">
        <f t="shared" si="5"/>
        <v/>
      </c>
      <c r="X52" s="60" t="str">
        <f t="shared" si="6"/>
        <v/>
      </c>
      <c r="Y52" s="58" t="str">
        <f t="shared" si="7"/>
        <v/>
      </c>
      <c r="Z52" s="58" t="str">
        <f t="shared" si="8"/>
        <v/>
      </c>
      <c r="AA52" s="62" t="str">
        <f>IF($B52="","",IF(OR(E52&lt;MinBF,X52=""),"",COUNTIFS($E$6:$E$255,"&gt;="&amp;MinBF,$X$6:$X$255,"&lt;"&amp;X52)+COUNTIFS($E$5:E51,"&gt;="&amp;MinBF,$X$5:X51,X52)+1))</f>
        <v/>
      </c>
    </row>
    <row r="53" spans="2:27" x14ac:dyDescent="0.2">
      <c r="B53" s="44" t="str">
        <f t="array" ref="B53">IFERROR(INDEX(pbp_Pitcher,MATCH(0,COUNTIF($B$5:B52,pbp_Pitcher)+(pbp_Pitcher=""),0)),"")</f>
        <v/>
      </c>
      <c r="C53" s="61" t="str">
        <f>IF($B53="","",IFERROR(INDEX(pbp_PitTeam,MATCH($B53,pbp_Pitcher,0)),""))</f>
        <v/>
      </c>
      <c r="D53" s="61" t="str">
        <f>IF($B53="","",IFERROR(INDEX(pbp_PitHand,MATCH($B53,pbp_Pitcher,0)),""))</f>
        <v/>
      </c>
      <c r="E53" s="42" t="str">
        <f>IF($B53="","",SUMPRODUCT(COUNTIFS(pbp_PlayType,EM_Type,pbp_Pitcher,$B53)*EM_PA))</f>
        <v/>
      </c>
      <c r="F53" s="42" t="str">
        <f>IF($B53="","",SUMIFS(pbp_Outs,pbp_Pitcher,$B53))</f>
        <v/>
      </c>
      <c r="G53" s="70" t="str">
        <f t="shared" si="0"/>
        <v/>
      </c>
      <c r="H53" s="42" t="str">
        <f>IF($B53="","",SUMPRODUCT(COUNTIFS(pbp_PlayType,EM_Type,pbp_Pitcher,$B53)*EM_H))</f>
        <v/>
      </c>
      <c r="I53" s="42" t="str">
        <f>IF($B53="","",SUMPRODUCT(COUNTIFS(pbp_PlayType,EM_Type,pbp_Pitcher,$B53)*EM_HR))</f>
        <v/>
      </c>
      <c r="J53" s="42" t="str">
        <f>IF($B53="","",SUMPRODUCT(COUNTIFS(pbp_PlayType,EM_Type,pbp_Pitcher,$B53)*EM_BB))</f>
        <v/>
      </c>
      <c r="K53" s="42" t="str">
        <f>IF($B53="","",SUMPRODUCT(COUNTIFS(pbp_PlayType,EM_Type,pbp_Pitcher,$B53)*EM_HBP))</f>
        <v/>
      </c>
      <c r="L53" s="42" t="str">
        <f>IF($B53="","",COUNTIFS(pbp_PlayType,"?*",pbp_Desc,"*struck out*",pbp_Pitcher,$B53))</f>
        <v/>
      </c>
      <c r="M53" s="42" t="str">
        <f>IF($B53="","",SUMIFS(pbp_Runs,pbp_Pitcher,$B53))</f>
        <v/>
      </c>
      <c r="N53" s="42" t="str">
        <f>IF($B53="","",SUMPRODUCT(COUNTIFS(pbp_PlayType,EM_Type,pbp_Pitcher,$B53)*EM_AB))</f>
        <v/>
      </c>
      <c r="O53" s="42" t="str">
        <f>IF($B53="","",SUMPRODUCT(COUNTIFS(pbp_PlayType,EM_Type,pbp_Pitcher,$B53)*EM_SF))</f>
        <v/>
      </c>
      <c r="P53" s="42" t="str">
        <f>IF($B53="","",SUMIFS(pbp_Pitches,pbp_Pitcher,$B53,pbp_PlayType,"?*"))</f>
        <v/>
      </c>
      <c r="Q53" s="60" t="str">
        <f t="shared" si="1"/>
        <v/>
      </c>
      <c r="R53" s="59" t="str">
        <f>IF($B53="","",IF(E53=0,"",1-SUMPRODUCT((pbp_Pitcher=$B53)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53)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53" s="59" t="str">
        <f>IF($B53="","",IF((SUMPRODUCT((pbp_Pitcher=$B53)*(LEN(pbp_PlayType)&gt;0)))=0,"",(SUMPRODUCT((pbp_Pitcher=$B53)*(LEN(pbp_PlayType)&gt;0)*ISNUMBER(MATCH(LEFT(TRIM(pbp_Seq)&amp;"/",FIND("/",TRIM(pbp_Seq)&amp;"/")-1),{"S","F","FT","FB","IN","MB","POS"},0))))/(SUMPRODUCT((pbp_Pitcher=$B53)*(LEN(pbp_PlayType)&gt;0)))))</f>
        <v/>
      </c>
      <c r="T53" s="59" t="str">
        <f t="shared" si="2"/>
        <v/>
      </c>
      <c r="U53" s="59" t="str">
        <f t="shared" si="3"/>
        <v/>
      </c>
      <c r="V53" s="59" t="str">
        <f t="shared" si="4"/>
        <v/>
      </c>
      <c r="W53" s="60" t="str">
        <f t="shared" si="5"/>
        <v/>
      </c>
      <c r="X53" s="60" t="str">
        <f t="shared" si="6"/>
        <v/>
      </c>
      <c r="Y53" s="58" t="str">
        <f t="shared" si="7"/>
        <v/>
      </c>
      <c r="Z53" s="58" t="str">
        <f t="shared" si="8"/>
        <v/>
      </c>
      <c r="AA53" s="62" t="str">
        <f>IF($B53="","",IF(OR(E53&lt;MinBF,X53=""),"",COUNTIFS($E$6:$E$255,"&gt;="&amp;MinBF,$X$6:$X$255,"&lt;"&amp;X53)+COUNTIFS($E$5:E52,"&gt;="&amp;MinBF,$X$5:X52,X53)+1))</f>
        <v/>
      </c>
    </row>
    <row r="54" spans="2:27" x14ac:dyDescent="0.2">
      <c r="B54" s="44" t="str">
        <f t="array" ref="B54">IFERROR(INDEX(pbp_Pitcher,MATCH(0,COUNTIF($B$5:B53,pbp_Pitcher)+(pbp_Pitcher=""),0)),"")</f>
        <v/>
      </c>
      <c r="C54" s="61" t="str">
        <f>IF($B54="","",IFERROR(INDEX(pbp_PitTeam,MATCH($B54,pbp_Pitcher,0)),""))</f>
        <v/>
      </c>
      <c r="D54" s="61" t="str">
        <f>IF($B54="","",IFERROR(INDEX(pbp_PitHand,MATCH($B54,pbp_Pitcher,0)),""))</f>
        <v/>
      </c>
      <c r="E54" s="42" t="str">
        <f>IF($B54="","",SUMPRODUCT(COUNTIFS(pbp_PlayType,EM_Type,pbp_Pitcher,$B54)*EM_PA))</f>
        <v/>
      </c>
      <c r="F54" s="42" t="str">
        <f>IF($B54="","",SUMIFS(pbp_Outs,pbp_Pitcher,$B54))</f>
        <v/>
      </c>
      <c r="G54" s="70" t="str">
        <f t="shared" si="0"/>
        <v/>
      </c>
      <c r="H54" s="42" t="str">
        <f>IF($B54="","",SUMPRODUCT(COUNTIFS(pbp_PlayType,EM_Type,pbp_Pitcher,$B54)*EM_H))</f>
        <v/>
      </c>
      <c r="I54" s="42" t="str">
        <f>IF($B54="","",SUMPRODUCT(COUNTIFS(pbp_PlayType,EM_Type,pbp_Pitcher,$B54)*EM_HR))</f>
        <v/>
      </c>
      <c r="J54" s="42" t="str">
        <f>IF($B54="","",SUMPRODUCT(COUNTIFS(pbp_PlayType,EM_Type,pbp_Pitcher,$B54)*EM_BB))</f>
        <v/>
      </c>
      <c r="K54" s="42" t="str">
        <f>IF($B54="","",SUMPRODUCT(COUNTIFS(pbp_PlayType,EM_Type,pbp_Pitcher,$B54)*EM_HBP))</f>
        <v/>
      </c>
      <c r="L54" s="42" t="str">
        <f>IF($B54="","",COUNTIFS(pbp_PlayType,"?*",pbp_Desc,"*struck out*",pbp_Pitcher,$B54))</f>
        <v/>
      </c>
      <c r="M54" s="42" t="str">
        <f>IF($B54="","",SUMIFS(pbp_Runs,pbp_Pitcher,$B54))</f>
        <v/>
      </c>
      <c r="N54" s="42" t="str">
        <f>IF($B54="","",SUMPRODUCT(COUNTIFS(pbp_PlayType,EM_Type,pbp_Pitcher,$B54)*EM_AB))</f>
        <v/>
      </c>
      <c r="O54" s="42" t="str">
        <f>IF($B54="","",SUMPRODUCT(COUNTIFS(pbp_PlayType,EM_Type,pbp_Pitcher,$B54)*EM_SF))</f>
        <v/>
      </c>
      <c r="P54" s="42" t="str">
        <f>IF($B54="","",SUMIFS(pbp_Pitches,pbp_Pitcher,$B54,pbp_PlayType,"?*"))</f>
        <v/>
      </c>
      <c r="Q54" s="60" t="str">
        <f t="shared" si="1"/>
        <v/>
      </c>
      <c r="R54" s="59" t="str">
        <f>IF($B54="","",IF(E54=0,"",1-SUMPRODUCT((pbp_Pitcher=$B54)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54)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54" s="59" t="str">
        <f>IF($B54="","",IF((SUMPRODUCT((pbp_Pitcher=$B54)*(LEN(pbp_PlayType)&gt;0)))=0,"",(SUMPRODUCT((pbp_Pitcher=$B54)*(LEN(pbp_PlayType)&gt;0)*ISNUMBER(MATCH(LEFT(TRIM(pbp_Seq)&amp;"/",FIND("/",TRIM(pbp_Seq)&amp;"/")-1),{"S","F","FT","FB","IN","MB","POS"},0))))/(SUMPRODUCT((pbp_Pitcher=$B54)*(LEN(pbp_PlayType)&gt;0)))))</f>
        <v/>
      </c>
      <c r="T54" s="59" t="str">
        <f t="shared" si="2"/>
        <v/>
      </c>
      <c r="U54" s="59" t="str">
        <f t="shared" si="3"/>
        <v/>
      </c>
      <c r="V54" s="59" t="str">
        <f t="shared" si="4"/>
        <v/>
      </c>
      <c r="W54" s="60" t="str">
        <f t="shared" si="5"/>
        <v/>
      </c>
      <c r="X54" s="60" t="str">
        <f t="shared" si="6"/>
        <v/>
      </c>
      <c r="Y54" s="58" t="str">
        <f t="shared" si="7"/>
        <v/>
      </c>
      <c r="Z54" s="58" t="str">
        <f t="shared" si="8"/>
        <v/>
      </c>
      <c r="AA54" s="62" t="str">
        <f>IF($B54="","",IF(OR(E54&lt;MinBF,X54=""),"",COUNTIFS($E$6:$E$255,"&gt;="&amp;MinBF,$X$6:$X$255,"&lt;"&amp;X54)+COUNTIFS($E$5:E53,"&gt;="&amp;MinBF,$X$5:X53,X54)+1))</f>
        <v/>
      </c>
    </row>
    <row r="55" spans="2:27" x14ac:dyDescent="0.2">
      <c r="B55" s="44" t="str">
        <f t="array" ref="B55">IFERROR(INDEX(pbp_Pitcher,MATCH(0,COUNTIF($B$5:B54,pbp_Pitcher)+(pbp_Pitcher=""),0)),"")</f>
        <v/>
      </c>
      <c r="C55" s="61" t="str">
        <f>IF($B55="","",IFERROR(INDEX(pbp_PitTeam,MATCH($B55,pbp_Pitcher,0)),""))</f>
        <v/>
      </c>
      <c r="D55" s="61" t="str">
        <f>IF($B55="","",IFERROR(INDEX(pbp_PitHand,MATCH($B55,pbp_Pitcher,0)),""))</f>
        <v/>
      </c>
      <c r="E55" s="42" t="str">
        <f>IF($B55="","",SUMPRODUCT(COUNTIFS(pbp_PlayType,EM_Type,pbp_Pitcher,$B55)*EM_PA))</f>
        <v/>
      </c>
      <c r="F55" s="42" t="str">
        <f>IF($B55="","",SUMIFS(pbp_Outs,pbp_Pitcher,$B55))</f>
        <v/>
      </c>
      <c r="G55" s="70" t="str">
        <f t="shared" si="0"/>
        <v/>
      </c>
      <c r="H55" s="42" t="str">
        <f>IF($B55="","",SUMPRODUCT(COUNTIFS(pbp_PlayType,EM_Type,pbp_Pitcher,$B55)*EM_H))</f>
        <v/>
      </c>
      <c r="I55" s="42" t="str">
        <f>IF($B55="","",SUMPRODUCT(COUNTIFS(pbp_PlayType,EM_Type,pbp_Pitcher,$B55)*EM_HR))</f>
        <v/>
      </c>
      <c r="J55" s="42" t="str">
        <f>IF($B55="","",SUMPRODUCT(COUNTIFS(pbp_PlayType,EM_Type,pbp_Pitcher,$B55)*EM_BB))</f>
        <v/>
      </c>
      <c r="K55" s="42" t="str">
        <f>IF($B55="","",SUMPRODUCT(COUNTIFS(pbp_PlayType,EM_Type,pbp_Pitcher,$B55)*EM_HBP))</f>
        <v/>
      </c>
      <c r="L55" s="42" t="str">
        <f>IF($B55="","",COUNTIFS(pbp_PlayType,"?*",pbp_Desc,"*struck out*",pbp_Pitcher,$B55))</f>
        <v/>
      </c>
      <c r="M55" s="42" t="str">
        <f>IF($B55="","",SUMIFS(pbp_Runs,pbp_Pitcher,$B55))</f>
        <v/>
      </c>
      <c r="N55" s="42" t="str">
        <f>IF($B55="","",SUMPRODUCT(COUNTIFS(pbp_PlayType,EM_Type,pbp_Pitcher,$B55)*EM_AB))</f>
        <v/>
      </c>
      <c r="O55" s="42" t="str">
        <f>IF($B55="","",SUMPRODUCT(COUNTIFS(pbp_PlayType,EM_Type,pbp_Pitcher,$B55)*EM_SF))</f>
        <v/>
      </c>
      <c r="P55" s="42" t="str">
        <f>IF($B55="","",SUMIFS(pbp_Pitches,pbp_Pitcher,$B55,pbp_PlayType,"?*"))</f>
        <v/>
      </c>
      <c r="Q55" s="60" t="str">
        <f t="shared" si="1"/>
        <v/>
      </c>
      <c r="R55" s="59" t="str">
        <f>IF($B55="","",IF(E55=0,"",1-SUMPRODUCT((pbp_Pitcher=$B55)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55)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55" s="59" t="str">
        <f>IF($B55="","",IF((SUMPRODUCT((pbp_Pitcher=$B55)*(LEN(pbp_PlayType)&gt;0)))=0,"",(SUMPRODUCT((pbp_Pitcher=$B55)*(LEN(pbp_PlayType)&gt;0)*ISNUMBER(MATCH(LEFT(TRIM(pbp_Seq)&amp;"/",FIND("/",TRIM(pbp_Seq)&amp;"/")-1),{"S","F","FT","FB","IN","MB","POS"},0))))/(SUMPRODUCT((pbp_Pitcher=$B55)*(LEN(pbp_PlayType)&gt;0)))))</f>
        <v/>
      </c>
      <c r="T55" s="59" t="str">
        <f t="shared" si="2"/>
        <v/>
      </c>
      <c r="U55" s="59" t="str">
        <f t="shared" si="3"/>
        <v/>
      </c>
      <c r="V55" s="59" t="str">
        <f t="shared" si="4"/>
        <v/>
      </c>
      <c r="W55" s="60" t="str">
        <f t="shared" si="5"/>
        <v/>
      </c>
      <c r="X55" s="60" t="str">
        <f t="shared" si="6"/>
        <v/>
      </c>
      <c r="Y55" s="58" t="str">
        <f t="shared" si="7"/>
        <v/>
      </c>
      <c r="Z55" s="58" t="str">
        <f t="shared" si="8"/>
        <v/>
      </c>
      <c r="AA55" s="62" t="str">
        <f>IF($B55="","",IF(OR(E55&lt;MinBF,X55=""),"",COUNTIFS($E$6:$E$255,"&gt;="&amp;MinBF,$X$6:$X$255,"&lt;"&amp;X55)+COUNTIFS($E$5:E54,"&gt;="&amp;MinBF,$X$5:X54,X55)+1))</f>
        <v/>
      </c>
    </row>
    <row r="56" spans="2:27" x14ac:dyDescent="0.2">
      <c r="B56" s="44" t="str">
        <f t="array" ref="B56">IFERROR(INDEX(pbp_Pitcher,MATCH(0,COUNTIF($B$5:B55,pbp_Pitcher)+(pbp_Pitcher=""),0)),"")</f>
        <v/>
      </c>
      <c r="C56" s="61" t="str">
        <f>IF($B56="","",IFERROR(INDEX(pbp_PitTeam,MATCH($B56,pbp_Pitcher,0)),""))</f>
        <v/>
      </c>
      <c r="D56" s="61" t="str">
        <f>IF($B56="","",IFERROR(INDEX(pbp_PitHand,MATCH($B56,pbp_Pitcher,0)),""))</f>
        <v/>
      </c>
      <c r="E56" s="42" t="str">
        <f>IF($B56="","",SUMPRODUCT(COUNTIFS(pbp_PlayType,EM_Type,pbp_Pitcher,$B56)*EM_PA))</f>
        <v/>
      </c>
      <c r="F56" s="42" t="str">
        <f>IF($B56="","",SUMIFS(pbp_Outs,pbp_Pitcher,$B56))</f>
        <v/>
      </c>
      <c r="G56" s="70" t="str">
        <f t="shared" si="0"/>
        <v/>
      </c>
      <c r="H56" s="42" t="str">
        <f>IF($B56="","",SUMPRODUCT(COUNTIFS(pbp_PlayType,EM_Type,pbp_Pitcher,$B56)*EM_H))</f>
        <v/>
      </c>
      <c r="I56" s="42" t="str">
        <f>IF($B56="","",SUMPRODUCT(COUNTIFS(pbp_PlayType,EM_Type,pbp_Pitcher,$B56)*EM_HR))</f>
        <v/>
      </c>
      <c r="J56" s="42" t="str">
        <f>IF($B56="","",SUMPRODUCT(COUNTIFS(pbp_PlayType,EM_Type,pbp_Pitcher,$B56)*EM_BB))</f>
        <v/>
      </c>
      <c r="K56" s="42" t="str">
        <f>IF($B56="","",SUMPRODUCT(COUNTIFS(pbp_PlayType,EM_Type,pbp_Pitcher,$B56)*EM_HBP))</f>
        <v/>
      </c>
      <c r="L56" s="42" t="str">
        <f>IF($B56="","",COUNTIFS(pbp_PlayType,"?*",pbp_Desc,"*struck out*",pbp_Pitcher,$B56))</f>
        <v/>
      </c>
      <c r="M56" s="42" t="str">
        <f>IF($B56="","",SUMIFS(pbp_Runs,pbp_Pitcher,$B56))</f>
        <v/>
      </c>
      <c r="N56" s="42" t="str">
        <f>IF($B56="","",SUMPRODUCT(COUNTIFS(pbp_PlayType,EM_Type,pbp_Pitcher,$B56)*EM_AB))</f>
        <v/>
      </c>
      <c r="O56" s="42" t="str">
        <f>IF($B56="","",SUMPRODUCT(COUNTIFS(pbp_PlayType,EM_Type,pbp_Pitcher,$B56)*EM_SF))</f>
        <v/>
      </c>
      <c r="P56" s="42" t="str">
        <f>IF($B56="","",SUMIFS(pbp_Pitches,pbp_Pitcher,$B56,pbp_PlayType,"?*"))</f>
        <v/>
      </c>
      <c r="Q56" s="60" t="str">
        <f t="shared" si="1"/>
        <v/>
      </c>
      <c r="R56" s="59" t="str">
        <f>IF($B56="","",IF(E56=0,"",1-SUMPRODUCT((pbp_Pitcher=$B56)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56)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56" s="59" t="str">
        <f>IF($B56="","",IF((SUMPRODUCT((pbp_Pitcher=$B56)*(LEN(pbp_PlayType)&gt;0)))=0,"",(SUMPRODUCT((pbp_Pitcher=$B56)*(LEN(pbp_PlayType)&gt;0)*ISNUMBER(MATCH(LEFT(TRIM(pbp_Seq)&amp;"/",FIND("/",TRIM(pbp_Seq)&amp;"/")-1),{"S","F","FT","FB","IN","MB","POS"},0))))/(SUMPRODUCT((pbp_Pitcher=$B56)*(LEN(pbp_PlayType)&gt;0)))))</f>
        <v/>
      </c>
      <c r="T56" s="59" t="str">
        <f t="shared" si="2"/>
        <v/>
      </c>
      <c r="U56" s="59" t="str">
        <f t="shared" si="3"/>
        <v/>
      </c>
      <c r="V56" s="59" t="str">
        <f t="shared" si="4"/>
        <v/>
      </c>
      <c r="W56" s="60" t="str">
        <f t="shared" si="5"/>
        <v/>
      </c>
      <c r="X56" s="60" t="str">
        <f t="shared" si="6"/>
        <v/>
      </c>
      <c r="Y56" s="58" t="str">
        <f t="shared" si="7"/>
        <v/>
      </c>
      <c r="Z56" s="58" t="str">
        <f t="shared" si="8"/>
        <v/>
      </c>
      <c r="AA56" s="62" t="str">
        <f>IF($B56="","",IF(OR(E56&lt;MinBF,X56=""),"",COUNTIFS($E$6:$E$255,"&gt;="&amp;MinBF,$X$6:$X$255,"&lt;"&amp;X56)+COUNTIFS($E$5:E55,"&gt;="&amp;MinBF,$X$5:X55,X56)+1))</f>
        <v/>
      </c>
    </row>
    <row r="57" spans="2:27" x14ac:dyDescent="0.2">
      <c r="B57" s="44" t="str">
        <f t="array" ref="B57">IFERROR(INDEX(pbp_Pitcher,MATCH(0,COUNTIF($B$5:B56,pbp_Pitcher)+(pbp_Pitcher=""),0)),"")</f>
        <v/>
      </c>
      <c r="C57" s="61" t="str">
        <f>IF($B57="","",IFERROR(INDEX(pbp_PitTeam,MATCH($B57,pbp_Pitcher,0)),""))</f>
        <v/>
      </c>
      <c r="D57" s="61" t="str">
        <f>IF($B57="","",IFERROR(INDEX(pbp_PitHand,MATCH($B57,pbp_Pitcher,0)),""))</f>
        <v/>
      </c>
      <c r="E57" s="42" t="str">
        <f>IF($B57="","",SUMPRODUCT(COUNTIFS(pbp_PlayType,EM_Type,pbp_Pitcher,$B57)*EM_PA))</f>
        <v/>
      </c>
      <c r="F57" s="42" t="str">
        <f>IF($B57="","",SUMIFS(pbp_Outs,pbp_Pitcher,$B57))</f>
        <v/>
      </c>
      <c r="G57" s="70" t="str">
        <f t="shared" si="0"/>
        <v/>
      </c>
      <c r="H57" s="42" t="str">
        <f>IF($B57="","",SUMPRODUCT(COUNTIFS(pbp_PlayType,EM_Type,pbp_Pitcher,$B57)*EM_H))</f>
        <v/>
      </c>
      <c r="I57" s="42" t="str">
        <f>IF($B57="","",SUMPRODUCT(COUNTIFS(pbp_PlayType,EM_Type,pbp_Pitcher,$B57)*EM_HR))</f>
        <v/>
      </c>
      <c r="J57" s="42" t="str">
        <f>IF($B57="","",SUMPRODUCT(COUNTIFS(pbp_PlayType,EM_Type,pbp_Pitcher,$B57)*EM_BB))</f>
        <v/>
      </c>
      <c r="K57" s="42" t="str">
        <f>IF($B57="","",SUMPRODUCT(COUNTIFS(pbp_PlayType,EM_Type,pbp_Pitcher,$B57)*EM_HBP))</f>
        <v/>
      </c>
      <c r="L57" s="42" t="str">
        <f>IF($B57="","",COUNTIFS(pbp_PlayType,"?*",pbp_Desc,"*struck out*",pbp_Pitcher,$B57))</f>
        <v/>
      </c>
      <c r="M57" s="42" t="str">
        <f>IF($B57="","",SUMIFS(pbp_Runs,pbp_Pitcher,$B57))</f>
        <v/>
      </c>
      <c r="N57" s="42" t="str">
        <f>IF($B57="","",SUMPRODUCT(COUNTIFS(pbp_PlayType,EM_Type,pbp_Pitcher,$B57)*EM_AB))</f>
        <v/>
      </c>
      <c r="O57" s="42" t="str">
        <f>IF($B57="","",SUMPRODUCT(COUNTIFS(pbp_PlayType,EM_Type,pbp_Pitcher,$B57)*EM_SF))</f>
        <v/>
      </c>
      <c r="P57" s="42" t="str">
        <f>IF($B57="","",SUMIFS(pbp_Pitches,pbp_Pitcher,$B57,pbp_PlayType,"?*"))</f>
        <v/>
      </c>
      <c r="Q57" s="60" t="str">
        <f t="shared" si="1"/>
        <v/>
      </c>
      <c r="R57" s="59" t="str">
        <f>IF($B57="","",IF(E57=0,"",1-SUMPRODUCT((pbp_Pitcher=$B57)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57)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57" s="59" t="str">
        <f>IF($B57="","",IF((SUMPRODUCT((pbp_Pitcher=$B57)*(LEN(pbp_PlayType)&gt;0)))=0,"",(SUMPRODUCT((pbp_Pitcher=$B57)*(LEN(pbp_PlayType)&gt;0)*ISNUMBER(MATCH(LEFT(TRIM(pbp_Seq)&amp;"/",FIND("/",TRIM(pbp_Seq)&amp;"/")-1),{"S","F","FT","FB","IN","MB","POS"},0))))/(SUMPRODUCT((pbp_Pitcher=$B57)*(LEN(pbp_PlayType)&gt;0)))))</f>
        <v/>
      </c>
      <c r="T57" s="59" t="str">
        <f t="shared" si="2"/>
        <v/>
      </c>
      <c r="U57" s="59" t="str">
        <f t="shared" si="3"/>
        <v/>
      </c>
      <c r="V57" s="59" t="str">
        <f t="shared" si="4"/>
        <v/>
      </c>
      <c r="W57" s="60" t="str">
        <f t="shared" si="5"/>
        <v/>
      </c>
      <c r="X57" s="60" t="str">
        <f t="shared" si="6"/>
        <v/>
      </c>
      <c r="Y57" s="58" t="str">
        <f t="shared" si="7"/>
        <v/>
      </c>
      <c r="Z57" s="58" t="str">
        <f t="shared" si="8"/>
        <v/>
      </c>
      <c r="AA57" s="62" t="str">
        <f>IF($B57="","",IF(OR(E57&lt;MinBF,X57=""),"",COUNTIFS($E$6:$E$255,"&gt;="&amp;MinBF,$X$6:$X$255,"&lt;"&amp;X57)+COUNTIFS($E$5:E56,"&gt;="&amp;MinBF,$X$5:X56,X57)+1))</f>
        <v/>
      </c>
    </row>
    <row r="58" spans="2:27" x14ac:dyDescent="0.2">
      <c r="B58" s="44" t="str">
        <f t="array" ref="B58">IFERROR(INDEX(pbp_Pitcher,MATCH(0,COUNTIF($B$5:B57,pbp_Pitcher)+(pbp_Pitcher=""),0)),"")</f>
        <v/>
      </c>
      <c r="C58" s="61" t="str">
        <f>IF($B58="","",IFERROR(INDEX(pbp_PitTeam,MATCH($B58,pbp_Pitcher,0)),""))</f>
        <v/>
      </c>
      <c r="D58" s="61" t="str">
        <f>IF($B58="","",IFERROR(INDEX(pbp_PitHand,MATCH($B58,pbp_Pitcher,0)),""))</f>
        <v/>
      </c>
      <c r="E58" s="42" t="str">
        <f>IF($B58="","",SUMPRODUCT(COUNTIFS(pbp_PlayType,EM_Type,pbp_Pitcher,$B58)*EM_PA))</f>
        <v/>
      </c>
      <c r="F58" s="42" t="str">
        <f>IF($B58="","",SUMIFS(pbp_Outs,pbp_Pitcher,$B58))</f>
        <v/>
      </c>
      <c r="G58" s="70" t="str">
        <f t="shared" si="0"/>
        <v/>
      </c>
      <c r="H58" s="42" t="str">
        <f>IF($B58="","",SUMPRODUCT(COUNTIFS(pbp_PlayType,EM_Type,pbp_Pitcher,$B58)*EM_H))</f>
        <v/>
      </c>
      <c r="I58" s="42" t="str">
        <f>IF($B58="","",SUMPRODUCT(COUNTIFS(pbp_PlayType,EM_Type,pbp_Pitcher,$B58)*EM_HR))</f>
        <v/>
      </c>
      <c r="J58" s="42" t="str">
        <f>IF($B58="","",SUMPRODUCT(COUNTIFS(pbp_PlayType,EM_Type,pbp_Pitcher,$B58)*EM_BB))</f>
        <v/>
      </c>
      <c r="K58" s="42" t="str">
        <f>IF($B58="","",SUMPRODUCT(COUNTIFS(pbp_PlayType,EM_Type,pbp_Pitcher,$B58)*EM_HBP))</f>
        <v/>
      </c>
      <c r="L58" s="42" t="str">
        <f>IF($B58="","",COUNTIFS(pbp_PlayType,"?*",pbp_Desc,"*struck out*",pbp_Pitcher,$B58))</f>
        <v/>
      </c>
      <c r="M58" s="42" t="str">
        <f>IF($B58="","",SUMIFS(pbp_Runs,pbp_Pitcher,$B58))</f>
        <v/>
      </c>
      <c r="N58" s="42" t="str">
        <f>IF($B58="","",SUMPRODUCT(COUNTIFS(pbp_PlayType,EM_Type,pbp_Pitcher,$B58)*EM_AB))</f>
        <v/>
      </c>
      <c r="O58" s="42" t="str">
        <f>IF($B58="","",SUMPRODUCT(COUNTIFS(pbp_PlayType,EM_Type,pbp_Pitcher,$B58)*EM_SF))</f>
        <v/>
      </c>
      <c r="P58" s="42" t="str">
        <f>IF($B58="","",SUMIFS(pbp_Pitches,pbp_Pitcher,$B58,pbp_PlayType,"?*"))</f>
        <v/>
      </c>
      <c r="Q58" s="60" t="str">
        <f t="shared" si="1"/>
        <v/>
      </c>
      <c r="R58" s="59" t="str">
        <f>IF($B58="","",IF(E58=0,"",1-SUMPRODUCT((pbp_Pitcher=$B58)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58)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58" s="59" t="str">
        <f>IF($B58="","",IF((SUMPRODUCT((pbp_Pitcher=$B58)*(LEN(pbp_PlayType)&gt;0)))=0,"",(SUMPRODUCT((pbp_Pitcher=$B58)*(LEN(pbp_PlayType)&gt;0)*ISNUMBER(MATCH(LEFT(TRIM(pbp_Seq)&amp;"/",FIND("/",TRIM(pbp_Seq)&amp;"/")-1),{"S","F","FT","FB","IN","MB","POS"},0))))/(SUMPRODUCT((pbp_Pitcher=$B58)*(LEN(pbp_PlayType)&gt;0)))))</f>
        <v/>
      </c>
      <c r="T58" s="59" t="str">
        <f t="shared" si="2"/>
        <v/>
      </c>
      <c r="U58" s="59" t="str">
        <f t="shared" si="3"/>
        <v/>
      </c>
      <c r="V58" s="59" t="str">
        <f t="shared" si="4"/>
        <v/>
      </c>
      <c r="W58" s="60" t="str">
        <f t="shared" si="5"/>
        <v/>
      </c>
      <c r="X58" s="60" t="str">
        <f t="shared" si="6"/>
        <v/>
      </c>
      <c r="Y58" s="58" t="str">
        <f t="shared" si="7"/>
        <v/>
      </c>
      <c r="Z58" s="58" t="str">
        <f t="shared" si="8"/>
        <v/>
      </c>
      <c r="AA58" s="62" t="str">
        <f>IF($B58="","",IF(OR(E58&lt;MinBF,X58=""),"",COUNTIFS($E$6:$E$255,"&gt;="&amp;MinBF,$X$6:$X$255,"&lt;"&amp;X58)+COUNTIFS($E$5:E57,"&gt;="&amp;MinBF,$X$5:X57,X58)+1))</f>
        <v/>
      </c>
    </row>
    <row r="59" spans="2:27" x14ac:dyDescent="0.2">
      <c r="B59" s="44" t="str">
        <f t="array" ref="B59">IFERROR(INDEX(pbp_Pitcher,MATCH(0,COUNTIF($B$5:B58,pbp_Pitcher)+(pbp_Pitcher=""),0)),"")</f>
        <v/>
      </c>
      <c r="C59" s="61" t="str">
        <f>IF($B59="","",IFERROR(INDEX(pbp_PitTeam,MATCH($B59,pbp_Pitcher,0)),""))</f>
        <v/>
      </c>
      <c r="D59" s="61" t="str">
        <f>IF($B59="","",IFERROR(INDEX(pbp_PitHand,MATCH($B59,pbp_Pitcher,0)),""))</f>
        <v/>
      </c>
      <c r="E59" s="42" t="str">
        <f>IF($B59="","",SUMPRODUCT(COUNTIFS(pbp_PlayType,EM_Type,pbp_Pitcher,$B59)*EM_PA))</f>
        <v/>
      </c>
      <c r="F59" s="42" t="str">
        <f>IF($B59="","",SUMIFS(pbp_Outs,pbp_Pitcher,$B59))</f>
        <v/>
      </c>
      <c r="G59" s="70" t="str">
        <f t="shared" si="0"/>
        <v/>
      </c>
      <c r="H59" s="42" t="str">
        <f>IF($B59="","",SUMPRODUCT(COUNTIFS(pbp_PlayType,EM_Type,pbp_Pitcher,$B59)*EM_H))</f>
        <v/>
      </c>
      <c r="I59" s="42" t="str">
        <f>IF($B59="","",SUMPRODUCT(COUNTIFS(pbp_PlayType,EM_Type,pbp_Pitcher,$B59)*EM_HR))</f>
        <v/>
      </c>
      <c r="J59" s="42" t="str">
        <f>IF($B59="","",SUMPRODUCT(COUNTIFS(pbp_PlayType,EM_Type,pbp_Pitcher,$B59)*EM_BB))</f>
        <v/>
      </c>
      <c r="K59" s="42" t="str">
        <f>IF($B59="","",SUMPRODUCT(COUNTIFS(pbp_PlayType,EM_Type,pbp_Pitcher,$B59)*EM_HBP))</f>
        <v/>
      </c>
      <c r="L59" s="42" t="str">
        <f>IF($B59="","",COUNTIFS(pbp_PlayType,"?*",pbp_Desc,"*struck out*",pbp_Pitcher,$B59))</f>
        <v/>
      </c>
      <c r="M59" s="42" t="str">
        <f>IF($B59="","",SUMIFS(pbp_Runs,pbp_Pitcher,$B59))</f>
        <v/>
      </c>
      <c r="N59" s="42" t="str">
        <f>IF($B59="","",SUMPRODUCT(COUNTIFS(pbp_PlayType,EM_Type,pbp_Pitcher,$B59)*EM_AB))</f>
        <v/>
      </c>
      <c r="O59" s="42" t="str">
        <f>IF($B59="","",SUMPRODUCT(COUNTIFS(pbp_PlayType,EM_Type,pbp_Pitcher,$B59)*EM_SF))</f>
        <v/>
      </c>
      <c r="P59" s="42" t="str">
        <f>IF($B59="","",SUMIFS(pbp_Pitches,pbp_Pitcher,$B59,pbp_PlayType,"?*"))</f>
        <v/>
      </c>
      <c r="Q59" s="60" t="str">
        <f t="shared" si="1"/>
        <v/>
      </c>
      <c r="R59" s="59" t="str">
        <f>IF($B59="","",IF(E59=0,"",1-SUMPRODUCT((pbp_Pitcher=$B59)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59)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59" s="59" t="str">
        <f>IF($B59="","",IF((SUMPRODUCT((pbp_Pitcher=$B59)*(LEN(pbp_PlayType)&gt;0)))=0,"",(SUMPRODUCT((pbp_Pitcher=$B59)*(LEN(pbp_PlayType)&gt;0)*ISNUMBER(MATCH(LEFT(TRIM(pbp_Seq)&amp;"/",FIND("/",TRIM(pbp_Seq)&amp;"/")-1),{"S","F","FT","FB","IN","MB","POS"},0))))/(SUMPRODUCT((pbp_Pitcher=$B59)*(LEN(pbp_PlayType)&gt;0)))))</f>
        <v/>
      </c>
      <c r="T59" s="59" t="str">
        <f t="shared" si="2"/>
        <v/>
      </c>
      <c r="U59" s="59" t="str">
        <f t="shared" si="3"/>
        <v/>
      </c>
      <c r="V59" s="59" t="str">
        <f t="shared" si="4"/>
        <v/>
      </c>
      <c r="W59" s="60" t="str">
        <f t="shared" si="5"/>
        <v/>
      </c>
      <c r="X59" s="60" t="str">
        <f t="shared" si="6"/>
        <v/>
      </c>
      <c r="Y59" s="58" t="str">
        <f t="shared" si="7"/>
        <v/>
      </c>
      <c r="Z59" s="58" t="str">
        <f t="shared" si="8"/>
        <v/>
      </c>
      <c r="AA59" s="62" t="str">
        <f>IF($B59="","",IF(OR(E59&lt;MinBF,X59=""),"",COUNTIFS($E$6:$E$255,"&gt;="&amp;MinBF,$X$6:$X$255,"&lt;"&amp;X59)+COUNTIFS($E$5:E58,"&gt;="&amp;MinBF,$X$5:X58,X59)+1))</f>
        <v/>
      </c>
    </row>
    <row r="60" spans="2:27" x14ac:dyDescent="0.2">
      <c r="B60" s="44" t="str">
        <f t="array" ref="B60">IFERROR(INDEX(pbp_Pitcher,MATCH(0,COUNTIF($B$5:B59,pbp_Pitcher)+(pbp_Pitcher=""),0)),"")</f>
        <v/>
      </c>
      <c r="C60" s="61" t="str">
        <f>IF($B60="","",IFERROR(INDEX(pbp_PitTeam,MATCH($B60,pbp_Pitcher,0)),""))</f>
        <v/>
      </c>
      <c r="D60" s="61" t="str">
        <f>IF($B60="","",IFERROR(INDEX(pbp_PitHand,MATCH($B60,pbp_Pitcher,0)),""))</f>
        <v/>
      </c>
      <c r="E60" s="42" t="str">
        <f>IF($B60="","",SUMPRODUCT(COUNTIFS(pbp_PlayType,EM_Type,pbp_Pitcher,$B60)*EM_PA))</f>
        <v/>
      </c>
      <c r="F60" s="42" t="str">
        <f>IF($B60="","",SUMIFS(pbp_Outs,pbp_Pitcher,$B60))</f>
        <v/>
      </c>
      <c r="G60" s="70" t="str">
        <f t="shared" si="0"/>
        <v/>
      </c>
      <c r="H60" s="42" t="str">
        <f>IF($B60="","",SUMPRODUCT(COUNTIFS(pbp_PlayType,EM_Type,pbp_Pitcher,$B60)*EM_H))</f>
        <v/>
      </c>
      <c r="I60" s="42" t="str">
        <f>IF($B60="","",SUMPRODUCT(COUNTIFS(pbp_PlayType,EM_Type,pbp_Pitcher,$B60)*EM_HR))</f>
        <v/>
      </c>
      <c r="J60" s="42" t="str">
        <f>IF($B60="","",SUMPRODUCT(COUNTIFS(pbp_PlayType,EM_Type,pbp_Pitcher,$B60)*EM_BB))</f>
        <v/>
      </c>
      <c r="K60" s="42" t="str">
        <f>IF($B60="","",SUMPRODUCT(COUNTIFS(pbp_PlayType,EM_Type,pbp_Pitcher,$B60)*EM_HBP))</f>
        <v/>
      </c>
      <c r="L60" s="42" t="str">
        <f>IF($B60="","",COUNTIFS(pbp_PlayType,"?*",pbp_Desc,"*struck out*",pbp_Pitcher,$B60))</f>
        <v/>
      </c>
      <c r="M60" s="42" t="str">
        <f>IF($B60="","",SUMIFS(pbp_Runs,pbp_Pitcher,$B60))</f>
        <v/>
      </c>
      <c r="N60" s="42" t="str">
        <f>IF($B60="","",SUMPRODUCT(COUNTIFS(pbp_PlayType,EM_Type,pbp_Pitcher,$B60)*EM_AB))</f>
        <v/>
      </c>
      <c r="O60" s="42" t="str">
        <f>IF($B60="","",SUMPRODUCT(COUNTIFS(pbp_PlayType,EM_Type,pbp_Pitcher,$B60)*EM_SF))</f>
        <v/>
      </c>
      <c r="P60" s="42" t="str">
        <f>IF($B60="","",SUMIFS(pbp_Pitches,pbp_Pitcher,$B60,pbp_PlayType,"?*"))</f>
        <v/>
      </c>
      <c r="Q60" s="60" t="str">
        <f t="shared" si="1"/>
        <v/>
      </c>
      <c r="R60" s="59" t="str">
        <f>IF($B60="","",IF(E60=0,"",1-SUMPRODUCT((pbp_Pitcher=$B60)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60)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60" s="59" t="str">
        <f>IF($B60="","",IF((SUMPRODUCT((pbp_Pitcher=$B60)*(LEN(pbp_PlayType)&gt;0)))=0,"",(SUMPRODUCT((pbp_Pitcher=$B60)*(LEN(pbp_PlayType)&gt;0)*ISNUMBER(MATCH(LEFT(TRIM(pbp_Seq)&amp;"/",FIND("/",TRIM(pbp_Seq)&amp;"/")-1),{"S","F","FT","FB","IN","MB","POS"},0))))/(SUMPRODUCT((pbp_Pitcher=$B60)*(LEN(pbp_PlayType)&gt;0)))))</f>
        <v/>
      </c>
      <c r="T60" s="59" t="str">
        <f t="shared" si="2"/>
        <v/>
      </c>
      <c r="U60" s="59" t="str">
        <f t="shared" si="3"/>
        <v/>
      </c>
      <c r="V60" s="59" t="str">
        <f t="shared" si="4"/>
        <v/>
      </c>
      <c r="W60" s="60" t="str">
        <f t="shared" si="5"/>
        <v/>
      </c>
      <c r="X60" s="60" t="str">
        <f t="shared" si="6"/>
        <v/>
      </c>
      <c r="Y60" s="58" t="str">
        <f t="shared" si="7"/>
        <v/>
      </c>
      <c r="Z60" s="58" t="str">
        <f t="shared" si="8"/>
        <v/>
      </c>
      <c r="AA60" s="62" t="str">
        <f>IF($B60="","",IF(OR(E60&lt;MinBF,X60=""),"",COUNTIFS($E$6:$E$255,"&gt;="&amp;MinBF,$X$6:$X$255,"&lt;"&amp;X60)+COUNTIFS($E$5:E59,"&gt;="&amp;MinBF,$X$5:X59,X60)+1))</f>
        <v/>
      </c>
    </row>
    <row r="61" spans="2:27" x14ac:dyDescent="0.2">
      <c r="B61" s="44" t="str">
        <f t="array" ref="B61">IFERROR(INDEX(pbp_Pitcher,MATCH(0,COUNTIF($B$5:B60,pbp_Pitcher)+(pbp_Pitcher=""),0)),"")</f>
        <v/>
      </c>
      <c r="C61" s="61" t="str">
        <f>IF($B61="","",IFERROR(INDEX(pbp_PitTeam,MATCH($B61,pbp_Pitcher,0)),""))</f>
        <v/>
      </c>
      <c r="D61" s="61" t="str">
        <f>IF($B61="","",IFERROR(INDEX(pbp_PitHand,MATCH($B61,pbp_Pitcher,0)),""))</f>
        <v/>
      </c>
      <c r="E61" s="42" t="str">
        <f>IF($B61="","",SUMPRODUCT(COUNTIFS(pbp_PlayType,EM_Type,pbp_Pitcher,$B61)*EM_PA))</f>
        <v/>
      </c>
      <c r="F61" s="42" t="str">
        <f>IF($B61="","",SUMIFS(pbp_Outs,pbp_Pitcher,$B61))</f>
        <v/>
      </c>
      <c r="G61" s="70" t="str">
        <f t="shared" si="0"/>
        <v/>
      </c>
      <c r="H61" s="42" t="str">
        <f>IF($B61="","",SUMPRODUCT(COUNTIFS(pbp_PlayType,EM_Type,pbp_Pitcher,$B61)*EM_H))</f>
        <v/>
      </c>
      <c r="I61" s="42" t="str">
        <f>IF($B61="","",SUMPRODUCT(COUNTIFS(pbp_PlayType,EM_Type,pbp_Pitcher,$B61)*EM_HR))</f>
        <v/>
      </c>
      <c r="J61" s="42" t="str">
        <f>IF($B61="","",SUMPRODUCT(COUNTIFS(pbp_PlayType,EM_Type,pbp_Pitcher,$B61)*EM_BB))</f>
        <v/>
      </c>
      <c r="K61" s="42" t="str">
        <f>IF($B61="","",SUMPRODUCT(COUNTIFS(pbp_PlayType,EM_Type,pbp_Pitcher,$B61)*EM_HBP))</f>
        <v/>
      </c>
      <c r="L61" s="42" t="str">
        <f>IF($B61="","",COUNTIFS(pbp_PlayType,"?*",pbp_Desc,"*struck out*",pbp_Pitcher,$B61))</f>
        <v/>
      </c>
      <c r="M61" s="42" t="str">
        <f>IF($B61="","",SUMIFS(pbp_Runs,pbp_Pitcher,$B61))</f>
        <v/>
      </c>
      <c r="N61" s="42" t="str">
        <f>IF($B61="","",SUMPRODUCT(COUNTIFS(pbp_PlayType,EM_Type,pbp_Pitcher,$B61)*EM_AB))</f>
        <v/>
      </c>
      <c r="O61" s="42" t="str">
        <f>IF($B61="","",SUMPRODUCT(COUNTIFS(pbp_PlayType,EM_Type,pbp_Pitcher,$B61)*EM_SF))</f>
        <v/>
      </c>
      <c r="P61" s="42" t="str">
        <f>IF($B61="","",SUMIFS(pbp_Pitches,pbp_Pitcher,$B61,pbp_PlayType,"?*"))</f>
        <v/>
      </c>
      <c r="Q61" s="60" t="str">
        <f t="shared" si="1"/>
        <v/>
      </c>
      <c r="R61" s="59" t="str">
        <f>IF($B61="","",IF(E61=0,"",1-SUMPRODUCT((pbp_Pitcher=$B61)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61)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61" s="59" t="str">
        <f>IF($B61="","",IF((SUMPRODUCT((pbp_Pitcher=$B61)*(LEN(pbp_PlayType)&gt;0)))=0,"",(SUMPRODUCT((pbp_Pitcher=$B61)*(LEN(pbp_PlayType)&gt;0)*ISNUMBER(MATCH(LEFT(TRIM(pbp_Seq)&amp;"/",FIND("/",TRIM(pbp_Seq)&amp;"/")-1),{"S","F","FT","FB","IN","MB","POS"},0))))/(SUMPRODUCT((pbp_Pitcher=$B61)*(LEN(pbp_PlayType)&gt;0)))))</f>
        <v/>
      </c>
      <c r="T61" s="59" t="str">
        <f t="shared" si="2"/>
        <v/>
      </c>
      <c r="U61" s="59" t="str">
        <f t="shared" si="3"/>
        <v/>
      </c>
      <c r="V61" s="59" t="str">
        <f t="shared" si="4"/>
        <v/>
      </c>
      <c r="W61" s="60" t="str">
        <f t="shared" si="5"/>
        <v/>
      </c>
      <c r="X61" s="60" t="str">
        <f t="shared" si="6"/>
        <v/>
      </c>
      <c r="Y61" s="58" t="str">
        <f t="shared" si="7"/>
        <v/>
      </c>
      <c r="Z61" s="58" t="str">
        <f t="shared" si="8"/>
        <v/>
      </c>
      <c r="AA61" s="62" t="str">
        <f>IF($B61="","",IF(OR(E61&lt;MinBF,X61=""),"",COUNTIFS($E$6:$E$255,"&gt;="&amp;MinBF,$X$6:$X$255,"&lt;"&amp;X61)+COUNTIFS($E$5:E60,"&gt;="&amp;MinBF,$X$5:X60,X61)+1))</f>
        <v/>
      </c>
    </row>
    <row r="62" spans="2:27" x14ac:dyDescent="0.2">
      <c r="B62" s="44" t="str">
        <f t="array" ref="B62">IFERROR(INDEX(pbp_Pitcher,MATCH(0,COUNTIF($B$5:B61,pbp_Pitcher)+(pbp_Pitcher=""),0)),"")</f>
        <v/>
      </c>
      <c r="C62" s="61" t="str">
        <f>IF($B62="","",IFERROR(INDEX(pbp_PitTeam,MATCH($B62,pbp_Pitcher,0)),""))</f>
        <v/>
      </c>
      <c r="D62" s="61" t="str">
        <f>IF($B62="","",IFERROR(INDEX(pbp_PitHand,MATCH($B62,pbp_Pitcher,0)),""))</f>
        <v/>
      </c>
      <c r="E62" s="42" t="str">
        <f>IF($B62="","",SUMPRODUCT(COUNTIFS(pbp_PlayType,EM_Type,pbp_Pitcher,$B62)*EM_PA))</f>
        <v/>
      </c>
      <c r="F62" s="42" t="str">
        <f>IF($B62="","",SUMIFS(pbp_Outs,pbp_Pitcher,$B62))</f>
        <v/>
      </c>
      <c r="G62" s="70" t="str">
        <f t="shared" si="0"/>
        <v/>
      </c>
      <c r="H62" s="42" t="str">
        <f>IF($B62="","",SUMPRODUCT(COUNTIFS(pbp_PlayType,EM_Type,pbp_Pitcher,$B62)*EM_H))</f>
        <v/>
      </c>
      <c r="I62" s="42" t="str">
        <f>IF($B62="","",SUMPRODUCT(COUNTIFS(pbp_PlayType,EM_Type,pbp_Pitcher,$B62)*EM_HR))</f>
        <v/>
      </c>
      <c r="J62" s="42" t="str">
        <f>IF($B62="","",SUMPRODUCT(COUNTIFS(pbp_PlayType,EM_Type,pbp_Pitcher,$B62)*EM_BB))</f>
        <v/>
      </c>
      <c r="K62" s="42" t="str">
        <f>IF($B62="","",SUMPRODUCT(COUNTIFS(pbp_PlayType,EM_Type,pbp_Pitcher,$B62)*EM_HBP))</f>
        <v/>
      </c>
      <c r="L62" s="42" t="str">
        <f>IF($B62="","",COUNTIFS(pbp_PlayType,"?*",pbp_Desc,"*struck out*",pbp_Pitcher,$B62))</f>
        <v/>
      </c>
      <c r="M62" s="42" t="str">
        <f>IF($B62="","",SUMIFS(pbp_Runs,pbp_Pitcher,$B62))</f>
        <v/>
      </c>
      <c r="N62" s="42" t="str">
        <f>IF($B62="","",SUMPRODUCT(COUNTIFS(pbp_PlayType,EM_Type,pbp_Pitcher,$B62)*EM_AB))</f>
        <v/>
      </c>
      <c r="O62" s="42" t="str">
        <f>IF($B62="","",SUMPRODUCT(COUNTIFS(pbp_PlayType,EM_Type,pbp_Pitcher,$B62)*EM_SF))</f>
        <v/>
      </c>
      <c r="P62" s="42" t="str">
        <f>IF($B62="","",SUMIFS(pbp_Pitches,pbp_Pitcher,$B62,pbp_PlayType,"?*"))</f>
        <v/>
      </c>
      <c r="Q62" s="60" t="str">
        <f t="shared" si="1"/>
        <v/>
      </c>
      <c r="R62" s="59" t="str">
        <f>IF($B62="","",IF(E62=0,"",1-SUMPRODUCT((pbp_Pitcher=$B62)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62)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62" s="59" t="str">
        <f>IF($B62="","",IF((SUMPRODUCT((pbp_Pitcher=$B62)*(LEN(pbp_PlayType)&gt;0)))=0,"",(SUMPRODUCT((pbp_Pitcher=$B62)*(LEN(pbp_PlayType)&gt;0)*ISNUMBER(MATCH(LEFT(TRIM(pbp_Seq)&amp;"/",FIND("/",TRIM(pbp_Seq)&amp;"/")-1),{"S","F","FT","FB","IN","MB","POS"},0))))/(SUMPRODUCT((pbp_Pitcher=$B62)*(LEN(pbp_PlayType)&gt;0)))))</f>
        <v/>
      </c>
      <c r="T62" s="59" t="str">
        <f t="shared" si="2"/>
        <v/>
      </c>
      <c r="U62" s="59" t="str">
        <f t="shared" si="3"/>
        <v/>
      </c>
      <c r="V62" s="59" t="str">
        <f t="shared" si="4"/>
        <v/>
      </c>
      <c r="W62" s="60" t="str">
        <f t="shared" si="5"/>
        <v/>
      </c>
      <c r="X62" s="60" t="str">
        <f t="shared" si="6"/>
        <v/>
      </c>
      <c r="Y62" s="58" t="str">
        <f t="shared" si="7"/>
        <v/>
      </c>
      <c r="Z62" s="58" t="str">
        <f t="shared" si="8"/>
        <v/>
      </c>
      <c r="AA62" s="62" t="str">
        <f>IF($B62="","",IF(OR(E62&lt;MinBF,X62=""),"",COUNTIFS($E$6:$E$255,"&gt;="&amp;MinBF,$X$6:$X$255,"&lt;"&amp;X62)+COUNTIFS($E$5:E61,"&gt;="&amp;MinBF,$X$5:X61,X62)+1))</f>
        <v/>
      </c>
    </row>
    <row r="63" spans="2:27" x14ac:dyDescent="0.2">
      <c r="B63" s="44" t="str">
        <f t="array" ref="B63">IFERROR(INDEX(pbp_Pitcher,MATCH(0,COUNTIF($B$5:B62,pbp_Pitcher)+(pbp_Pitcher=""),0)),"")</f>
        <v/>
      </c>
      <c r="C63" s="61" t="str">
        <f>IF($B63="","",IFERROR(INDEX(pbp_PitTeam,MATCH($B63,pbp_Pitcher,0)),""))</f>
        <v/>
      </c>
      <c r="D63" s="61" t="str">
        <f>IF($B63="","",IFERROR(INDEX(pbp_PitHand,MATCH($B63,pbp_Pitcher,0)),""))</f>
        <v/>
      </c>
      <c r="E63" s="42" t="str">
        <f>IF($B63="","",SUMPRODUCT(COUNTIFS(pbp_PlayType,EM_Type,pbp_Pitcher,$B63)*EM_PA))</f>
        <v/>
      </c>
      <c r="F63" s="42" t="str">
        <f>IF($B63="","",SUMIFS(pbp_Outs,pbp_Pitcher,$B63))</f>
        <v/>
      </c>
      <c r="G63" s="70" t="str">
        <f t="shared" si="0"/>
        <v/>
      </c>
      <c r="H63" s="42" t="str">
        <f>IF($B63="","",SUMPRODUCT(COUNTIFS(pbp_PlayType,EM_Type,pbp_Pitcher,$B63)*EM_H))</f>
        <v/>
      </c>
      <c r="I63" s="42" t="str">
        <f>IF($B63="","",SUMPRODUCT(COUNTIFS(pbp_PlayType,EM_Type,pbp_Pitcher,$B63)*EM_HR))</f>
        <v/>
      </c>
      <c r="J63" s="42" t="str">
        <f>IF($B63="","",SUMPRODUCT(COUNTIFS(pbp_PlayType,EM_Type,pbp_Pitcher,$B63)*EM_BB))</f>
        <v/>
      </c>
      <c r="K63" s="42" t="str">
        <f>IF($B63="","",SUMPRODUCT(COUNTIFS(pbp_PlayType,EM_Type,pbp_Pitcher,$B63)*EM_HBP))</f>
        <v/>
      </c>
      <c r="L63" s="42" t="str">
        <f>IF($B63="","",COUNTIFS(pbp_PlayType,"?*",pbp_Desc,"*struck out*",pbp_Pitcher,$B63))</f>
        <v/>
      </c>
      <c r="M63" s="42" t="str">
        <f>IF($B63="","",SUMIFS(pbp_Runs,pbp_Pitcher,$B63))</f>
        <v/>
      </c>
      <c r="N63" s="42" t="str">
        <f>IF($B63="","",SUMPRODUCT(COUNTIFS(pbp_PlayType,EM_Type,pbp_Pitcher,$B63)*EM_AB))</f>
        <v/>
      </c>
      <c r="O63" s="42" t="str">
        <f>IF($B63="","",SUMPRODUCT(COUNTIFS(pbp_PlayType,EM_Type,pbp_Pitcher,$B63)*EM_SF))</f>
        <v/>
      </c>
      <c r="P63" s="42" t="str">
        <f>IF($B63="","",SUMIFS(pbp_Pitches,pbp_Pitcher,$B63,pbp_PlayType,"?*"))</f>
        <v/>
      </c>
      <c r="Q63" s="60" t="str">
        <f t="shared" si="1"/>
        <v/>
      </c>
      <c r="R63" s="59" t="str">
        <f>IF($B63="","",IF(E63=0,"",1-SUMPRODUCT((pbp_Pitcher=$B63)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63)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63" s="59" t="str">
        <f>IF($B63="","",IF((SUMPRODUCT((pbp_Pitcher=$B63)*(LEN(pbp_PlayType)&gt;0)))=0,"",(SUMPRODUCT((pbp_Pitcher=$B63)*(LEN(pbp_PlayType)&gt;0)*ISNUMBER(MATCH(LEFT(TRIM(pbp_Seq)&amp;"/",FIND("/",TRIM(pbp_Seq)&amp;"/")-1),{"S","F","FT","FB","IN","MB","POS"},0))))/(SUMPRODUCT((pbp_Pitcher=$B63)*(LEN(pbp_PlayType)&gt;0)))))</f>
        <v/>
      </c>
      <c r="T63" s="59" t="str">
        <f t="shared" si="2"/>
        <v/>
      </c>
      <c r="U63" s="59" t="str">
        <f t="shared" si="3"/>
        <v/>
      </c>
      <c r="V63" s="59" t="str">
        <f t="shared" si="4"/>
        <v/>
      </c>
      <c r="W63" s="60" t="str">
        <f t="shared" si="5"/>
        <v/>
      </c>
      <c r="X63" s="60" t="str">
        <f t="shared" si="6"/>
        <v/>
      </c>
      <c r="Y63" s="58" t="str">
        <f t="shared" si="7"/>
        <v/>
      </c>
      <c r="Z63" s="58" t="str">
        <f t="shared" si="8"/>
        <v/>
      </c>
      <c r="AA63" s="62" t="str">
        <f>IF($B63="","",IF(OR(E63&lt;MinBF,X63=""),"",COUNTIFS($E$6:$E$255,"&gt;="&amp;MinBF,$X$6:$X$255,"&lt;"&amp;X63)+COUNTIFS($E$5:E62,"&gt;="&amp;MinBF,$X$5:X62,X63)+1))</f>
        <v/>
      </c>
    </row>
    <row r="64" spans="2:27" x14ac:dyDescent="0.2">
      <c r="B64" s="44" t="str">
        <f t="array" ref="B64">IFERROR(INDEX(pbp_Pitcher,MATCH(0,COUNTIF($B$5:B63,pbp_Pitcher)+(pbp_Pitcher=""),0)),"")</f>
        <v/>
      </c>
      <c r="C64" s="61" t="str">
        <f>IF($B64="","",IFERROR(INDEX(pbp_PitTeam,MATCH($B64,pbp_Pitcher,0)),""))</f>
        <v/>
      </c>
      <c r="D64" s="61" t="str">
        <f>IF($B64="","",IFERROR(INDEX(pbp_PitHand,MATCH($B64,pbp_Pitcher,0)),""))</f>
        <v/>
      </c>
      <c r="E64" s="42" t="str">
        <f>IF($B64="","",SUMPRODUCT(COUNTIFS(pbp_PlayType,EM_Type,pbp_Pitcher,$B64)*EM_PA))</f>
        <v/>
      </c>
      <c r="F64" s="42" t="str">
        <f>IF($B64="","",SUMIFS(pbp_Outs,pbp_Pitcher,$B64))</f>
        <v/>
      </c>
      <c r="G64" s="70" t="str">
        <f t="shared" si="0"/>
        <v/>
      </c>
      <c r="H64" s="42" t="str">
        <f>IF($B64="","",SUMPRODUCT(COUNTIFS(pbp_PlayType,EM_Type,pbp_Pitcher,$B64)*EM_H))</f>
        <v/>
      </c>
      <c r="I64" s="42" t="str">
        <f>IF($B64="","",SUMPRODUCT(COUNTIFS(pbp_PlayType,EM_Type,pbp_Pitcher,$B64)*EM_HR))</f>
        <v/>
      </c>
      <c r="J64" s="42" t="str">
        <f>IF($B64="","",SUMPRODUCT(COUNTIFS(pbp_PlayType,EM_Type,pbp_Pitcher,$B64)*EM_BB))</f>
        <v/>
      </c>
      <c r="K64" s="42" t="str">
        <f>IF($B64="","",SUMPRODUCT(COUNTIFS(pbp_PlayType,EM_Type,pbp_Pitcher,$B64)*EM_HBP))</f>
        <v/>
      </c>
      <c r="L64" s="42" t="str">
        <f>IF($B64="","",COUNTIFS(pbp_PlayType,"?*",pbp_Desc,"*struck out*",pbp_Pitcher,$B64))</f>
        <v/>
      </c>
      <c r="M64" s="42" t="str">
        <f>IF($B64="","",SUMIFS(pbp_Runs,pbp_Pitcher,$B64))</f>
        <v/>
      </c>
      <c r="N64" s="42" t="str">
        <f>IF($B64="","",SUMPRODUCT(COUNTIFS(pbp_PlayType,EM_Type,pbp_Pitcher,$B64)*EM_AB))</f>
        <v/>
      </c>
      <c r="O64" s="42" t="str">
        <f>IF($B64="","",SUMPRODUCT(COUNTIFS(pbp_PlayType,EM_Type,pbp_Pitcher,$B64)*EM_SF))</f>
        <v/>
      </c>
      <c r="P64" s="42" t="str">
        <f>IF($B64="","",SUMIFS(pbp_Pitches,pbp_Pitcher,$B64,pbp_PlayType,"?*"))</f>
        <v/>
      </c>
      <c r="Q64" s="60" t="str">
        <f t="shared" si="1"/>
        <v/>
      </c>
      <c r="R64" s="59" t="str">
        <f>IF($B64="","",IF(E64=0,"",1-SUMPRODUCT((pbp_Pitcher=$B64)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64)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64" s="59" t="str">
        <f>IF($B64="","",IF((SUMPRODUCT((pbp_Pitcher=$B64)*(LEN(pbp_PlayType)&gt;0)))=0,"",(SUMPRODUCT((pbp_Pitcher=$B64)*(LEN(pbp_PlayType)&gt;0)*ISNUMBER(MATCH(LEFT(TRIM(pbp_Seq)&amp;"/",FIND("/",TRIM(pbp_Seq)&amp;"/")-1),{"S","F","FT","FB","IN","MB","POS"},0))))/(SUMPRODUCT((pbp_Pitcher=$B64)*(LEN(pbp_PlayType)&gt;0)))))</f>
        <v/>
      </c>
      <c r="T64" s="59" t="str">
        <f t="shared" si="2"/>
        <v/>
      </c>
      <c r="U64" s="59" t="str">
        <f t="shared" si="3"/>
        <v/>
      </c>
      <c r="V64" s="59" t="str">
        <f t="shared" si="4"/>
        <v/>
      </c>
      <c r="W64" s="60" t="str">
        <f t="shared" si="5"/>
        <v/>
      </c>
      <c r="X64" s="60" t="str">
        <f t="shared" si="6"/>
        <v/>
      </c>
      <c r="Y64" s="58" t="str">
        <f t="shared" si="7"/>
        <v/>
      </c>
      <c r="Z64" s="58" t="str">
        <f t="shared" si="8"/>
        <v/>
      </c>
      <c r="AA64" s="62" t="str">
        <f>IF($B64="","",IF(OR(E64&lt;MinBF,X64=""),"",COUNTIFS($E$6:$E$255,"&gt;="&amp;MinBF,$X$6:$X$255,"&lt;"&amp;X64)+COUNTIFS($E$5:E63,"&gt;="&amp;MinBF,$X$5:X63,X64)+1))</f>
        <v/>
      </c>
    </row>
    <row r="65" spans="2:27" x14ac:dyDescent="0.2">
      <c r="B65" s="44" t="str">
        <f t="array" ref="B65">IFERROR(INDEX(pbp_Pitcher,MATCH(0,COUNTIF($B$5:B64,pbp_Pitcher)+(pbp_Pitcher=""),0)),"")</f>
        <v/>
      </c>
      <c r="C65" s="61" t="str">
        <f>IF($B65="","",IFERROR(INDEX(pbp_PitTeam,MATCH($B65,pbp_Pitcher,0)),""))</f>
        <v/>
      </c>
      <c r="D65" s="61" t="str">
        <f>IF($B65="","",IFERROR(INDEX(pbp_PitHand,MATCH($B65,pbp_Pitcher,0)),""))</f>
        <v/>
      </c>
      <c r="E65" s="42" t="str">
        <f>IF($B65="","",SUMPRODUCT(COUNTIFS(pbp_PlayType,EM_Type,pbp_Pitcher,$B65)*EM_PA))</f>
        <v/>
      </c>
      <c r="F65" s="42" t="str">
        <f>IF($B65="","",SUMIFS(pbp_Outs,pbp_Pitcher,$B65))</f>
        <v/>
      </c>
      <c r="G65" s="70" t="str">
        <f t="shared" si="0"/>
        <v/>
      </c>
      <c r="H65" s="42" t="str">
        <f>IF($B65="","",SUMPRODUCT(COUNTIFS(pbp_PlayType,EM_Type,pbp_Pitcher,$B65)*EM_H))</f>
        <v/>
      </c>
      <c r="I65" s="42" t="str">
        <f>IF($B65="","",SUMPRODUCT(COUNTIFS(pbp_PlayType,EM_Type,pbp_Pitcher,$B65)*EM_HR))</f>
        <v/>
      </c>
      <c r="J65" s="42" t="str">
        <f>IF($B65="","",SUMPRODUCT(COUNTIFS(pbp_PlayType,EM_Type,pbp_Pitcher,$B65)*EM_BB))</f>
        <v/>
      </c>
      <c r="K65" s="42" t="str">
        <f>IF($B65="","",SUMPRODUCT(COUNTIFS(pbp_PlayType,EM_Type,pbp_Pitcher,$B65)*EM_HBP))</f>
        <v/>
      </c>
      <c r="L65" s="42" t="str">
        <f>IF($B65="","",COUNTIFS(pbp_PlayType,"?*",pbp_Desc,"*struck out*",pbp_Pitcher,$B65))</f>
        <v/>
      </c>
      <c r="M65" s="42" t="str">
        <f>IF($B65="","",SUMIFS(pbp_Runs,pbp_Pitcher,$B65))</f>
        <v/>
      </c>
      <c r="N65" s="42" t="str">
        <f>IF($B65="","",SUMPRODUCT(COUNTIFS(pbp_PlayType,EM_Type,pbp_Pitcher,$B65)*EM_AB))</f>
        <v/>
      </c>
      <c r="O65" s="42" t="str">
        <f>IF($B65="","",SUMPRODUCT(COUNTIFS(pbp_PlayType,EM_Type,pbp_Pitcher,$B65)*EM_SF))</f>
        <v/>
      </c>
      <c r="P65" s="42" t="str">
        <f>IF($B65="","",SUMIFS(pbp_Pitches,pbp_Pitcher,$B65,pbp_PlayType,"?*"))</f>
        <v/>
      </c>
      <c r="Q65" s="60" t="str">
        <f t="shared" si="1"/>
        <v/>
      </c>
      <c r="R65" s="59" t="str">
        <f>IF($B65="","",IF(E65=0,"",1-SUMPRODUCT((pbp_Pitcher=$B65)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65)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65" s="59" t="str">
        <f>IF($B65="","",IF((SUMPRODUCT((pbp_Pitcher=$B65)*(LEN(pbp_PlayType)&gt;0)))=0,"",(SUMPRODUCT((pbp_Pitcher=$B65)*(LEN(pbp_PlayType)&gt;0)*ISNUMBER(MATCH(LEFT(TRIM(pbp_Seq)&amp;"/",FIND("/",TRIM(pbp_Seq)&amp;"/")-1),{"S","F","FT","FB","IN","MB","POS"},0))))/(SUMPRODUCT((pbp_Pitcher=$B65)*(LEN(pbp_PlayType)&gt;0)))))</f>
        <v/>
      </c>
      <c r="T65" s="59" t="str">
        <f t="shared" si="2"/>
        <v/>
      </c>
      <c r="U65" s="59" t="str">
        <f t="shared" si="3"/>
        <v/>
      </c>
      <c r="V65" s="59" t="str">
        <f t="shared" si="4"/>
        <v/>
      </c>
      <c r="W65" s="60" t="str">
        <f t="shared" si="5"/>
        <v/>
      </c>
      <c r="X65" s="60" t="str">
        <f t="shared" si="6"/>
        <v/>
      </c>
      <c r="Y65" s="58" t="str">
        <f t="shared" si="7"/>
        <v/>
      </c>
      <c r="Z65" s="58" t="str">
        <f t="shared" si="8"/>
        <v/>
      </c>
      <c r="AA65" s="62" t="str">
        <f>IF($B65="","",IF(OR(E65&lt;MinBF,X65=""),"",COUNTIFS($E$6:$E$255,"&gt;="&amp;MinBF,$X$6:$X$255,"&lt;"&amp;X65)+COUNTIFS($E$5:E64,"&gt;="&amp;MinBF,$X$5:X64,X65)+1))</f>
        <v/>
      </c>
    </row>
    <row r="66" spans="2:27" x14ac:dyDescent="0.2">
      <c r="B66" s="44" t="str">
        <f t="array" ref="B66">IFERROR(INDEX(pbp_Pitcher,MATCH(0,COUNTIF($B$5:B65,pbp_Pitcher)+(pbp_Pitcher=""),0)),"")</f>
        <v/>
      </c>
      <c r="C66" s="61" t="str">
        <f>IF($B66="","",IFERROR(INDEX(pbp_PitTeam,MATCH($B66,pbp_Pitcher,0)),""))</f>
        <v/>
      </c>
      <c r="D66" s="61" t="str">
        <f>IF($B66="","",IFERROR(INDEX(pbp_PitHand,MATCH($B66,pbp_Pitcher,0)),""))</f>
        <v/>
      </c>
      <c r="E66" s="42" t="str">
        <f>IF($B66="","",SUMPRODUCT(COUNTIFS(pbp_PlayType,EM_Type,pbp_Pitcher,$B66)*EM_PA))</f>
        <v/>
      </c>
      <c r="F66" s="42" t="str">
        <f>IF($B66="","",SUMIFS(pbp_Outs,pbp_Pitcher,$B66))</f>
        <v/>
      </c>
      <c r="G66" s="70" t="str">
        <f t="shared" si="0"/>
        <v/>
      </c>
      <c r="H66" s="42" t="str">
        <f>IF($B66="","",SUMPRODUCT(COUNTIFS(pbp_PlayType,EM_Type,pbp_Pitcher,$B66)*EM_H))</f>
        <v/>
      </c>
      <c r="I66" s="42" t="str">
        <f>IF($B66="","",SUMPRODUCT(COUNTIFS(pbp_PlayType,EM_Type,pbp_Pitcher,$B66)*EM_HR))</f>
        <v/>
      </c>
      <c r="J66" s="42" t="str">
        <f>IF($B66="","",SUMPRODUCT(COUNTIFS(pbp_PlayType,EM_Type,pbp_Pitcher,$B66)*EM_BB))</f>
        <v/>
      </c>
      <c r="K66" s="42" t="str">
        <f>IF($B66="","",SUMPRODUCT(COUNTIFS(pbp_PlayType,EM_Type,pbp_Pitcher,$B66)*EM_HBP))</f>
        <v/>
      </c>
      <c r="L66" s="42" t="str">
        <f>IF($B66="","",COUNTIFS(pbp_PlayType,"?*",pbp_Desc,"*struck out*",pbp_Pitcher,$B66))</f>
        <v/>
      </c>
      <c r="M66" s="42" t="str">
        <f>IF($B66="","",SUMIFS(pbp_Runs,pbp_Pitcher,$B66))</f>
        <v/>
      </c>
      <c r="N66" s="42" t="str">
        <f>IF($B66="","",SUMPRODUCT(COUNTIFS(pbp_PlayType,EM_Type,pbp_Pitcher,$B66)*EM_AB))</f>
        <v/>
      </c>
      <c r="O66" s="42" t="str">
        <f>IF($B66="","",SUMPRODUCT(COUNTIFS(pbp_PlayType,EM_Type,pbp_Pitcher,$B66)*EM_SF))</f>
        <v/>
      </c>
      <c r="P66" s="42" t="str">
        <f>IF($B66="","",SUMIFS(pbp_Pitches,pbp_Pitcher,$B66,pbp_PlayType,"?*"))</f>
        <v/>
      </c>
      <c r="Q66" s="60" t="str">
        <f t="shared" si="1"/>
        <v/>
      </c>
      <c r="R66" s="59" t="str">
        <f>IF($B66="","",IF(E66=0,"",1-SUMPRODUCT((pbp_Pitcher=$B66)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66)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66" s="59" t="str">
        <f>IF($B66="","",IF((SUMPRODUCT((pbp_Pitcher=$B66)*(LEN(pbp_PlayType)&gt;0)))=0,"",(SUMPRODUCT((pbp_Pitcher=$B66)*(LEN(pbp_PlayType)&gt;0)*ISNUMBER(MATCH(LEFT(TRIM(pbp_Seq)&amp;"/",FIND("/",TRIM(pbp_Seq)&amp;"/")-1),{"S","F","FT","FB","IN","MB","POS"},0))))/(SUMPRODUCT((pbp_Pitcher=$B66)*(LEN(pbp_PlayType)&gt;0)))))</f>
        <v/>
      </c>
      <c r="T66" s="59" t="str">
        <f t="shared" si="2"/>
        <v/>
      </c>
      <c r="U66" s="59" t="str">
        <f t="shared" si="3"/>
        <v/>
      </c>
      <c r="V66" s="59" t="str">
        <f t="shared" si="4"/>
        <v/>
      </c>
      <c r="W66" s="60" t="str">
        <f t="shared" si="5"/>
        <v/>
      </c>
      <c r="X66" s="60" t="str">
        <f t="shared" si="6"/>
        <v/>
      </c>
      <c r="Y66" s="58" t="str">
        <f t="shared" si="7"/>
        <v/>
      </c>
      <c r="Z66" s="58" t="str">
        <f t="shared" si="8"/>
        <v/>
      </c>
      <c r="AA66" s="62" t="str">
        <f>IF($B66="","",IF(OR(E66&lt;MinBF,X66=""),"",COUNTIFS($E$6:$E$255,"&gt;="&amp;MinBF,$X$6:$X$255,"&lt;"&amp;X66)+COUNTIFS($E$5:E65,"&gt;="&amp;MinBF,$X$5:X65,X66)+1))</f>
        <v/>
      </c>
    </row>
    <row r="67" spans="2:27" x14ac:dyDescent="0.2">
      <c r="B67" s="44" t="str">
        <f t="array" ref="B67">IFERROR(INDEX(pbp_Pitcher,MATCH(0,COUNTIF($B$5:B66,pbp_Pitcher)+(pbp_Pitcher=""),0)),"")</f>
        <v/>
      </c>
      <c r="C67" s="61" t="str">
        <f>IF($B67="","",IFERROR(INDEX(pbp_PitTeam,MATCH($B67,pbp_Pitcher,0)),""))</f>
        <v/>
      </c>
      <c r="D67" s="61" t="str">
        <f>IF($B67="","",IFERROR(INDEX(pbp_PitHand,MATCH($B67,pbp_Pitcher,0)),""))</f>
        <v/>
      </c>
      <c r="E67" s="42" t="str">
        <f>IF($B67="","",SUMPRODUCT(COUNTIFS(pbp_PlayType,EM_Type,pbp_Pitcher,$B67)*EM_PA))</f>
        <v/>
      </c>
      <c r="F67" s="42" t="str">
        <f>IF($B67="","",SUMIFS(pbp_Outs,pbp_Pitcher,$B67))</f>
        <v/>
      </c>
      <c r="G67" s="70" t="str">
        <f t="shared" si="0"/>
        <v/>
      </c>
      <c r="H67" s="42" t="str">
        <f>IF($B67="","",SUMPRODUCT(COUNTIFS(pbp_PlayType,EM_Type,pbp_Pitcher,$B67)*EM_H))</f>
        <v/>
      </c>
      <c r="I67" s="42" t="str">
        <f>IF($B67="","",SUMPRODUCT(COUNTIFS(pbp_PlayType,EM_Type,pbp_Pitcher,$B67)*EM_HR))</f>
        <v/>
      </c>
      <c r="J67" s="42" t="str">
        <f>IF($B67="","",SUMPRODUCT(COUNTIFS(pbp_PlayType,EM_Type,pbp_Pitcher,$B67)*EM_BB))</f>
        <v/>
      </c>
      <c r="K67" s="42" t="str">
        <f>IF($B67="","",SUMPRODUCT(COUNTIFS(pbp_PlayType,EM_Type,pbp_Pitcher,$B67)*EM_HBP))</f>
        <v/>
      </c>
      <c r="L67" s="42" t="str">
        <f>IF($B67="","",COUNTIFS(pbp_PlayType,"?*",pbp_Desc,"*struck out*",pbp_Pitcher,$B67))</f>
        <v/>
      </c>
      <c r="M67" s="42" t="str">
        <f>IF($B67="","",SUMIFS(pbp_Runs,pbp_Pitcher,$B67))</f>
        <v/>
      </c>
      <c r="N67" s="42" t="str">
        <f>IF($B67="","",SUMPRODUCT(COUNTIFS(pbp_PlayType,EM_Type,pbp_Pitcher,$B67)*EM_AB))</f>
        <v/>
      </c>
      <c r="O67" s="42" t="str">
        <f>IF($B67="","",SUMPRODUCT(COUNTIFS(pbp_PlayType,EM_Type,pbp_Pitcher,$B67)*EM_SF))</f>
        <v/>
      </c>
      <c r="P67" s="42" t="str">
        <f>IF($B67="","",SUMIFS(pbp_Pitches,pbp_Pitcher,$B67,pbp_PlayType,"?*"))</f>
        <v/>
      </c>
      <c r="Q67" s="60" t="str">
        <f t="shared" si="1"/>
        <v/>
      </c>
      <c r="R67" s="59" t="str">
        <f>IF($B67="","",IF(E67=0,"",1-SUMPRODUCT((pbp_Pitcher=$B67)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67)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67" s="59" t="str">
        <f>IF($B67="","",IF((SUMPRODUCT((pbp_Pitcher=$B67)*(LEN(pbp_PlayType)&gt;0)))=0,"",(SUMPRODUCT((pbp_Pitcher=$B67)*(LEN(pbp_PlayType)&gt;0)*ISNUMBER(MATCH(LEFT(TRIM(pbp_Seq)&amp;"/",FIND("/",TRIM(pbp_Seq)&amp;"/")-1),{"S","F","FT","FB","IN","MB","POS"},0))))/(SUMPRODUCT((pbp_Pitcher=$B67)*(LEN(pbp_PlayType)&gt;0)))))</f>
        <v/>
      </c>
      <c r="T67" s="59" t="str">
        <f t="shared" si="2"/>
        <v/>
      </c>
      <c r="U67" s="59" t="str">
        <f t="shared" si="3"/>
        <v/>
      </c>
      <c r="V67" s="59" t="str">
        <f t="shared" si="4"/>
        <v/>
      </c>
      <c r="W67" s="60" t="str">
        <f t="shared" si="5"/>
        <v/>
      </c>
      <c r="X67" s="60" t="str">
        <f t="shared" si="6"/>
        <v/>
      </c>
      <c r="Y67" s="58" t="str">
        <f t="shared" si="7"/>
        <v/>
      </c>
      <c r="Z67" s="58" t="str">
        <f t="shared" si="8"/>
        <v/>
      </c>
      <c r="AA67" s="62" t="str">
        <f>IF($B67="","",IF(OR(E67&lt;MinBF,X67=""),"",COUNTIFS($E$6:$E$255,"&gt;="&amp;MinBF,$X$6:$X$255,"&lt;"&amp;X67)+COUNTIFS($E$5:E66,"&gt;="&amp;MinBF,$X$5:X66,X67)+1))</f>
        <v/>
      </c>
    </row>
    <row r="68" spans="2:27" x14ac:dyDescent="0.2">
      <c r="B68" s="44" t="str">
        <f t="array" ref="B68">IFERROR(INDEX(pbp_Pitcher,MATCH(0,COUNTIF($B$5:B67,pbp_Pitcher)+(pbp_Pitcher=""),0)),"")</f>
        <v/>
      </c>
      <c r="C68" s="61" t="str">
        <f>IF($B68="","",IFERROR(INDEX(pbp_PitTeam,MATCH($B68,pbp_Pitcher,0)),""))</f>
        <v/>
      </c>
      <c r="D68" s="61" t="str">
        <f>IF($B68="","",IFERROR(INDEX(pbp_PitHand,MATCH($B68,pbp_Pitcher,0)),""))</f>
        <v/>
      </c>
      <c r="E68" s="42" t="str">
        <f>IF($B68="","",SUMPRODUCT(COUNTIFS(pbp_PlayType,EM_Type,pbp_Pitcher,$B68)*EM_PA))</f>
        <v/>
      </c>
      <c r="F68" s="42" t="str">
        <f>IF($B68="","",SUMIFS(pbp_Outs,pbp_Pitcher,$B68))</f>
        <v/>
      </c>
      <c r="G68" s="70" t="str">
        <f t="shared" si="0"/>
        <v/>
      </c>
      <c r="H68" s="42" t="str">
        <f>IF($B68="","",SUMPRODUCT(COUNTIFS(pbp_PlayType,EM_Type,pbp_Pitcher,$B68)*EM_H))</f>
        <v/>
      </c>
      <c r="I68" s="42" t="str">
        <f>IF($B68="","",SUMPRODUCT(COUNTIFS(pbp_PlayType,EM_Type,pbp_Pitcher,$B68)*EM_HR))</f>
        <v/>
      </c>
      <c r="J68" s="42" t="str">
        <f>IF($B68="","",SUMPRODUCT(COUNTIFS(pbp_PlayType,EM_Type,pbp_Pitcher,$B68)*EM_BB))</f>
        <v/>
      </c>
      <c r="K68" s="42" t="str">
        <f>IF($B68="","",SUMPRODUCT(COUNTIFS(pbp_PlayType,EM_Type,pbp_Pitcher,$B68)*EM_HBP))</f>
        <v/>
      </c>
      <c r="L68" s="42" t="str">
        <f>IF($B68="","",COUNTIFS(pbp_PlayType,"?*",pbp_Desc,"*struck out*",pbp_Pitcher,$B68))</f>
        <v/>
      </c>
      <c r="M68" s="42" t="str">
        <f>IF($B68="","",SUMIFS(pbp_Runs,pbp_Pitcher,$B68))</f>
        <v/>
      </c>
      <c r="N68" s="42" t="str">
        <f>IF($B68="","",SUMPRODUCT(COUNTIFS(pbp_PlayType,EM_Type,pbp_Pitcher,$B68)*EM_AB))</f>
        <v/>
      </c>
      <c r="O68" s="42" t="str">
        <f>IF($B68="","",SUMPRODUCT(COUNTIFS(pbp_PlayType,EM_Type,pbp_Pitcher,$B68)*EM_SF))</f>
        <v/>
      </c>
      <c r="P68" s="42" t="str">
        <f>IF($B68="","",SUMIFS(pbp_Pitches,pbp_Pitcher,$B68,pbp_PlayType,"?*"))</f>
        <v/>
      </c>
      <c r="Q68" s="60" t="str">
        <f t="shared" si="1"/>
        <v/>
      </c>
      <c r="R68" s="59" t="str">
        <f>IF($B68="","",IF(E68=0,"",1-SUMPRODUCT((pbp_Pitcher=$B68)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68)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68" s="59" t="str">
        <f>IF($B68="","",IF((SUMPRODUCT((pbp_Pitcher=$B68)*(LEN(pbp_PlayType)&gt;0)))=0,"",(SUMPRODUCT((pbp_Pitcher=$B68)*(LEN(pbp_PlayType)&gt;0)*ISNUMBER(MATCH(LEFT(TRIM(pbp_Seq)&amp;"/",FIND("/",TRIM(pbp_Seq)&amp;"/")-1),{"S","F","FT","FB","IN","MB","POS"},0))))/(SUMPRODUCT((pbp_Pitcher=$B68)*(LEN(pbp_PlayType)&gt;0)))))</f>
        <v/>
      </c>
      <c r="T68" s="59" t="str">
        <f t="shared" si="2"/>
        <v/>
      </c>
      <c r="U68" s="59" t="str">
        <f t="shared" si="3"/>
        <v/>
      </c>
      <c r="V68" s="59" t="str">
        <f t="shared" si="4"/>
        <v/>
      </c>
      <c r="W68" s="60" t="str">
        <f t="shared" si="5"/>
        <v/>
      </c>
      <c r="X68" s="60" t="str">
        <f t="shared" si="6"/>
        <v/>
      </c>
      <c r="Y68" s="58" t="str">
        <f t="shared" si="7"/>
        <v/>
      </c>
      <c r="Z68" s="58" t="str">
        <f t="shared" si="8"/>
        <v/>
      </c>
      <c r="AA68" s="62" t="str">
        <f>IF($B68="","",IF(OR(E68&lt;MinBF,X68=""),"",COUNTIFS($E$6:$E$255,"&gt;="&amp;MinBF,$X$6:$X$255,"&lt;"&amp;X68)+COUNTIFS($E$5:E67,"&gt;="&amp;MinBF,$X$5:X67,X68)+1))</f>
        <v/>
      </c>
    </row>
    <row r="69" spans="2:27" x14ac:dyDescent="0.2">
      <c r="B69" s="44" t="str">
        <f t="array" ref="B69">IFERROR(INDEX(pbp_Pitcher,MATCH(0,COUNTIF($B$5:B68,pbp_Pitcher)+(pbp_Pitcher=""),0)),"")</f>
        <v/>
      </c>
      <c r="C69" s="61" t="str">
        <f>IF($B69="","",IFERROR(INDEX(pbp_PitTeam,MATCH($B69,pbp_Pitcher,0)),""))</f>
        <v/>
      </c>
      <c r="D69" s="61" t="str">
        <f>IF($B69="","",IFERROR(INDEX(pbp_PitHand,MATCH($B69,pbp_Pitcher,0)),""))</f>
        <v/>
      </c>
      <c r="E69" s="42" t="str">
        <f>IF($B69="","",SUMPRODUCT(COUNTIFS(pbp_PlayType,EM_Type,pbp_Pitcher,$B69)*EM_PA))</f>
        <v/>
      </c>
      <c r="F69" s="42" t="str">
        <f>IF($B69="","",SUMIFS(pbp_Outs,pbp_Pitcher,$B69))</f>
        <v/>
      </c>
      <c r="G69" s="70" t="str">
        <f t="shared" si="0"/>
        <v/>
      </c>
      <c r="H69" s="42" t="str">
        <f>IF($B69="","",SUMPRODUCT(COUNTIFS(pbp_PlayType,EM_Type,pbp_Pitcher,$B69)*EM_H))</f>
        <v/>
      </c>
      <c r="I69" s="42" t="str">
        <f>IF($B69="","",SUMPRODUCT(COUNTIFS(pbp_PlayType,EM_Type,pbp_Pitcher,$B69)*EM_HR))</f>
        <v/>
      </c>
      <c r="J69" s="42" t="str">
        <f>IF($B69="","",SUMPRODUCT(COUNTIFS(pbp_PlayType,EM_Type,pbp_Pitcher,$B69)*EM_BB))</f>
        <v/>
      </c>
      <c r="K69" s="42" t="str">
        <f>IF($B69="","",SUMPRODUCT(COUNTIFS(pbp_PlayType,EM_Type,pbp_Pitcher,$B69)*EM_HBP))</f>
        <v/>
      </c>
      <c r="L69" s="42" t="str">
        <f>IF($B69="","",COUNTIFS(pbp_PlayType,"?*",pbp_Desc,"*struck out*",pbp_Pitcher,$B69))</f>
        <v/>
      </c>
      <c r="M69" s="42" t="str">
        <f>IF($B69="","",SUMIFS(pbp_Runs,pbp_Pitcher,$B69))</f>
        <v/>
      </c>
      <c r="N69" s="42" t="str">
        <f>IF($B69="","",SUMPRODUCT(COUNTIFS(pbp_PlayType,EM_Type,pbp_Pitcher,$B69)*EM_AB))</f>
        <v/>
      </c>
      <c r="O69" s="42" t="str">
        <f>IF($B69="","",SUMPRODUCT(COUNTIFS(pbp_PlayType,EM_Type,pbp_Pitcher,$B69)*EM_SF))</f>
        <v/>
      </c>
      <c r="P69" s="42" t="str">
        <f>IF($B69="","",SUMIFS(pbp_Pitches,pbp_Pitcher,$B69,pbp_PlayType,"?*"))</f>
        <v/>
      </c>
      <c r="Q69" s="60" t="str">
        <f t="shared" si="1"/>
        <v/>
      </c>
      <c r="R69" s="59" t="str">
        <f>IF($B69="","",IF(E69=0,"",1-SUMPRODUCT((pbp_Pitcher=$B69)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69)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69" s="59" t="str">
        <f>IF($B69="","",IF((SUMPRODUCT((pbp_Pitcher=$B69)*(LEN(pbp_PlayType)&gt;0)))=0,"",(SUMPRODUCT((pbp_Pitcher=$B69)*(LEN(pbp_PlayType)&gt;0)*ISNUMBER(MATCH(LEFT(TRIM(pbp_Seq)&amp;"/",FIND("/",TRIM(pbp_Seq)&amp;"/")-1),{"S","F","FT","FB","IN","MB","POS"},0))))/(SUMPRODUCT((pbp_Pitcher=$B69)*(LEN(pbp_PlayType)&gt;0)))))</f>
        <v/>
      </c>
      <c r="T69" s="59" t="str">
        <f t="shared" si="2"/>
        <v/>
      </c>
      <c r="U69" s="59" t="str">
        <f t="shared" si="3"/>
        <v/>
      </c>
      <c r="V69" s="59" t="str">
        <f t="shared" si="4"/>
        <v/>
      </c>
      <c r="W69" s="60" t="str">
        <f t="shared" si="5"/>
        <v/>
      </c>
      <c r="X69" s="60" t="str">
        <f t="shared" si="6"/>
        <v/>
      </c>
      <c r="Y69" s="58" t="str">
        <f t="shared" si="7"/>
        <v/>
      </c>
      <c r="Z69" s="58" t="str">
        <f t="shared" si="8"/>
        <v/>
      </c>
      <c r="AA69" s="62" t="str">
        <f>IF($B69="","",IF(OR(E69&lt;MinBF,X69=""),"",COUNTIFS($E$6:$E$255,"&gt;="&amp;MinBF,$X$6:$X$255,"&lt;"&amp;X69)+COUNTIFS($E$5:E68,"&gt;="&amp;MinBF,$X$5:X68,X69)+1))</f>
        <v/>
      </c>
    </row>
    <row r="70" spans="2:27" x14ac:dyDescent="0.2">
      <c r="B70" s="44" t="str">
        <f t="array" ref="B70">IFERROR(INDEX(pbp_Pitcher,MATCH(0,COUNTIF($B$5:B69,pbp_Pitcher)+(pbp_Pitcher=""),0)),"")</f>
        <v/>
      </c>
      <c r="C70" s="61" t="str">
        <f>IF($B70="","",IFERROR(INDEX(pbp_PitTeam,MATCH($B70,pbp_Pitcher,0)),""))</f>
        <v/>
      </c>
      <c r="D70" s="61" t="str">
        <f>IF($B70="","",IFERROR(INDEX(pbp_PitHand,MATCH($B70,pbp_Pitcher,0)),""))</f>
        <v/>
      </c>
      <c r="E70" s="42" t="str">
        <f>IF($B70="","",SUMPRODUCT(COUNTIFS(pbp_PlayType,EM_Type,pbp_Pitcher,$B70)*EM_PA))</f>
        <v/>
      </c>
      <c r="F70" s="42" t="str">
        <f>IF($B70="","",SUMIFS(pbp_Outs,pbp_Pitcher,$B70))</f>
        <v/>
      </c>
      <c r="G70" s="70" t="str">
        <f t="shared" ref="G70:G133" si="9">IF($B70="","",INT(F70/3)+MOD(F70,3)/10)</f>
        <v/>
      </c>
      <c r="H70" s="42" t="str">
        <f>IF($B70="","",SUMPRODUCT(COUNTIFS(pbp_PlayType,EM_Type,pbp_Pitcher,$B70)*EM_H))</f>
        <v/>
      </c>
      <c r="I70" s="42" t="str">
        <f>IF($B70="","",SUMPRODUCT(COUNTIFS(pbp_PlayType,EM_Type,pbp_Pitcher,$B70)*EM_HR))</f>
        <v/>
      </c>
      <c r="J70" s="42" t="str">
        <f>IF($B70="","",SUMPRODUCT(COUNTIFS(pbp_PlayType,EM_Type,pbp_Pitcher,$B70)*EM_BB))</f>
        <v/>
      </c>
      <c r="K70" s="42" t="str">
        <f>IF($B70="","",SUMPRODUCT(COUNTIFS(pbp_PlayType,EM_Type,pbp_Pitcher,$B70)*EM_HBP))</f>
        <v/>
      </c>
      <c r="L70" s="42" t="str">
        <f>IF($B70="","",COUNTIFS(pbp_PlayType,"?*",pbp_Desc,"*struck out*",pbp_Pitcher,$B70))</f>
        <v/>
      </c>
      <c r="M70" s="42" t="str">
        <f>IF($B70="","",SUMIFS(pbp_Runs,pbp_Pitcher,$B70))</f>
        <v/>
      </c>
      <c r="N70" s="42" t="str">
        <f>IF($B70="","",SUMPRODUCT(COUNTIFS(pbp_PlayType,EM_Type,pbp_Pitcher,$B70)*EM_AB))</f>
        <v/>
      </c>
      <c r="O70" s="42" t="str">
        <f>IF($B70="","",SUMPRODUCT(COUNTIFS(pbp_PlayType,EM_Type,pbp_Pitcher,$B70)*EM_SF))</f>
        <v/>
      </c>
      <c r="P70" s="42" t="str">
        <f>IF($B70="","",SUMIFS(pbp_Pitches,pbp_Pitcher,$B70,pbp_PlayType,"?*"))</f>
        <v/>
      </c>
      <c r="Q70" s="60" t="str">
        <f t="shared" ref="Q70:Q133" si="10">IF($B70="","",IF((E70)=0,"",(P70)/(E70)))</f>
        <v/>
      </c>
      <c r="R70" s="59" t="str">
        <f>IF($B70="","",IF(E70=0,"",1-SUMPRODUCT((pbp_Pitcher=$B70)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70)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70" s="59" t="str">
        <f>IF($B70="","",IF((SUMPRODUCT((pbp_Pitcher=$B70)*(LEN(pbp_PlayType)&gt;0)))=0,"",(SUMPRODUCT((pbp_Pitcher=$B70)*(LEN(pbp_PlayType)&gt;0)*ISNUMBER(MATCH(LEFT(TRIM(pbp_Seq)&amp;"/",FIND("/",TRIM(pbp_Seq)&amp;"/")-1),{"S","F","FT","FB","IN","MB","POS"},0))))/(SUMPRODUCT((pbp_Pitcher=$B70)*(LEN(pbp_PlayType)&gt;0)))))</f>
        <v/>
      </c>
      <c r="T70" s="59" t="str">
        <f t="shared" ref="T70:T133" si="11">IF($B70="","",IF((E70)=0,"",(L70)/(E70)))</f>
        <v/>
      </c>
      <c r="U70" s="59" t="str">
        <f t="shared" ref="U70:U133" si="12">IF($B70="","",IF((E70)=0,"",(J70)/(E70)))</f>
        <v/>
      </c>
      <c r="V70" s="59" t="str">
        <f t="shared" ref="V70:V133" si="13">IF($B70="","",IF(E70=0,"",T70-U70))</f>
        <v/>
      </c>
      <c r="W70" s="60" t="str">
        <f t="shared" ref="W70:W133" si="14">IF($B70="","",IF((F70)=0,"",(3*(H70+J70))/(F70)))</f>
        <v/>
      </c>
      <c r="X70" s="60" t="str">
        <f t="shared" ref="X70:X133" si="15">IF($B70="","",IF(F70=0,"",(13*I70+3*(J70+K70)-2*L70)/(F70/3)+FIP_C))</f>
        <v/>
      </c>
      <c r="Y70" s="58" t="str">
        <f t="shared" ref="Y70:Y133" si="16">IF($B70="","",IF((N70)=0,"",(H70)/(N70)))</f>
        <v/>
      </c>
      <c r="Z70" s="58" t="str">
        <f t="shared" ref="Z70:Z133" si="17">IF($B70="","",IF(((N70-L70-I70+O70))=0,"",((H70-I70))/((N70-L70-I70+O70))))</f>
        <v/>
      </c>
      <c r="AA70" s="62" t="str">
        <f>IF($B70="","",IF(OR(E70&lt;MinBF,X70=""),"",COUNTIFS($E$6:$E$255,"&gt;="&amp;MinBF,$X$6:$X$255,"&lt;"&amp;X70)+COUNTIFS($E$5:E69,"&gt;="&amp;MinBF,$X$5:X69,X70)+1))</f>
        <v/>
      </c>
    </row>
    <row r="71" spans="2:27" x14ac:dyDescent="0.2">
      <c r="B71" s="44" t="str">
        <f t="array" ref="B71">IFERROR(INDEX(pbp_Pitcher,MATCH(0,COUNTIF($B$5:B70,pbp_Pitcher)+(pbp_Pitcher=""),0)),"")</f>
        <v/>
      </c>
      <c r="C71" s="61" t="str">
        <f>IF($B71="","",IFERROR(INDEX(pbp_PitTeam,MATCH($B71,pbp_Pitcher,0)),""))</f>
        <v/>
      </c>
      <c r="D71" s="61" t="str">
        <f>IF($B71="","",IFERROR(INDEX(pbp_PitHand,MATCH($B71,pbp_Pitcher,0)),""))</f>
        <v/>
      </c>
      <c r="E71" s="42" t="str">
        <f>IF($B71="","",SUMPRODUCT(COUNTIFS(pbp_PlayType,EM_Type,pbp_Pitcher,$B71)*EM_PA))</f>
        <v/>
      </c>
      <c r="F71" s="42" t="str">
        <f>IF($B71="","",SUMIFS(pbp_Outs,pbp_Pitcher,$B71))</f>
        <v/>
      </c>
      <c r="G71" s="70" t="str">
        <f t="shared" si="9"/>
        <v/>
      </c>
      <c r="H71" s="42" t="str">
        <f>IF($B71="","",SUMPRODUCT(COUNTIFS(pbp_PlayType,EM_Type,pbp_Pitcher,$B71)*EM_H))</f>
        <v/>
      </c>
      <c r="I71" s="42" t="str">
        <f>IF($B71="","",SUMPRODUCT(COUNTIFS(pbp_PlayType,EM_Type,pbp_Pitcher,$B71)*EM_HR))</f>
        <v/>
      </c>
      <c r="J71" s="42" t="str">
        <f>IF($B71="","",SUMPRODUCT(COUNTIFS(pbp_PlayType,EM_Type,pbp_Pitcher,$B71)*EM_BB))</f>
        <v/>
      </c>
      <c r="K71" s="42" t="str">
        <f>IF($B71="","",SUMPRODUCT(COUNTIFS(pbp_PlayType,EM_Type,pbp_Pitcher,$B71)*EM_HBP))</f>
        <v/>
      </c>
      <c r="L71" s="42" t="str">
        <f>IF($B71="","",COUNTIFS(pbp_PlayType,"?*",pbp_Desc,"*struck out*",pbp_Pitcher,$B71))</f>
        <v/>
      </c>
      <c r="M71" s="42" t="str">
        <f>IF($B71="","",SUMIFS(pbp_Runs,pbp_Pitcher,$B71))</f>
        <v/>
      </c>
      <c r="N71" s="42" t="str">
        <f>IF($B71="","",SUMPRODUCT(COUNTIFS(pbp_PlayType,EM_Type,pbp_Pitcher,$B71)*EM_AB))</f>
        <v/>
      </c>
      <c r="O71" s="42" t="str">
        <f>IF($B71="","",SUMPRODUCT(COUNTIFS(pbp_PlayType,EM_Type,pbp_Pitcher,$B71)*EM_SF))</f>
        <v/>
      </c>
      <c r="P71" s="42" t="str">
        <f>IF($B71="","",SUMIFS(pbp_Pitches,pbp_Pitcher,$B71,pbp_PlayType,"?*"))</f>
        <v/>
      </c>
      <c r="Q71" s="60" t="str">
        <f t="shared" si="10"/>
        <v/>
      </c>
      <c r="R71" s="59" t="str">
        <f>IF($B71="","",IF(E71=0,"",1-SUMPRODUCT((pbp_Pitcher=$B71)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71)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71" s="59" t="str">
        <f>IF($B71="","",IF((SUMPRODUCT((pbp_Pitcher=$B71)*(LEN(pbp_PlayType)&gt;0)))=0,"",(SUMPRODUCT((pbp_Pitcher=$B71)*(LEN(pbp_PlayType)&gt;0)*ISNUMBER(MATCH(LEFT(TRIM(pbp_Seq)&amp;"/",FIND("/",TRIM(pbp_Seq)&amp;"/")-1),{"S","F","FT","FB","IN","MB","POS"},0))))/(SUMPRODUCT((pbp_Pitcher=$B71)*(LEN(pbp_PlayType)&gt;0)))))</f>
        <v/>
      </c>
      <c r="T71" s="59" t="str">
        <f t="shared" si="11"/>
        <v/>
      </c>
      <c r="U71" s="59" t="str">
        <f t="shared" si="12"/>
        <v/>
      </c>
      <c r="V71" s="59" t="str">
        <f t="shared" si="13"/>
        <v/>
      </c>
      <c r="W71" s="60" t="str">
        <f t="shared" si="14"/>
        <v/>
      </c>
      <c r="X71" s="60" t="str">
        <f t="shared" si="15"/>
        <v/>
      </c>
      <c r="Y71" s="58" t="str">
        <f t="shared" si="16"/>
        <v/>
      </c>
      <c r="Z71" s="58" t="str">
        <f t="shared" si="17"/>
        <v/>
      </c>
      <c r="AA71" s="62" t="str">
        <f>IF($B71="","",IF(OR(E71&lt;MinBF,X71=""),"",COUNTIFS($E$6:$E$255,"&gt;="&amp;MinBF,$X$6:$X$255,"&lt;"&amp;X71)+COUNTIFS($E$5:E70,"&gt;="&amp;MinBF,$X$5:X70,X71)+1))</f>
        <v/>
      </c>
    </row>
    <row r="72" spans="2:27" x14ac:dyDescent="0.2">
      <c r="B72" s="44" t="str">
        <f t="array" ref="B72">IFERROR(INDEX(pbp_Pitcher,MATCH(0,COUNTIF($B$5:B71,pbp_Pitcher)+(pbp_Pitcher=""),0)),"")</f>
        <v/>
      </c>
      <c r="C72" s="61" t="str">
        <f>IF($B72="","",IFERROR(INDEX(pbp_PitTeam,MATCH($B72,pbp_Pitcher,0)),""))</f>
        <v/>
      </c>
      <c r="D72" s="61" t="str">
        <f>IF($B72="","",IFERROR(INDEX(pbp_PitHand,MATCH($B72,pbp_Pitcher,0)),""))</f>
        <v/>
      </c>
      <c r="E72" s="42" t="str">
        <f>IF($B72="","",SUMPRODUCT(COUNTIFS(pbp_PlayType,EM_Type,pbp_Pitcher,$B72)*EM_PA))</f>
        <v/>
      </c>
      <c r="F72" s="42" t="str">
        <f>IF($B72="","",SUMIFS(pbp_Outs,pbp_Pitcher,$B72))</f>
        <v/>
      </c>
      <c r="G72" s="70" t="str">
        <f t="shared" si="9"/>
        <v/>
      </c>
      <c r="H72" s="42" t="str">
        <f>IF($B72="","",SUMPRODUCT(COUNTIFS(pbp_PlayType,EM_Type,pbp_Pitcher,$B72)*EM_H))</f>
        <v/>
      </c>
      <c r="I72" s="42" t="str">
        <f>IF($B72="","",SUMPRODUCT(COUNTIFS(pbp_PlayType,EM_Type,pbp_Pitcher,$B72)*EM_HR))</f>
        <v/>
      </c>
      <c r="J72" s="42" t="str">
        <f>IF($B72="","",SUMPRODUCT(COUNTIFS(pbp_PlayType,EM_Type,pbp_Pitcher,$B72)*EM_BB))</f>
        <v/>
      </c>
      <c r="K72" s="42" t="str">
        <f>IF($B72="","",SUMPRODUCT(COUNTIFS(pbp_PlayType,EM_Type,pbp_Pitcher,$B72)*EM_HBP))</f>
        <v/>
      </c>
      <c r="L72" s="42" t="str">
        <f>IF($B72="","",COUNTIFS(pbp_PlayType,"?*",pbp_Desc,"*struck out*",pbp_Pitcher,$B72))</f>
        <v/>
      </c>
      <c r="M72" s="42" t="str">
        <f>IF($B72="","",SUMIFS(pbp_Runs,pbp_Pitcher,$B72))</f>
        <v/>
      </c>
      <c r="N72" s="42" t="str">
        <f>IF($B72="","",SUMPRODUCT(COUNTIFS(pbp_PlayType,EM_Type,pbp_Pitcher,$B72)*EM_AB))</f>
        <v/>
      </c>
      <c r="O72" s="42" t="str">
        <f>IF($B72="","",SUMPRODUCT(COUNTIFS(pbp_PlayType,EM_Type,pbp_Pitcher,$B72)*EM_SF))</f>
        <v/>
      </c>
      <c r="P72" s="42" t="str">
        <f>IF($B72="","",SUMIFS(pbp_Pitches,pbp_Pitcher,$B72,pbp_PlayType,"?*"))</f>
        <v/>
      </c>
      <c r="Q72" s="60" t="str">
        <f t="shared" si="10"/>
        <v/>
      </c>
      <c r="R72" s="59" t="str">
        <f>IF($B72="","",IF(E72=0,"",1-SUMPRODUCT((pbp_Pitcher=$B72)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72)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72" s="59" t="str">
        <f>IF($B72="","",IF((SUMPRODUCT((pbp_Pitcher=$B72)*(LEN(pbp_PlayType)&gt;0)))=0,"",(SUMPRODUCT((pbp_Pitcher=$B72)*(LEN(pbp_PlayType)&gt;0)*ISNUMBER(MATCH(LEFT(TRIM(pbp_Seq)&amp;"/",FIND("/",TRIM(pbp_Seq)&amp;"/")-1),{"S","F","FT","FB","IN","MB","POS"},0))))/(SUMPRODUCT((pbp_Pitcher=$B72)*(LEN(pbp_PlayType)&gt;0)))))</f>
        <v/>
      </c>
      <c r="T72" s="59" t="str">
        <f t="shared" si="11"/>
        <v/>
      </c>
      <c r="U72" s="59" t="str">
        <f t="shared" si="12"/>
        <v/>
      </c>
      <c r="V72" s="59" t="str">
        <f t="shared" si="13"/>
        <v/>
      </c>
      <c r="W72" s="60" t="str">
        <f t="shared" si="14"/>
        <v/>
      </c>
      <c r="X72" s="60" t="str">
        <f t="shared" si="15"/>
        <v/>
      </c>
      <c r="Y72" s="58" t="str">
        <f t="shared" si="16"/>
        <v/>
      </c>
      <c r="Z72" s="58" t="str">
        <f t="shared" si="17"/>
        <v/>
      </c>
      <c r="AA72" s="62" t="str">
        <f>IF($B72="","",IF(OR(E72&lt;MinBF,X72=""),"",COUNTIFS($E$6:$E$255,"&gt;="&amp;MinBF,$X$6:$X$255,"&lt;"&amp;X72)+COUNTIFS($E$5:E71,"&gt;="&amp;MinBF,$X$5:X71,X72)+1))</f>
        <v/>
      </c>
    </row>
    <row r="73" spans="2:27" x14ac:dyDescent="0.2">
      <c r="B73" s="44" t="str">
        <f t="array" ref="B73">IFERROR(INDEX(pbp_Pitcher,MATCH(0,COUNTIF($B$5:B72,pbp_Pitcher)+(pbp_Pitcher=""),0)),"")</f>
        <v/>
      </c>
      <c r="C73" s="61" t="str">
        <f>IF($B73="","",IFERROR(INDEX(pbp_PitTeam,MATCH($B73,pbp_Pitcher,0)),""))</f>
        <v/>
      </c>
      <c r="D73" s="61" t="str">
        <f>IF($B73="","",IFERROR(INDEX(pbp_PitHand,MATCH($B73,pbp_Pitcher,0)),""))</f>
        <v/>
      </c>
      <c r="E73" s="42" t="str">
        <f>IF($B73="","",SUMPRODUCT(COUNTIFS(pbp_PlayType,EM_Type,pbp_Pitcher,$B73)*EM_PA))</f>
        <v/>
      </c>
      <c r="F73" s="42" t="str">
        <f>IF($B73="","",SUMIFS(pbp_Outs,pbp_Pitcher,$B73))</f>
        <v/>
      </c>
      <c r="G73" s="70" t="str">
        <f t="shared" si="9"/>
        <v/>
      </c>
      <c r="H73" s="42" t="str">
        <f>IF($B73="","",SUMPRODUCT(COUNTIFS(pbp_PlayType,EM_Type,pbp_Pitcher,$B73)*EM_H))</f>
        <v/>
      </c>
      <c r="I73" s="42" t="str">
        <f>IF($B73="","",SUMPRODUCT(COUNTIFS(pbp_PlayType,EM_Type,pbp_Pitcher,$B73)*EM_HR))</f>
        <v/>
      </c>
      <c r="J73" s="42" t="str">
        <f>IF($B73="","",SUMPRODUCT(COUNTIFS(pbp_PlayType,EM_Type,pbp_Pitcher,$B73)*EM_BB))</f>
        <v/>
      </c>
      <c r="K73" s="42" t="str">
        <f>IF($B73="","",SUMPRODUCT(COUNTIFS(pbp_PlayType,EM_Type,pbp_Pitcher,$B73)*EM_HBP))</f>
        <v/>
      </c>
      <c r="L73" s="42" t="str">
        <f>IF($B73="","",COUNTIFS(pbp_PlayType,"?*",pbp_Desc,"*struck out*",pbp_Pitcher,$B73))</f>
        <v/>
      </c>
      <c r="M73" s="42" t="str">
        <f>IF($B73="","",SUMIFS(pbp_Runs,pbp_Pitcher,$B73))</f>
        <v/>
      </c>
      <c r="N73" s="42" t="str">
        <f>IF($B73="","",SUMPRODUCT(COUNTIFS(pbp_PlayType,EM_Type,pbp_Pitcher,$B73)*EM_AB))</f>
        <v/>
      </c>
      <c r="O73" s="42" t="str">
        <f>IF($B73="","",SUMPRODUCT(COUNTIFS(pbp_PlayType,EM_Type,pbp_Pitcher,$B73)*EM_SF))</f>
        <v/>
      </c>
      <c r="P73" s="42" t="str">
        <f>IF($B73="","",SUMIFS(pbp_Pitches,pbp_Pitcher,$B73,pbp_PlayType,"?*"))</f>
        <v/>
      </c>
      <c r="Q73" s="60" t="str">
        <f t="shared" si="10"/>
        <v/>
      </c>
      <c r="R73" s="59" t="str">
        <f>IF($B73="","",IF(E73=0,"",1-SUMPRODUCT((pbp_Pitcher=$B73)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73)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73" s="59" t="str">
        <f>IF($B73="","",IF((SUMPRODUCT((pbp_Pitcher=$B73)*(LEN(pbp_PlayType)&gt;0)))=0,"",(SUMPRODUCT((pbp_Pitcher=$B73)*(LEN(pbp_PlayType)&gt;0)*ISNUMBER(MATCH(LEFT(TRIM(pbp_Seq)&amp;"/",FIND("/",TRIM(pbp_Seq)&amp;"/")-1),{"S","F","FT","FB","IN","MB","POS"},0))))/(SUMPRODUCT((pbp_Pitcher=$B73)*(LEN(pbp_PlayType)&gt;0)))))</f>
        <v/>
      </c>
      <c r="T73" s="59" t="str">
        <f t="shared" si="11"/>
        <v/>
      </c>
      <c r="U73" s="59" t="str">
        <f t="shared" si="12"/>
        <v/>
      </c>
      <c r="V73" s="59" t="str">
        <f t="shared" si="13"/>
        <v/>
      </c>
      <c r="W73" s="60" t="str">
        <f t="shared" si="14"/>
        <v/>
      </c>
      <c r="X73" s="60" t="str">
        <f t="shared" si="15"/>
        <v/>
      </c>
      <c r="Y73" s="58" t="str">
        <f t="shared" si="16"/>
        <v/>
      </c>
      <c r="Z73" s="58" t="str">
        <f t="shared" si="17"/>
        <v/>
      </c>
      <c r="AA73" s="62" t="str">
        <f>IF($B73="","",IF(OR(E73&lt;MinBF,X73=""),"",COUNTIFS($E$6:$E$255,"&gt;="&amp;MinBF,$X$6:$X$255,"&lt;"&amp;X73)+COUNTIFS($E$5:E72,"&gt;="&amp;MinBF,$X$5:X72,X73)+1))</f>
        <v/>
      </c>
    </row>
    <row r="74" spans="2:27" x14ac:dyDescent="0.2">
      <c r="B74" s="44" t="str">
        <f t="array" ref="B74">IFERROR(INDEX(pbp_Pitcher,MATCH(0,COUNTIF($B$5:B73,pbp_Pitcher)+(pbp_Pitcher=""),0)),"")</f>
        <v/>
      </c>
      <c r="C74" s="61" t="str">
        <f>IF($B74="","",IFERROR(INDEX(pbp_PitTeam,MATCH($B74,pbp_Pitcher,0)),""))</f>
        <v/>
      </c>
      <c r="D74" s="61" t="str">
        <f>IF($B74="","",IFERROR(INDEX(pbp_PitHand,MATCH($B74,pbp_Pitcher,0)),""))</f>
        <v/>
      </c>
      <c r="E74" s="42" t="str">
        <f>IF($B74="","",SUMPRODUCT(COUNTIFS(pbp_PlayType,EM_Type,pbp_Pitcher,$B74)*EM_PA))</f>
        <v/>
      </c>
      <c r="F74" s="42" t="str">
        <f>IF($B74="","",SUMIFS(pbp_Outs,pbp_Pitcher,$B74))</f>
        <v/>
      </c>
      <c r="G74" s="70" t="str">
        <f t="shared" si="9"/>
        <v/>
      </c>
      <c r="H74" s="42" t="str">
        <f>IF($B74="","",SUMPRODUCT(COUNTIFS(pbp_PlayType,EM_Type,pbp_Pitcher,$B74)*EM_H))</f>
        <v/>
      </c>
      <c r="I74" s="42" t="str">
        <f>IF($B74="","",SUMPRODUCT(COUNTIFS(pbp_PlayType,EM_Type,pbp_Pitcher,$B74)*EM_HR))</f>
        <v/>
      </c>
      <c r="J74" s="42" t="str">
        <f>IF($B74="","",SUMPRODUCT(COUNTIFS(pbp_PlayType,EM_Type,pbp_Pitcher,$B74)*EM_BB))</f>
        <v/>
      </c>
      <c r="K74" s="42" t="str">
        <f>IF($B74="","",SUMPRODUCT(COUNTIFS(pbp_PlayType,EM_Type,pbp_Pitcher,$B74)*EM_HBP))</f>
        <v/>
      </c>
      <c r="L74" s="42" t="str">
        <f>IF($B74="","",COUNTIFS(pbp_PlayType,"?*",pbp_Desc,"*struck out*",pbp_Pitcher,$B74))</f>
        <v/>
      </c>
      <c r="M74" s="42" t="str">
        <f>IF($B74="","",SUMIFS(pbp_Runs,pbp_Pitcher,$B74))</f>
        <v/>
      </c>
      <c r="N74" s="42" t="str">
        <f>IF($B74="","",SUMPRODUCT(COUNTIFS(pbp_PlayType,EM_Type,pbp_Pitcher,$B74)*EM_AB))</f>
        <v/>
      </c>
      <c r="O74" s="42" t="str">
        <f>IF($B74="","",SUMPRODUCT(COUNTIFS(pbp_PlayType,EM_Type,pbp_Pitcher,$B74)*EM_SF))</f>
        <v/>
      </c>
      <c r="P74" s="42" t="str">
        <f>IF($B74="","",SUMIFS(pbp_Pitches,pbp_Pitcher,$B74,pbp_PlayType,"?*"))</f>
        <v/>
      </c>
      <c r="Q74" s="60" t="str">
        <f t="shared" si="10"/>
        <v/>
      </c>
      <c r="R74" s="59" t="str">
        <f>IF($B74="","",IF(E74=0,"",1-SUMPRODUCT((pbp_Pitcher=$B74)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74)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74" s="59" t="str">
        <f>IF($B74="","",IF((SUMPRODUCT((pbp_Pitcher=$B74)*(LEN(pbp_PlayType)&gt;0)))=0,"",(SUMPRODUCT((pbp_Pitcher=$B74)*(LEN(pbp_PlayType)&gt;0)*ISNUMBER(MATCH(LEFT(TRIM(pbp_Seq)&amp;"/",FIND("/",TRIM(pbp_Seq)&amp;"/")-1),{"S","F","FT","FB","IN","MB","POS"},0))))/(SUMPRODUCT((pbp_Pitcher=$B74)*(LEN(pbp_PlayType)&gt;0)))))</f>
        <v/>
      </c>
      <c r="T74" s="59" t="str">
        <f t="shared" si="11"/>
        <v/>
      </c>
      <c r="U74" s="59" t="str">
        <f t="shared" si="12"/>
        <v/>
      </c>
      <c r="V74" s="59" t="str">
        <f t="shared" si="13"/>
        <v/>
      </c>
      <c r="W74" s="60" t="str">
        <f t="shared" si="14"/>
        <v/>
      </c>
      <c r="X74" s="60" t="str">
        <f t="shared" si="15"/>
        <v/>
      </c>
      <c r="Y74" s="58" t="str">
        <f t="shared" si="16"/>
        <v/>
      </c>
      <c r="Z74" s="58" t="str">
        <f t="shared" si="17"/>
        <v/>
      </c>
      <c r="AA74" s="62" t="str">
        <f>IF($B74="","",IF(OR(E74&lt;MinBF,X74=""),"",COUNTIFS($E$6:$E$255,"&gt;="&amp;MinBF,$X$6:$X$255,"&lt;"&amp;X74)+COUNTIFS($E$5:E73,"&gt;="&amp;MinBF,$X$5:X73,X74)+1))</f>
        <v/>
      </c>
    </row>
    <row r="75" spans="2:27" x14ac:dyDescent="0.2">
      <c r="B75" s="44" t="str">
        <f t="array" ref="B75">IFERROR(INDEX(pbp_Pitcher,MATCH(0,COUNTIF($B$5:B74,pbp_Pitcher)+(pbp_Pitcher=""),0)),"")</f>
        <v/>
      </c>
      <c r="C75" s="61" t="str">
        <f>IF($B75="","",IFERROR(INDEX(pbp_PitTeam,MATCH($B75,pbp_Pitcher,0)),""))</f>
        <v/>
      </c>
      <c r="D75" s="61" t="str">
        <f>IF($B75="","",IFERROR(INDEX(pbp_PitHand,MATCH($B75,pbp_Pitcher,0)),""))</f>
        <v/>
      </c>
      <c r="E75" s="42" t="str">
        <f>IF($B75="","",SUMPRODUCT(COUNTIFS(pbp_PlayType,EM_Type,pbp_Pitcher,$B75)*EM_PA))</f>
        <v/>
      </c>
      <c r="F75" s="42" t="str">
        <f>IF($B75="","",SUMIFS(pbp_Outs,pbp_Pitcher,$B75))</f>
        <v/>
      </c>
      <c r="G75" s="70" t="str">
        <f t="shared" si="9"/>
        <v/>
      </c>
      <c r="H75" s="42" t="str">
        <f>IF($B75="","",SUMPRODUCT(COUNTIFS(pbp_PlayType,EM_Type,pbp_Pitcher,$B75)*EM_H))</f>
        <v/>
      </c>
      <c r="I75" s="42" t="str">
        <f>IF($B75="","",SUMPRODUCT(COUNTIFS(pbp_PlayType,EM_Type,pbp_Pitcher,$B75)*EM_HR))</f>
        <v/>
      </c>
      <c r="J75" s="42" t="str">
        <f>IF($B75="","",SUMPRODUCT(COUNTIFS(pbp_PlayType,EM_Type,pbp_Pitcher,$B75)*EM_BB))</f>
        <v/>
      </c>
      <c r="K75" s="42" t="str">
        <f>IF($B75="","",SUMPRODUCT(COUNTIFS(pbp_PlayType,EM_Type,pbp_Pitcher,$B75)*EM_HBP))</f>
        <v/>
      </c>
      <c r="L75" s="42" t="str">
        <f>IF($B75="","",COUNTIFS(pbp_PlayType,"?*",pbp_Desc,"*struck out*",pbp_Pitcher,$B75))</f>
        <v/>
      </c>
      <c r="M75" s="42" t="str">
        <f>IF($B75="","",SUMIFS(pbp_Runs,pbp_Pitcher,$B75))</f>
        <v/>
      </c>
      <c r="N75" s="42" t="str">
        <f>IF($B75="","",SUMPRODUCT(COUNTIFS(pbp_PlayType,EM_Type,pbp_Pitcher,$B75)*EM_AB))</f>
        <v/>
      </c>
      <c r="O75" s="42" t="str">
        <f>IF($B75="","",SUMPRODUCT(COUNTIFS(pbp_PlayType,EM_Type,pbp_Pitcher,$B75)*EM_SF))</f>
        <v/>
      </c>
      <c r="P75" s="42" t="str">
        <f>IF($B75="","",SUMIFS(pbp_Pitches,pbp_Pitcher,$B75,pbp_PlayType,"?*"))</f>
        <v/>
      </c>
      <c r="Q75" s="60" t="str">
        <f t="shared" si="10"/>
        <v/>
      </c>
      <c r="R75" s="59" t="str">
        <f>IF($B75="","",IF(E75=0,"",1-SUMPRODUCT((pbp_Pitcher=$B75)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75)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75" s="59" t="str">
        <f>IF($B75="","",IF((SUMPRODUCT((pbp_Pitcher=$B75)*(LEN(pbp_PlayType)&gt;0)))=0,"",(SUMPRODUCT((pbp_Pitcher=$B75)*(LEN(pbp_PlayType)&gt;0)*ISNUMBER(MATCH(LEFT(TRIM(pbp_Seq)&amp;"/",FIND("/",TRIM(pbp_Seq)&amp;"/")-1),{"S","F","FT","FB","IN","MB","POS"},0))))/(SUMPRODUCT((pbp_Pitcher=$B75)*(LEN(pbp_PlayType)&gt;0)))))</f>
        <v/>
      </c>
      <c r="T75" s="59" t="str">
        <f t="shared" si="11"/>
        <v/>
      </c>
      <c r="U75" s="59" t="str">
        <f t="shared" si="12"/>
        <v/>
      </c>
      <c r="V75" s="59" t="str">
        <f t="shared" si="13"/>
        <v/>
      </c>
      <c r="W75" s="60" t="str">
        <f t="shared" si="14"/>
        <v/>
      </c>
      <c r="X75" s="60" t="str">
        <f t="shared" si="15"/>
        <v/>
      </c>
      <c r="Y75" s="58" t="str">
        <f t="shared" si="16"/>
        <v/>
      </c>
      <c r="Z75" s="58" t="str">
        <f t="shared" si="17"/>
        <v/>
      </c>
      <c r="AA75" s="62" t="str">
        <f>IF($B75="","",IF(OR(E75&lt;MinBF,X75=""),"",COUNTIFS($E$6:$E$255,"&gt;="&amp;MinBF,$X$6:$X$255,"&lt;"&amp;X75)+COUNTIFS($E$5:E74,"&gt;="&amp;MinBF,$X$5:X74,X75)+1))</f>
        <v/>
      </c>
    </row>
    <row r="76" spans="2:27" x14ac:dyDescent="0.2">
      <c r="B76" s="44" t="str">
        <f t="array" ref="B76">IFERROR(INDEX(pbp_Pitcher,MATCH(0,COUNTIF($B$5:B75,pbp_Pitcher)+(pbp_Pitcher=""),0)),"")</f>
        <v/>
      </c>
      <c r="C76" s="61" t="str">
        <f>IF($B76="","",IFERROR(INDEX(pbp_PitTeam,MATCH($B76,pbp_Pitcher,0)),""))</f>
        <v/>
      </c>
      <c r="D76" s="61" t="str">
        <f>IF($B76="","",IFERROR(INDEX(pbp_PitHand,MATCH($B76,pbp_Pitcher,0)),""))</f>
        <v/>
      </c>
      <c r="E76" s="42" t="str">
        <f>IF($B76="","",SUMPRODUCT(COUNTIFS(pbp_PlayType,EM_Type,pbp_Pitcher,$B76)*EM_PA))</f>
        <v/>
      </c>
      <c r="F76" s="42" t="str">
        <f>IF($B76="","",SUMIFS(pbp_Outs,pbp_Pitcher,$B76))</f>
        <v/>
      </c>
      <c r="G76" s="70" t="str">
        <f t="shared" si="9"/>
        <v/>
      </c>
      <c r="H76" s="42" t="str">
        <f>IF($B76="","",SUMPRODUCT(COUNTIFS(pbp_PlayType,EM_Type,pbp_Pitcher,$B76)*EM_H))</f>
        <v/>
      </c>
      <c r="I76" s="42" t="str">
        <f>IF($B76="","",SUMPRODUCT(COUNTIFS(pbp_PlayType,EM_Type,pbp_Pitcher,$B76)*EM_HR))</f>
        <v/>
      </c>
      <c r="J76" s="42" t="str">
        <f>IF($B76="","",SUMPRODUCT(COUNTIFS(pbp_PlayType,EM_Type,pbp_Pitcher,$B76)*EM_BB))</f>
        <v/>
      </c>
      <c r="K76" s="42" t="str">
        <f>IF($B76="","",SUMPRODUCT(COUNTIFS(pbp_PlayType,EM_Type,pbp_Pitcher,$B76)*EM_HBP))</f>
        <v/>
      </c>
      <c r="L76" s="42" t="str">
        <f>IF($B76="","",COUNTIFS(pbp_PlayType,"?*",pbp_Desc,"*struck out*",pbp_Pitcher,$B76))</f>
        <v/>
      </c>
      <c r="M76" s="42" t="str">
        <f>IF($B76="","",SUMIFS(pbp_Runs,pbp_Pitcher,$B76))</f>
        <v/>
      </c>
      <c r="N76" s="42" t="str">
        <f>IF($B76="","",SUMPRODUCT(COUNTIFS(pbp_PlayType,EM_Type,pbp_Pitcher,$B76)*EM_AB))</f>
        <v/>
      </c>
      <c r="O76" s="42" t="str">
        <f>IF($B76="","",SUMPRODUCT(COUNTIFS(pbp_PlayType,EM_Type,pbp_Pitcher,$B76)*EM_SF))</f>
        <v/>
      </c>
      <c r="P76" s="42" t="str">
        <f>IF($B76="","",SUMIFS(pbp_Pitches,pbp_Pitcher,$B76,pbp_PlayType,"?*"))</f>
        <v/>
      </c>
      <c r="Q76" s="60" t="str">
        <f t="shared" si="10"/>
        <v/>
      </c>
      <c r="R76" s="59" t="str">
        <f>IF($B76="","",IF(E76=0,"",1-SUMPRODUCT((pbp_Pitcher=$B76)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76)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76" s="59" t="str">
        <f>IF($B76="","",IF((SUMPRODUCT((pbp_Pitcher=$B76)*(LEN(pbp_PlayType)&gt;0)))=0,"",(SUMPRODUCT((pbp_Pitcher=$B76)*(LEN(pbp_PlayType)&gt;0)*ISNUMBER(MATCH(LEFT(TRIM(pbp_Seq)&amp;"/",FIND("/",TRIM(pbp_Seq)&amp;"/")-1),{"S","F","FT","FB","IN","MB","POS"},0))))/(SUMPRODUCT((pbp_Pitcher=$B76)*(LEN(pbp_PlayType)&gt;0)))))</f>
        <v/>
      </c>
      <c r="T76" s="59" t="str">
        <f t="shared" si="11"/>
        <v/>
      </c>
      <c r="U76" s="59" t="str">
        <f t="shared" si="12"/>
        <v/>
      </c>
      <c r="V76" s="59" t="str">
        <f t="shared" si="13"/>
        <v/>
      </c>
      <c r="W76" s="60" t="str">
        <f t="shared" si="14"/>
        <v/>
      </c>
      <c r="X76" s="60" t="str">
        <f t="shared" si="15"/>
        <v/>
      </c>
      <c r="Y76" s="58" t="str">
        <f t="shared" si="16"/>
        <v/>
      </c>
      <c r="Z76" s="58" t="str">
        <f t="shared" si="17"/>
        <v/>
      </c>
      <c r="AA76" s="62" t="str">
        <f>IF($B76="","",IF(OR(E76&lt;MinBF,X76=""),"",COUNTIFS($E$6:$E$255,"&gt;="&amp;MinBF,$X$6:$X$255,"&lt;"&amp;X76)+COUNTIFS($E$5:E75,"&gt;="&amp;MinBF,$X$5:X75,X76)+1))</f>
        <v/>
      </c>
    </row>
    <row r="77" spans="2:27" x14ac:dyDescent="0.2">
      <c r="B77" s="44" t="str">
        <f t="array" ref="B77">IFERROR(INDEX(pbp_Pitcher,MATCH(0,COUNTIF($B$5:B76,pbp_Pitcher)+(pbp_Pitcher=""),0)),"")</f>
        <v/>
      </c>
      <c r="C77" s="61" t="str">
        <f>IF($B77="","",IFERROR(INDEX(pbp_PitTeam,MATCH($B77,pbp_Pitcher,0)),""))</f>
        <v/>
      </c>
      <c r="D77" s="61" t="str">
        <f>IF($B77="","",IFERROR(INDEX(pbp_PitHand,MATCH($B77,pbp_Pitcher,0)),""))</f>
        <v/>
      </c>
      <c r="E77" s="42" t="str">
        <f>IF($B77="","",SUMPRODUCT(COUNTIFS(pbp_PlayType,EM_Type,pbp_Pitcher,$B77)*EM_PA))</f>
        <v/>
      </c>
      <c r="F77" s="42" t="str">
        <f>IF($B77="","",SUMIFS(pbp_Outs,pbp_Pitcher,$B77))</f>
        <v/>
      </c>
      <c r="G77" s="70" t="str">
        <f t="shared" si="9"/>
        <v/>
      </c>
      <c r="H77" s="42" t="str">
        <f>IF($B77="","",SUMPRODUCT(COUNTIFS(pbp_PlayType,EM_Type,pbp_Pitcher,$B77)*EM_H))</f>
        <v/>
      </c>
      <c r="I77" s="42" t="str">
        <f>IF($B77="","",SUMPRODUCT(COUNTIFS(pbp_PlayType,EM_Type,pbp_Pitcher,$B77)*EM_HR))</f>
        <v/>
      </c>
      <c r="J77" s="42" t="str">
        <f>IF($B77="","",SUMPRODUCT(COUNTIFS(pbp_PlayType,EM_Type,pbp_Pitcher,$B77)*EM_BB))</f>
        <v/>
      </c>
      <c r="K77" s="42" t="str">
        <f>IF($B77="","",SUMPRODUCT(COUNTIFS(pbp_PlayType,EM_Type,pbp_Pitcher,$B77)*EM_HBP))</f>
        <v/>
      </c>
      <c r="L77" s="42" t="str">
        <f>IF($B77="","",COUNTIFS(pbp_PlayType,"?*",pbp_Desc,"*struck out*",pbp_Pitcher,$B77))</f>
        <v/>
      </c>
      <c r="M77" s="42" t="str">
        <f>IF($B77="","",SUMIFS(pbp_Runs,pbp_Pitcher,$B77))</f>
        <v/>
      </c>
      <c r="N77" s="42" t="str">
        <f>IF($B77="","",SUMPRODUCT(COUNTIFS(pbp_PlayType,EM_Type,pbp_Pitcher,$B77)*EM_AB))</f>
        <v/>
      </c>
      <c r="O77" s="42" t="str">
        <f>IF($B77="","",SUMPRODUCT(COUNTIFS(pbp_PlayType,EM_Type,pbp_Pitcher,$B77)*EM_SF))</f>
        <v/>
      </c>
      <c r="P77" s="42" t="str">
        <f>IF($B77="","",SUMIFS(pbp_Pitches,pbp_Pitcher,$B77,pbp_PlayType,"?*"))</f>
        <v/>
      </c>
      <c r="Q77" s="60" t="str">
        <f t="shared" si="10"/>
        <v/>
      </c>
      <c r="R77" s="59" t="str">
        <f>IF($B77="","",IF(E77=0,"",1-SUMPRODUCT((pbp_Pitcher=$B77)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77)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77" s="59" t="str">
        <f>IF($B77="","",IF((SUMPRODUCT((pbp_Pitcher=$B77)*(LEN(pbp_PlayType)&gt;0)))=0,"",(SUMPRODUCT((pbp_Pitcher=$B77)*(LEN(pbp_PlayType)&gt;0)*ISNUMBER(MATCH(LEFT(TRIM(pbp_Seq)&amp;"/",FIND("/",TRIM(pbp_Seq)&amp;"/")-1),{"S","F","FT","FB","IN","MB","POS"},0))))/(SUMPRODUCT((pbp_Pitcher=$B77)*(LEN(pbp_PlayType)&gt;0)))))</f>
        <v/>
      </c>
      <c r="T77" s="59" t="str">
        <f t="shared" si="11"/>
        <v/>
      </c>
      <c r="U77" s="59" t="str">
        <f t="shared" si="12"/>
        <v/>
      </c>
      <c r="V77" s="59" t="str">
        <f t="shared" si="13"/>
        <v/>
      </c>
      <c r="W77" s="60" t="str">
        <f t="shared" si="14"/>
        <v/>
      </c>
      <c r="X77" s="60" t="str">
        <f t="shared" si="15"/>
        <v/>
      </c>
      <c r="Y77" s="58" t="str">
        <f t="shared" si="16"/>
        <v/>
      </c>
      <c r="Z77" s="58" t="str">
        <f t="shared" si="17"/>
        <v/>
      </c>
      <c r="AA77" s="62" t="str">
        <f>IF($B77="","",IF(OR(E77&lt;MinBF,X77=""),"",COUNTIFS($E$6:$E$255,"&gt;="&amp;MinBF,$X$6:$X$255,"&lt;"&amp;X77)+COUNTIFS($E$5:E76,"&gt;="&amp;MinBF,$X$5:X76,X77)+1))</f>
        <v/>
      </c>
    </row>
    <row r="78" spans="2:27" x14ac:dyDescent="0.2">
      <c r="B78" s="44" t="str">
        <f t="array" ref="B78">IFERROR(INDEX(pbp_Pitcher,MATCH(0,COUNTIF($B$5:B77,pbp_Pitcher)+(pbp_Pitcher=""),0)),"")</f>
        <v/>
      </c>
      <c r="C78" s="61" t="str">
        <f>IF($B78="","",IFERROR(INDEX(pbp_PitTeam,MATCH($B78,pbp_Pitcher,0)),""))</f>
        <v/>
      </c>
      <c r="D78" s="61" t="str">
        <f>IF($B78="","",IFERROR(INDEX(pbp_PitHand,MATCH($B78,pbp_Pitcher,0)),""))</f>
        <v/>
      </c>
      <c r="E78" s="42" t="str">
        <f>IF($B78="","",SUMPRODUCT(COUNTIFS(pbp_PlayType,EM_Type,pbp_Pitcher,$B78)*EM_PA))</f>
        <v/>
      </c>
      <c r="F78" s="42" t="str">
        <f>IF($B78="","",SUMIFS(pbp_Outs,pbp_Pitcher,$B78))</f>
        <v/>
      </c>
      <c r="G78" s="70" t="str">
        <f t="shared" si="9"/>
        <v/>
      </c>
      <c r="H78" s="42" t="str">
        <f>IF($B78="","",SUMPRODUCT(COUNTIFS(pbp_PlayType,EM_Type,pbp_Pitcher,$B78)*EM_H))</f>
        <v/>
      </c>
      <c r="I78" s="42" t="str">
        <f>IF($B78="","",SUMPRODUCT(COUNTIFS(pbp_PlayType,EM_Type,pbp_Pitcher,$B78)*EM_HR))</f>
        <v/>
      </c>
      <c r="J78" s="42" t="str">
        <f>IF($B78="","",SUMPRODUCT(COUNTIFS(pbp_PlayType,EM_Type,pbp_Pitcher,$B78)*EM_BB))</f>
        <v/>
      </c>
      <c r="K78" s="42" t="str">
        <f>IF($B78="","",SUMPRODUCT(COUNTIFS(pbp_PlayType,EM_Type,pbp_Pitcher,$B78)*EM_HBP))</f>
        <v/>
      </c>
      <c r="L78" s="42" t="str">
        <f>IF($B78="","",COUNTIFS(pbp_PlayType,"?*",pbp_Desc,"*struck out*",pbp_Pitcher,$B78))</f>
        <v/>
      </c>
      <c r="M78" s="42" t="str">
        <f>IF($B78="","",SUMIFS(pbp_Runs,pbp_Pitcher,$B78))</f>
        <v/>
      </c>
      <c r="N78" s="42" t="str">
        <f>IF($B78="","",SUMPRODUCT(COUNTIFS(pbp_PlayType,EM_Type,pbp_Pitcher,$B78)*EM_AB))</f>
        <v/>
      </c>
      <c r="O78" s="42" t="str">
        <f>IF($B78="","",SUMPRODUCT(COUNTIFS(pbp_PlayType,EM_Type,pbp_Pitcher,$B78)*EM_SF))</f>
        <v/>
      </c>
      <c r="P78" s="42" t="str">
        <f>IF($B78="","",SUMIFS(pbp_Pitches,pbp_Pitcher,$B78,pbp_PlayType,"?*"))</f>
        <v/>
      </c>
      <c r="Q78" s="60" t="str">
        <f t="shared" si="10"/>
        <v/>
      </c>
      <c r="R78" s="59" t="str">
        <f>IF($B78="","",IF(E78=0,"",1-SUMPRODUCT((pbp_Pitcher=$B78)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78)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78" s="59" t="str">
        <f>IF($B78="","",IF((SUMPRODUCT((pbp_Pitcher=$B78)*(LEN(pbp_PlayType)&gt;0)))=0,"",(SUMPRODUCT((pbp_Pitcher=$B78)*(LEN(pbp_PlayType)&gt;0)*ISNUMBER(MATCH(LEFT(TRIM(pbp_Seq)&amp;"/",FIND("/",TRIM(pbp_Seq)&amp;"/")-1),{"S","F","FT","FB","IN","MB","POS"},0))))/(SUMPRODUCT((pbp_Pitcher=$B78)*(LEN(pbp_PlayType)&gt;0)))))</f>
        <v/>
      </c>
      <c r="T78" s="59" t="str">
        <f t="shared" si="11"/>
        <v/>
      </c>
      <c r="U78" s="59" t="str">
        <f t="shared" si="12"/>
        <v/>
      </c>
      <c r="V78" s="59" t="str">
        <f t="shared" si="13"/>
        <v/>
      </c>
      <c r="W78" s="60" t="str">
        <f t="shared" si="14"/>
        <v/>
      </c>
      <c r="X78" s="60" t="str">
        <f t="shared" si="15"/>
        <v/>
      </c>
      <c r="Y78" s="58" t="str">
        <f t="shared" si="16"/>
        <v/>
      </c>
      <c r="Z78" s="58" t="str">
        <f t="shared" si="17"/>
        <v/>
      </c>
      <c r="AA78" s="62" t="str">
        <f>IF($B78="","",IF(OR(E78&lt;MinBF,X78=""),"",COUNTIFS($E$6:$E$255,"&gt;="&amp;MinBF,$X$6:$X$255,"&lt;"&amp;X78)+COUNTIFS($E$5:E77,"&gt;="&amp;MinBF,$X$5:X77,X78)+1))</f>
        <v/>
      </c>
    </row>
    <row r="79" spans="2:27" x14ac:dyDescent="0.2">
      <c r="B79" s="44" t="str">
        <f t="array" ref="B79">IFERROR(INDEX(pbp_Pitcher,MATCH(0,COUNTIF($B$5:B78,pbp_Pitcher)+(pbp_Pitcher=""),0)),"")</f>
        <v/>
      </c>
      <c r="C79" s="61" t="str">
        <f>IF($B79="","",IFERROR(INDEX(pbp_PitTeam,MATCH($B79,pbp_Pitcher,0)),""))</f>
        <v/>
      </c>
      <c r="D79" s="61" t="str">
        <f>IF($B79="","",IFERROR(INDEX(pbp_PitHand,MATCH($B79,pbp_Pitcher,0)),""))</f>
        <v/>
      </c>
      <c r="E79" s="42" t="str">
        <f>IF($B79="","",SUMPRODUCT(COUNTIFS(pbp_PlayType,EM_Type,pbp_Pitcher,$B79)*EM_PA))</f>
        <v/>
      </c>
      <c r="F79" s="42" t="str">
        <f>IF($B79="","",SUMIFS(pbp_Outs,pbp_Pitcher,$B79))</f>
        <v/>
      </c>
      <c r="G79" s="70" t="str">
        <f t="shared" si="9"/>
        <v/>
      </c>
      <c r="H79" s="42" t="str">
        <f>IF($B79="","",SUMPRODUCT(COUNTIFS(pbp_PlayType,EM_Type,pbp_Pitcher,$B79)*EM_H))</f>
        <v/>
      </c>
      <c r="I79" s="42" t="str">
        <f>IF($B79="","",SUMPRODUCT(COUNTIFS(pbp_PlayType,EM_Type,pbp_Pitcher,$B79)*EM_HR))</f>
        <v/>
      </c>
      <c r="J79" s="42" t="str">
        <f>IF($B79="","",SUMPRODUCT(COUNTIFS(pbp_PlayType,EM_Type,pbp_Pitcher,$B79)*EM_BB))</f>
        <v/>
      </c>
      <c r="K79" s="42" t="str">
        <f>IF($B79="","",SUMPRODUCT(COUNTIFS(pbp_PlayType,EM_Type,pbp_Pitcher,$B79)*EM_HBP))</f>
        <v/>
      </c>
      <c r="L79" s="42" t="str">
        <f>IF($B79="","",COUNTIFS(pbp_PlayType,"?*",pbp_Desc,"*struck out*",pbp_Pitcher,$B79))</f>
        <v/>
      </c>
      <c r="M79" s="42" t="str">
        <f>IF($B79="","",SUMIFS(pbp_Runs,pbp_Pitcher,$B79))</f>
        <v/>
      </c>
      <c r="N79" s="42" t="str">
        <f>IF($B79="","",SUMPRODUCT(COUNTIFS(pbp_PlayType,EM_Type,pbp_Pitcher,$B79)*EM_AB))</f>
        <v/>
      </c>
      <c r="O79" s="42" t="str">
        <f>IF($B79="","",SUMPRODUCT(COUNTIFS(pbp_PlayType,EM_Type,pbp_Pitcher,$B79)*EM_SF))</f>
        <v/>
      </c>
      <c r="P79" s="42" t="str">
        <f>IF($B79="","",SUMIFS(pbp_Pitches,pbp_Pitcher,$B79,pbp_PlayType,"?*"))</f>
        <v/>
      </c>
      <c r="Q79" s="60" t="str">
        <f t="shared" si="10"/>
        <v/>
      </c>
      <c r="R79" s="59" t="str">
        <f>IF($B79="","",IF(E79=0,"",1-SUMPRODUCT((pbp_Pitcher=$B79)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79)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79" s="59" t="str">
        <f>IF($B79="","",IF((SUMPRODUCT((pbp_Pitcher=$B79)*(LEN(pbp_PlayType)&gt;0)))=0,"",(SUMPRODUCT((pbp_Pitcher=$B79)*(LEN(pbp_PlayType)&gt;0)*ISNUMBER(MATCH(LEFT(TRIM(pbp_Seq)&amp;"/",FIND("/",TRIM(pbp_Seq)&amp;"/")-1),{"S","F","FT","FB","IN","MB","POS"},0))))/(SUMPRODUCT((pbp_Pitcher=$B79)*(LEN(pbp_PlayType)&gt;0)))))</f>
        <v/>
      </c>
      <c r="T79" s="59" t="str">
        <f t="shared" si="11"/>
        <v/>
      </c>
      <c r="U79" s="59" t="str">
        <f t="shared" si="12"/>
        <v/>
      </c>
      <c r="V79" s="59" t="str">
        <f t="shared" si="13"/>
        <v/>
      </c>
      <c r="W79" s="60" t="str">
        <f t="shared" si="14"/>
        <v/>
      </c>
      <c r="X79" s="60" t="str">
        <f t="shared" si="15"/>
        <v/>
      </c>
      <c r="Y79" s="58" t="str">
        <f t="shared" si="16"/>
        <v/>
      </c>
      <c r="Z79" s="58" t="str">
        <f t="shared" si="17"/>
        <v/>
      </c>
      <c r="AA79" s="62" t="str">
        <f>IF($B79="","",IF(OR(E79&lt;MinBF,X79=""),"",COUNTIFS($E$6:$E$255,"&gt;="&amp;MinBF,$X$6:$X$255,"&lt;"&amp;X79)+COUNTIFS($E$5:E78,"&gt;="&amp;MinBF,$X$5:X78,X79)+1))</f>
        <v/>
      </c>
    </row>
    <row r="80" spans="2:27" x14ac:dyDescent="0.2">
      <c r="B80" s="44" t="str">
        <f t="array" ref="B80">IFERROR(INDEX(pbp_Pitcher,MATCH(0,COUNTIF($B$5:B79,pbp_Pitcher)+(pbp_Pitcher=""),0)),"")</f>
        <v/>
      </c>
      <c r="C80" s="61" t="str">
        <f>IF($B80="","",IFERROR(INDEX(pbp_PitTeam,MATCH($B80,pbp_Pitcher,0)),""))</f>
        <v/>
      </c>
      <c r="D80" s="61" t="str">
        <f>IF($B80="","",IFERROR(INDEX(pbp_PitHand,MATCH($B80,pbp_Pitcher,0)),""))</f>
        <v/>
      </c>
      <c r="E80" s="42" t="str">
        <f>IF($B80="","",SUMPRODUCT(COUNTIFS(pbp_PlayType,EM_Type,pbp_Pitcher,$B80)*EM_PA))</f>
        <v/>
      </c>
      <c r="F80" s="42" t="str">
        <f>IF($B80="","",SUMIFS(pbp_Outs,pbp_Pitcher,$B80))</f>
        <v/>
      </c>
      <c r="G80" s="70" t="str">
        <f t="shared" si="9"/>
        <v/>
      </c>
      <c r="H80" s="42" t="str">
        <f>IF($B80="","",SUMPRODUCT(COUNTIFS(pbp_PlayType,EM_Type,pbp_Pitcher,$B80)*EM_H))</f>
        <v/>
      </c>
      <c r="I80" s="42" t="str">
        <f>IF($B80="","",SUMPRODUCT(COUNTIFS(pbp_PlayType,EM_Type,pbp_Pitcher,$B80)*EM_HR))</f>
        <v/>
      </c>
      <c r="J80" s="42" t="str">
        <f>IF($B80="","",SUMPRODUCT(COUNTIFS(pbp_PlayType,EM_Type,pbp_Pitcher,$B80)*EM_BB))</f>
        <v/>
      </c>
      <c r="K80" s="42" t="str">
        <f>IF($B80="","",SUMPRODUCT(COUNTIFS(pbp_PlayType,EM_Type,pbp_Pitcher,$B80)*EM_HBP))</f>
        <v/>
      </c>
      <c r="L80" s="42" t="str">
        <f>IF($B80="","",COUNTIFS(pbp_PlayType,"?*",pbp_Desc,"*struck out*",pbp_Pitcher,$B80))</f>
        <v/>
      </c>
      <c r="M80" s="42" t="str">
        <f>IF($B80="","",SUMIFS(pbp_Runs,pbp_Pitcher,$B80))</f>
        <v/>
      </c>
      <c r="N80" s="42" t="str">
        <f>IF($B80="","",SUMPRODUCT(COUNTIFS(pbp_PlayType,EM_Type,pbp_Pitcher,$B80)*EM_AB))</f>
        <v/>
      </c>
      <c r="O80" s="42" t="str">
        <f>IF($B80="","",SUMPRODUCT(COUNTIFS(pbp_PlayType,EM_Type,pbp_Pitcher,$B80)*EM_SF))</f>
        <v/>
      </c>
      <c r="P80" s="42" t="str">
        <f>IF($B80="","",SUMIFS(pbp_Pitches,pbp_Pitcher,$B80,pbp_PlayType,"?*"))</f>
        <v/>
      </c>
      <c r="Q80" s="60" t="str">
        <f t="shared" si="10"/>
        <v/>
      </c>
      <c r="R80" s="59" t="str">
        <f>IF($B80="","",IF(E80=0,"",1-SUMPRODUCT((pbp_Pitcher=$B80)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80)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80" s="59" t="str">
        <f>IF($B80="","",IF((SUMPRODUCT((pbp_Pitcher=$B80)*(LEN(pbp_PlayType)&gt;0)))=0,"",(SUMPRODUCT((pbp_Pitcher=$B80)*(LEN(pbp_PlayType)&gt;0)*ISNUMBER(MATCH(LEFT(TRIM(pbp_Seq)&amp;"/",FIND("/",TRIM(pbp_Seq)&amp;"/")-1),{"S","F","FT","FB","IN","MB","POS"},0))))/(SUMPRODUCT((pbp_Pitcher=$B80)*(LEN(pbp_PlayType)&gt;0)))))</f>
        <v/>
      </c>
      <c r="T80" s="59" t="str">
        <f t="shared" si="11"/>
        <v/>
      </c>
      <c r="U80" s="59" t="str">
        <f t="shared" si="12"/>
        <v/>
      </c>
      <c r="V80" s="59" t="str">
        <f t="shared" si="13"/>
        <v/>
      </c>
      <c r="W80" s="60" t="str">
        <f t="shared" si="14"/>
        <v/>
      </c>
      <c r="X80" s="60" t="str">
        <f t="shared" si="15"/>
        <v/>
      </c>
      <c r="Y80" s="58" t="str">
        <f t="shared" si="16"/>
        <v/>
      </c>
      <c r="Z80" s="58" t="str">
        <f t="shared" si="17"/>
        <v/>
      </c>
      <c r="AA80" s="62" t="str">
        <f>IF($B80="","",IF(OR(E80&lt;MinBF,X80=""),"",COUNTIFS($E$6:$E$255,"&gt;="&amp;MinBF,$X$6:$X$255,"&lt;"&amp;X80)+COUNTIFS($E$5:E79,"&gt;="&amp;MinBF,$X$5:X79,X80)+1))</f>
        <v/>
      </c>
    </row>
    <row r="81" spans="2:27" x14ac:dyDescent="0.2">
      <c r="B81" s="44" t="str">
        <f t="array" ref="B81">IFERROR(INDEX(pbp_Pitcher,MATCH(0,COUNTIF($B$5:B80,pbp_Pitcher)+(pbp_Pitcher=""),0)),"")</f>
        <v/>
      </c>
      <c r="C81" s="61" t="str">
        <f>IF($B81="","",IFERROR(INDEX(pbp_PitTeam,MATCH($B81,pbp_Pitcher,0)),""))</f>
        <v/>
      </c>
      <c r="D81" s="61" t="str">
        <f>IF($B81="","",IFERROR(INDEX(pbp_PitHand,MATCH($B81,pbp_Pitcher,0)),""))</f>
        <v/>
      </c>
      <c r="E81" s="42" t="str">
        <f>IF($B81="","",SUMPRODUCT(COUNTIFS(pbp_PlayType,EM_Type,pbp_Pitcher,$B81)*EM_PA))</f>
        <v/>
      </c>
      <c r="F81" s="42" t="str">
        <f>IF($B81="","",SUMIFS(pbp_Outs,pbp_Pitcher,$B81))</f>
        <v/>
      </c>
      <c r="G81" s="70" t="str">
        <f t="shared" si="9"/>
        <v/>
      </c>
      <c r="H81" s="42" t="str">
        <f>IF($B81="","",SUMPRODUCT(COUNTIFS(pbp_PlayType,EM_Type,pbp_Pitcher,$B81)*EM_H))</f>
        <v/>
      </c>
      <c r="I81" s="42" t="str">
        <f>IF($B81="","",SUMPRODUCT(COUNTIFS(pbp_PlayType,EM_Type,pbp_Pitcher,$B81)*EM_HR))</f>
        <v/>
      </c>
      <c r="J81" s="42" t="str">
        <f>IF($B81="","",SUMPRODUCT(COUNTIFS(pbp_PlayType,EM_Type,pbp_Pitcher,$B81)*EM_BB))</f>
        <v/>
      </c>
      <c r="K81" s="42" t="str">
        <f>IF($B81="","",SUMPRODUCT(COUNTIFS(pbp_PlayType,EM_Type,pbp_Pitcher,$B81)*EM_HBP))</f>
        <v/>
      </c>
      <c r="L81" s="42" t="str">
        <f>IF($B81="","",COUNTIFS(pbp_PlayType,"?*",pbp_Desc,"*struck out*",pbp_Pitcher,$B81))</f>
        <v/>
      </c>
      <c r="M81" s="42" t="str">
        <f>IF($B81="","",SUMIFS(pbp_Runs,pbp_Pitcher,$B81))</f>
        <v/>
      </c>
      <c r="N81" s="42" t="str">
        <f>IF($B81="","",SUMPRODUCT(COUNTIFS(pbp_PlayType,EM_Type,pbp_Pitcher,$B81)*EM_AB))</f>
        <v/>
      </c>
      <c r="O81" s="42" t="str">
        <f>IF($B81="","",SUMPRODUCT(COUNTIFS(pbp_PlayType,EM_Type,pbp_Pitcher,$B81)*EM_SF))</f>
        <v/>
      </c>
      <c r="P81" s="42" t="str">
        <f>IF($B81="","",SUMIFS(pbp_Pitches,pbp_Pitcher,$B81,pbp_PlayType,"?*"))</f>
        <v/>
      </c>
      <c r="Q81" s="60" t="str">
        <f t="shared" si="10"/>
        <v/>
      </c>
      <c r="R81" s="59" t="str">
        <f>IF($B81="","",IF(E81=0,"",1-SUMPRODUCT((pbp_Pitcher=$B81)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81)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81" s="59" t="str">
        <f>IF($B81="","",IF((SUMPRODUCT((pbp_Pitcher=$B81)*(LEN(pbp_PlayType)&gt;0)))=0,"",(SUMPRODUCT((pbp_Pitcher=$B81)*(LEN(pbp_PlayType)&gt;0)*ISNUMBER(MATCH(LEFT(TRIM(pbp_Seq)&amp;"/",FIND("/",TRIM(pbp_Seq)&amp;"/")-1),{"S","F","FT","FB","IN","MB","POS"},0))))/(SUMPRODUCT((pbp_Pitcher=$B81)*(LEN(pbp_PlayType)&gt;0)))))</f>
        <v/>
      </c>
      <c r="T81" s="59" t="str">
        <f t="shared" si="11"/>
        <v/>
      </c>
      <c r="U81" s="59" t="str">
        <f t="shared" si="12"/>
        <v/>
      </c>
      <c r="V81" s="59" t="str">
        <f t="shared" si="13"/>
        <v/>
      </c>
      <c r="W81" s="60" t="str">
        <f t="shared" si="14"/>
        <v/>
      </c>
      <c r="X81" s="60" t="str">
        <f t="shared" si="15"/>
        <v/>
      </c>
      <c r="Y81" s="58" t="str">
        <f t="shared" si="16"/>
        <v/>
      </c>
      <c r="Z81" s="58" t="str">
        <f t="shared" si="17"/>
        <v/>
      </c>
      <c r="AA81" s="62" t="str">
        <f>IF($B81="","",IF(OR(E81&lt;MinBF,X81=""),"",COUNTIFS($E$6:$E$255,"&gt;="&amp;MinBF,$X$6:$X$255,"&lt;"&amp;X81)+COUNTIFS($E$5:E80,"&gt;="&amp;MinBF,$X$5:X80,X81)+1))</f>
        <v/>
      </c>
    </row>
    <row r="82" spans="2:27" x14ac:dyDescent="0.2">
      <c r="B82" s="44" t="str">
        <f t="array" ref="B82">IFERROR(INDEX(pbp_Pitcher,MATCH(0,COUNTIF($B$5:B81,pbp_Pitcher)+(pbp_Pitcher=""),0)),"")</f>
        <v/>
      </c>
      <c r="C82" s="61" t="str">
        <f>IF($B82="","",IFERROR(INDEX(pbp_PitTeam,MATCH($B82,pbp_Pitcher,0)),""))</f>
        <v/>
      </c>
      <c r="D82" s="61" t="str">
        <f>IF($B82="","",IFERROR(INDEX(pbp_PitHand,MATCH($B82,pbp_Pitcher,0)),""))</f>
        <v/>
      </c>
      <c r="E82" s="42" t="str">
        <f>IF($B82="","",SUMPRODUCT(COUNTIFS(pbp_PlayType,EM_Type,pbp_Pitcher,$B82)*EM_PA))</f>
        <v/>
      </c>
      <c r="F82" s="42" t="str">
        <f>IF($B82="","",SUMIFS(pbp_Outs,pbp_Pitcher,$B82))</f>
        <v/>
      </c>
      <c r="G82" s="70" t="str">
        <f t="shared" si="9"/>
        <v/>
      </c>
      <c r="H82" s="42" t="str">
        <f>IF($B82="","",SUMPRODUCT(COUNTIFS(pbp_PlayType,EM_Type,pbp_Pitcher,$B82)*EM_H))</f>
        <v/>
      </c>
      <c r="I82" s="42" t="str">
        <f>IF($B82="","",SUMPRODUCT(COUNTIFS(pbp_PlayType,EM_Type,pbp_Pitcher,$B82)*EM_HR))</f>
        <v/>
      </c>
      <c r="J82" s="42" t="str">
        <f>IF($B82="","",SUMPRODUCT(COUNTIFS(pbp_PlayType,EM_Type,pbp_Pitcher,$B82)*EM_BB))</f>
        <v/>
      </c>
      <c r="K82" s="42" t="str">
        <f>IF($B82="","",SUMPRODUCT(COUNTIFS(pbp_PlayType,EM_Type,pbp_Pitcher,$B82)*EM_HBP))</f>
        <v/>
      </c>
      <c r="L82" s="42" t="str">
        <f>IF($B82="","",COUNTIFS(pbp_PlayType,"?*",pbp_Desc,"*struck out*",pbp_Pitcher,$B82))</f>
        <v/>
      </c>
      <c r="M82" s="42" t="str">
        <f>IF($B82="","",SUMIFS(pbp_Runs,pbp_Pitcher,$B82))</f>
        <v/>
      </c>
      <c r="N82" s="42" t="str">
        <f>IF($B82="","",SUMPRODUCT(COUNTIFS(pbp_PlayType,EM_Type,pbp_Pitcher,$B82)*EM_AB))</f>
        <v/>
      </c>
      <c r="O82" s="42" t="str">
        <f>IF($B82="","",SUMPRODUCT(COUNTIFS(pbp_PlayType,EM_Type,pbp_Pitcher,$B82)*EM_SF))</f>
        <v/>
      </c>
      <c r="P82" s="42" t="str">
        <f>IF($B82="","",SUMIFS(pbp_Pitches,pbp_Pitcher,$B82,pbp_PlayType,"?*"))</f>
        <v/>
      </c>
      <c r="Q82" s="60" t="str">
        <f t="shared" si="10"/>
        <v/>
      </c>
      <c r="R82" s="59" t="str">
        <f>IF($B82="","",IF(E82=0,"",1-SUMPRODUCT((pbp_Pitcher=$B82)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82)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82" s="59" t="str">
        <f>IF($B82="","",IF((SUMPRODUCT((pbp_Pitcher=$B82)*(LEN(pbp_PlayType)&gt;0)))=0,"",(SUMPRODUCT((pbp_Pitcher=$B82)*(LEN(pbp_PlayType)&gt;0)*ISNUMBER(MATCH(LEFT(TRIM(pbp_Seq)&amp;"/",FIND("/",TRIM(pbp_Seq)&amp;"/")-1),{"S","F","FT","FB","IN","MB","POS"},0))))/(SUMPRODUCT((pbp_Pitcher=$B82)*(LEN(pbp_PlayType)&gt;0)))))</f>
        <v/>
      </c>
      <c r="T82" s="59" t="str">
        <f t="shared" si="11"/>
        <v/>
      </c>
      <c r="U82" s="59" t="str">
        <f t="shared" si="12"/>
        <v/>
      </c>
      <c r="V82" s="59" t="str">
        <f t="shared" si="13"/>
        <v/>
      </c>
      <c r="W82" s="60" t="str">
        <f t="shared" si="14"/>
        <v/>
      </c>
      <c r="X82" s="60" t="str">
        <f t="shared" si="15"/>
        <v/>
      </c>
      <c r="Y82" s="58" t="str">
        <f t="shared" si="16"/>
        <v/>
      </c>
      <c r="Z82" s="58" t="str">
        <f t="shared" si="17"/>
        <v/>
      </c>
      <c r="AA82" s="62" t="str">
        <f>IF($B82="","",IF(OR(E82&lt;MinBF,X82=""),"",COUNTIFS($E$6:$E$255,"&gt;="&amp;MinBF,$X$6:$X$255,"&lt;"&amp;X82)+COUNTIFS($E$5:E81,"&gt;="&amp;MinBF,$X$5:X81,X82)+1))</f>
        <v/>
      </c>
    </row>
    <row r="83" spans="2:27" x14ac:dyDescent="0.2">
      <c r="B83" s="44" t="str">
        <f t="array" ref="B83">IFERROR(INDEX(pbp_Pitcher,MATCH(0,COUNTIF($B$5:B82,pbp_Pitcher)+(pbp_Pitcher=""),0)),"")</f>
        <v/>
      </c>
      <c r="C83" s="61" t="str">
        <f>IF($B83="","",IFERROR(INDEX(pbp_PitTeam,MATCH($B83,pbp_Pitcher,0)),""))</f>
        <v/>
      </c>
      <c r="D83" s="61" t="str">
        <f>IF($B83="","",IFERROR(INDEX(pbp_PitHand,MATCH($B83,pbp_Pitcher,0)),""))</f>
        <v/>
      </c>
      <c r="E83" s="42" t="str">
        <f>IF($B83="","",SUMPRODUCT(COUNTIFS(pbp_PlayType,EM_Type,pbp_Pitcher,$B83)*EM_PA))</f>
        <v/>
      </c>
      <c r="F83" s="42" t="str">
        <f>IF($B83="","",SUMIFS(pbp_Outs,pbp_Pitcher,$B83))</f>
        <v/>
      </c>
      <c r="G83" s="70" t="str">
        <f t="shared" si="9"/>
        <v/>
      </c>
      <c r="H83" s="42" t="str">
        <f>IF($B83="","",SUMPRODUCT(COUNTIFS(pbp_PlayType,EM_Type,pbp_Pitcher,$B83)*EM_H))</f>
        <v/>
      </c>
      <c r="I83" s="42" t="str">
        <f>IF($B83="","",SUMPRODUCT(COUNTIFS(pbp_PlayType,EM_Type,pbp_Pitcher,$B83)*EM_HR))</f>
        <v/>
      </c>
      <c r="J83" s="42" t="str">
        <f>IF($B83="","",SUMPRODUCT(COUNTIFS(pbp_PlayType,EM_Type,pbp_Pitcher,$B83)*EM_BB))</f>
        <v/>
      </c>
      <c r="K83" s="42" t="str">
        <f>IF($B83="","",SUMPRODUCT(COUNTIFS(pbp_PlayType,EM_Type,pbp_Pitcher,$B83)*EM_HBP))</f>
        <v/>
      </c>
      <c r="L83" s="42" t="str">
        <f>IF($B83="","",COUNTIFS(pbp_PlayType,"?*",pbp_Desc,"*struck out*",pbp_Pitcher,$B83))</f>
        <v/>
      </c>
      <c r="M83" s="42" t="str">
        <f>IF($B83="","",SUMIFS(pbp_Runs,pbp_Pitcher,$B83))</f>
        <v/>
      </c>
      <c r="N83" s="42" t="str">
        <f>IF($B83="","",SUMPRODUCT(COUNTIFS(pbp_PlayType,EM_Type,pbp_Pitcher,$B83)*EM_AB))</f>
        <v/>
      </c>
      <c r="O83" s="42" t="str">
        <f>IF($B83="","",SUMPRODUCT(COUNTIFS(pbp_PlayType,EM_Type,pbp_Pitcher,$B83)*EM_SF))</f>
        <v/>
      </c>
      <c r="P83" s="42" t="str">
        <f>IF($B83="","",SUMIFS(pbp_Pitches,pbp_Pitcher,$B83,pbp_PlayType,"?*"))</f>
        <v/>
      </c>
      <c r="Q83" s="60" t="str">
        <f t="shared" si="10"/>
        <v/>
      </c>
      <c r="R83" s="59" t="str">
        <f>IF($B83="","",IF(E83=0,"",1-SUMPRODUCT((pbp_Pitcher=$B83)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83)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83" s="59" t="str">
        <f>IF($B83="","",IF((SUMPRODUCT((pbp_Pitcher=$B83)*(LEN(pbp_PlayType)&gt;0)))=0,"",(SUMPRODUCT((pbp_Pitcher=$B83)*(LEN(pbp_PlayType)&gt;0)*ISNUMBER(MATCH(LEFT(TRIM(pbp_Seq)&amp;"/",FIND("/",TRIM(pbp_Seq)&amp;"/")-1),{"S","F","FT","FB","IN","MB","POS"},0))))/(SUMPRODUCT((pbp_Pitcher=$B83)*(LEN(pbp_PlayType)&gt;0)))))</f>
        <v/>
      </c>
      <c r="T83" s="59" t="str">
        <f t="shared" si="11"/>
        <v/>
      </c>
      <c r="U83" s="59" t="str">
        <f t="shared" si="12"/>
        <v/>
      </c>
      <c r="V83" s="59" t="str">
        <f t="shared" si="13"/>
        <v/>
      </c>
      <c r="W83" s="60" t="str">
        <f t="shared" si="14"/>
        <v/>
      </c>
      <c r="X83" s="60" t="str">
        <f t="shared" si="15"/>
        <v/>
      </c>
      <c r="Y83" s="58" t="str">
        <f t="shared" si="16"/>
        <v/>
      </c>
      <c r="Z83" s="58" t="str">
        <f t="shared" si="17"/>
        <v/>
      </c>
      <c r="AA83" s="62" t="str">
        <f>IF($B83="","",IF(OR(E83&lt;MinBF,X83=""),"",COUNTIFS($E$6:$E$255,"&gt;="&amp;MinBF,$X$6:$X$255,"&lt;"&amp;X83)+COUNTIFS($E$5:E82,"&gt;="&amp;MinBF,$X$5:X82,X83)+1))</f>
        <v/>
      </c>
    </row>
    <row r="84" spans="2:27" x14ac:dyDescent="0.2">
      <c r="B84" s="44" t="str">
        <f t="array" ref="B84">IFERROR(INDEX(pbp_Pitcher,MATCH(0,COUNTIF($B$5:B83,pbp_Pitcher)+(pbp_Pitcher=""),0)),"")</f>
        <v/>
      </c>
      <c r="C84" s="61" t="str">
        <f>IF($B84="","",IFERROR(INDEX(pbp_PitTeam,MATCH($B84,pbp_Pitcher,0)),""))</f>
        <v/>
      </c>
      <c r="D84" s="61" t="str">
        <f>IF($B84="","",IFERROR(INDEX(pbp_PitHand,MATCH($B84,pbp_Pitcher,0)),""))</f>
        <v/>
      </c>
      <c r="E84" s="42" t="str">
        <f>IF($B84="","",SUMPRODUCT(COUNTIFS(pbp_PlayType,EM_Type,pbp_Pitcher,$B84)*EM_PA))</f>
        <v/>
      </c>
      <c r="F84" s="42" t="str">
        <f>IF($B84="","",SUMIFS(pbp_Outs,pbp_Pitcher,$B84))</f>
        <v/>
      </c>
      <c r="G84" s="70" t="str">
        <f t="shared" si="9"/>
        <v/>
      </c>
      <c r="H84" s="42" t="str">
        <f>IF($B84="","",SUMPRODUCT(COUNTIFS(pbp_PlayType,EM_Type,pbp_Pitcher,$B84)*EM_H))</f>
        <v/>
      </c>
      <c r="I84" s="42" t="str">
        <f>IF($B84="","",SUMPRODUCT(COUNTIFS(pbp_PlayType,EM_Type,pbp_Pitcher,$B84)*EM_HR))</f>
        <v/>
      </c>
      <c r="J84" s="42" t="str">
        <f>IF($B84="","",SUMPRODUCT(COUNTIFS(pbp_PlayType,EM_Type,pbp_Pitcher,$B84)*EM_BB))</f>
        <v/>
      </c>
      <c r="K84" s="42" t="str">
        <f>IF($B84="","",SUMPRODUCT(COUNTIFS(pbp_PlayType,EM_Type,pbp_Pitcher,$B84)*EM_HBP))</f>
        <v/>
      </c>
      <c r="L84" s="42" t="str">
        <f>IF($B84="","",COUNTIFS(pbp_PlayType,"?*",pbp_Desc,"*struck out*",pbp_Pitcher,$B84))</f>
        <v/>
      </c>
      <c r="M84" s="42" t="str">
        <f>IF($B84="","",SUMIFS(pbp_Runs,pbp_Pitcher,$B84))</f>
        <v/>
      </c>
      <c r="N84" s="42" t="str">
        <f>IF($B84="","",SUMPRODUCT(COUNTIFS(pbp_PlayType,EM_Type,pbp_Pitcher,$B84)*EM_AB))</f>
        <v/>
      </c>
      <c r="O84" s="42" t="str">
        <f>IF($B84="","",SUMPRODUCT(COUNTIFS(pbp_PlayType,EM_Type,pbp_Pitcher,$B84)*EM_SF))</f>
        <v/>
      </c>
      <c r="P84" s="42" t="str">
        <f>IF($B84="","",SUMIFS(pbp_Pitches,pbp_Pitcher,$B84,pbp_PlayType,"?*"))</f>
        <v/>
      </c>
      <c r="Q84" s="60" t="str">
        <f t="shared" si="10"/>
        <v/>
      </c>
      <c r="R84" s="59" t="str">
        <f>IF($B84="","",IF(E84=0,"",1-SUMPRODUCT((pbp_Pitcher=$B84)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84)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84" s="59" t="str">
        <f>IF($B84="","",IF((SUMPRODUCT((pbp_Pitcher=$B84)*(LEN(pbp_PlayType)&gt;0)))=0,"",(SUMPRODUCT((pbp_Pitcher=$B84)*(LEN(pbp_PlayType)&gt;0)*ISNUMBER(MATCH(LEFT(TRIM(pbp_Seq)&amp;"/",FIND("/",TRIM(pbp_Seq)&amp;"/")-1),{"S","F","FT","FB","IN","MB","POS"},0))))/(SUMPRODUCT((pbp_Pitcher=$B84)*(LEN(pbp_PlayType)&gt;0)))))</f>
        <v/>
      </c>
      <c r="T84" s="59" t="str">
        <f t="shared" si="11"/>
        <v/>
      </c>
      <c r="U84" s="59" t="str">
        <f t="shared" si="12"/>
        <v/>
      </c>
      <c r="V84" s="59" t="str">
        <f t="shared" si="13"/>
        <v/>
      </c>
      <c r="W84" s="60" t="str">
        <f t="shared" si="14"/>
        <v/>
      </c>
      <c r="X84" s="60" t="str">
        <f t="shared" si="15"/>
        <v/>
      </c>
      <c r="Y84" s="58" t="str">
        <f t="shared" si="16"/>
        <v/>
      </c>
      <c r="Z84" s="58" t="str">
        <f t="shared" si="17"/>
        <v/>
      </c>
      <c r="AA84" s="62" t="str">
        <f>IF($B84="","",IF(OR(E84&lt;MinBF,X84=""),"",COUNTIFS($E$6:$E$255,"&gt;="&amp;MinBF,$X$6:$X$255,"&lt;"&amp;X84)+COUNTIFS($E$5:E83,"&gt;="&amp;MinBF,$X$5:X83,X84)+1))</f>
        <v/>
      </c>
    </row>
    <row r="85" spans="2:27" x14ac:dyDescent="0.2">
      <c r="B85" s="44" t="str">
        <f t="array" ref="B85">IFERROR(INDEX(pbp_Pitcher,MATCH(0,COUNTIF($B$5:B84,pbp_Pitcher)+(pbp_Pitcher=""),0)),"")</f>
        <v/>
      </c>
      <c r="C85" s="61" t="str">
        <f>IF($B85="","",IFERROR(INDEX(pbp_PitTeam,MATCH($B85,pbp_Pitcher,0)),""))</f>
        <v/>
      </c>
      <c r="D85" s="61" t="str">
        <f>IF($B85="","",IFERROR(INDEX(pbp_PitHand,MATCH($B85,pbp_Pitcher,0)),""))</f>
        <v/>
      </c>
      <c r="E85" s="42" t="str">
        <f>IF($B85="","",SUMPRODUCT(COUNTIFS(pbp_PlayType,EM_Type,pbp_Pitcher,$B85)*EM_PA))</f>
        <v/>
      </c>
      <c r="F85" s="42" t="str">
        <f>IF($B85="","",SUMIFS(pbp_Outs,pbp_Pitcher,$B85))</f>
        <v/>
      </c>
      <c r="G85" s="70" t="str">
        <f t="shared" si="9"/>
        <v/>
      </c>
      <c r="H85" s="42" t="str">
        <f>IF($B85="","",SUMPRODUCT(COUNTIFS(pbp_PlayType,EM_Type,pbp_Pitcher,$B85)*EM_H))</f>
        <v/>
      </c>
      <c r="I85" s="42" t="str">
        <f>IF($B85="","",SUMPRODUCT(COUNTIFS(pbp_PlayType,EM_Type,pbp_Pitcher,$B85)*EM_HR))</f>
        <v/>
      </c>
      <c r="J85" s="42" t="str">
        <f>IF($B85="","",SUMPRODUCT(COUNTIFS(pbp_PlayType,EM_Type,pbp_Pitcher,$B85)*EM_BB))</f>
        <v/>
      </c>
      <c r="K85" s="42" t="str">
        <f>IF($B85="","",SUMPRODUCT(COUNTIFS(pbp_PlayType,EM_Type,pbp_Pitcher,$B85)*EM_HBP))</f>
        <v/>
      </c>
      <c r="L85" s="42" t="str">
        <f>IF($B85="","",COUNTIFS(pbp_PlayType,"?*",pbp_Desc,"*struck out*",pbp_Pitcher,$B85))</f>
        <v/>
      </c>
      <c r="M85" s="42" t="str">
        <f>IF($B85="","",SUMIFS(pbp_Runs,pbp_Pitcher,$B85))</f>
        <v/>
      </c>
      <c r="N85" s="42" t="str">
        <f>IF($B85="","",SUMPRODUCT(COUNTIFS(pbp_PlayType,EM_Type,pbp_Pitcher,$B85)*EM_AB))</f>
        <v/>
      </c>
      <c r="O85" s="42" t="str">
        <f>IF($B85="","",SUMPRODUCT(COUNTIFS(pbp_PlayType,EM_Type,pbp_Pitcher,$B85)*EM_SF))</f>
        <v/>
      </c>
      <c r="P85" s="42" t="str">
        <f>IF($B85="","",SUMIFS(pbp_Pitches,pbp_Pitcher,$B85,pbp_PlayType,"?*"))</f>
        <v/>
      </c>
      <c r="Q85" s="60" t="str">
        <f t="shared" si="10"/>
        <v/>
      </c>
      <c r="R85" s="59" t="str">
        <f>IF($B85="","",IF(E85=0,"",1-SUMPRODUCT((pbp_Pitcher=$B85)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85)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85" s="59" t="str">
        <f>IF($B85="","",IF((SUMPRODUCT((pbp_Pitcher=$B85)*(LEN(pbp_PlayType)&gt;0)))=0,"",(SUMPRODUCT((pbp_Pitcher=$B85)*(LEN(pbp_PlayType)&gt;0)*ISNUMBER(MATCH(LEFT(TRIM(pbp_Seq)&amp;"/",FIND("/",TRIM(pbp_Seq)&amp;"/")-1),{"S","F","FT","FB","IN","MB","POS"},0))))/(SUMPRODUCT((pbp_Pitcher=$B85)*(LEN(pbp_PlayType)&gt;0)))))</f>
        <v/>
      </c>
      <c r="T85" s="59" t="str">
        <f t="shared" si="11"/>
        <v/>
      </c>
      <c r="U85" s="59" t="str">
        <f t="shared" si="12"/>
        <v/>
      </c>
      <c r="V85" s="59" t="str">
        <f t="shared" si="13"/>
        <v/>
      </c>
      <c r="W85" s="60" t="str">
        <f t="shared" si="14"/>
        <v/>
      </c>
      <c r="X85" s="60" t="str">
        <f t="shared" si="15"/>
        <v/>
      </c>
      <c r="Y85" s="58" t="str">
        <f t="shared" si="16"/>
        <v/>
      </c>
      <c r="Z85" s="58" t="str">
        <f t="shared" si="17"/>
        <v/>
      </c>
      <c r="AA85" s="62" t="str">
        <f>IF($B85="","",IF(OR(E85&lt;MinBF,X85=""),"",COUNTIFS($E$6:$E$255,"&gt;="&amp;MinBF,$X$6:$X$255,"&lt;"&amp;X85)+COUNTIFS($E$5:E84,"&gt;="&amp;MinBF,$X$5:X84,X85)+1))</f>
        <v/>
      </c>
    </row>
    <row r="86" spans="2:27" x14ac:dyDescent="0.2">
      <c r="B86" s="44" t="str">
        <f t="array" ref="B86">IFERROR(INDEX(pbp_Pitcher,MATCH(0,COUNTIF($B$5:B85,pbp_Pitcher)+(pbp_Pitcher=""),0)),"")</f>
        <v/>
      </c>
      <c r="C86" s="61" t="str">
        <f>IF($B86="","",IFERROR(INDEX(pbp_PitTeam,MATCH($B86,pbp_Pitcher,0)),""))</f>
        <v/>
      </c>
      <c r="D86" s="61" t="str">
        <f>IF($B86="","",IFERROR(INDEX(pbp_PitHand,MATCH($B86,pbp_Pitcher,0)),""))</f>
        <v/>
      </c>
      <c r="E86" s="42" t="str">
        <f>IF($B86="","",SUMPRODUCT(COUNTIFS(pbp_PlayType,EM_Type,pbp_Pitcher,$B86)*EM_PA))</f>
        <v/>
      </c>
      <c r="F86" s="42" t="str">
        <f>IF($B86="","",SUMIFS(pbp_Outs,pbp_Pitcher,$B86))</f>
        <v/>
      </c>
      <c r="G86" s="70" t="str">
        <f t="shared" si="9"/>
        <v/>
      </c>
      <c r="H86" s="42" t="str">
        <f>IF($B86="","",SUMPRODUCT(COUNTIFS(pbp_PlayType,EM_Type,pbp_Pitcher,$B86)*EM_H))</f>
        <v/>
      </c>
      <c r="I86" s="42" t="str">
        <f>IF($B86="","",SUMPRODUCT(COUNTIFS(pbp_PlayType,EM_Type,pbp_Pitcher,$B86)*EM_HR))</f>
        <v/>
      </c>
      <c r="J86" s="42" t="str">
        <f>IF($B86="","",SUMPRODUCT(COUNTIFS(pbp_PlayType,EM_Type,pbp_Pitcher,$B86)*EM_BB))</f>
        <v/>
      </c>
      <c r="K86" s="42" t="str">
        <f>IF($B86="","",SUMPRODUCT(COUNTIFS(pbp_PlayType,EM_Type,pbp_Pitcher,$B86)*EM_HBP))</f>
        <v/>
      </c>
      <c r="L86" s="42" t="str">
        <f>IF($B86="","",COUNTIFS(pbp_PlayType,"?*",pbp_Desc,"*struck out*",pbp_Pitcher,$B86))</f>
        <v/>
      </c>
      <c r="M86" s="42" t="str">
        <f>IF($B86="","",SUMIFS(pbp_Runs,pbp_Pitcher,$B86))</f>
        <v/>
      </c>
      <c r="N86" s="42" t="str">
        <f>IF($B86="","",SUMPRODUCT(COUNTIFS(pbp_PlayType,EM_Type,pbp_Pitcher,$B86)*EM_AB))</f>
        <v/>
      </c>
      <c r="O86" s="42" t="str">
        <f>IF($B86="","",SUMPRODUCT(COUNTIFS(pbp_PlayType,EM_Type,pbp_Pitcher,$B86)*EM_SF))</f>
        <v/>
      </c>
      <c r="P86" s="42" t="str">
        <f>IF($B86="","",SUMIFS(pbp_Pitches,pbp_Pitcher,$B86,pbp_PlayType,"?*"))</f>
        <v/>
      </c>
      <c r="Q86" s="60" t="str">
        <f t="shared" si="10"/>
        <v/>
      </c>
      <c r="R86" s="59" t="str">
        <f>IF($B86="","",IF(E86=0,"",1-SUMPRODUCT((pbp_Pitcher=$B86)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86)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86" s="59" t="str">
        <f>IF($B86="","",IF((SUMPRODUCT((pbp_Pitcher=$B86)*(LEN(pbp_PlayType)&gt;0)))=0,"",(SUMPRODUCT((pbp_Pitcher=$B86)*(LEN(pbp_PlayType)&gt;0)*ISNUMBER(MATCH(LEFT(TRIM(pbp_Seq)&amp;"/",FIND("/",TRIM(pbp_Seq)&amp;"/")-1),{"S","F","FT","FB","IN","MB","POS"},0))))/(SUMPRODUCT((pbp_Pitcher=$B86)*(LEN(pbp_PlayType)&gt;0)))))</f>
        <v/>
      </c>
      <c r="T86" s="59" t="str">
        <f t="shared" si="11"/>
        <v/>
      </c>
      <c r="U86" s="59" t="str">
        <f t="shared" si="12"/>
        <v/>
      </c>
      <c r="V86" s="59" t="str">
        <f t="shared" si="13"/>
        <v/>
      </c>
      <c r="W86" s="60" t="str">
        <f t="shared" si="14"/>
        <v/>
      </c>
      <c r="X86" s="60" t="str">
        <f t="shared" si="15"/>
        <v/>
      </c>
      <c r="Y86" s="58" t="str">
        <f t="shared" si="16"/>
        <v/>
      </c>
      <c r="Z86" s="58" t="str">
        <f t="shared" si="17"/>
        <v/>
      </c>
      <c r="AA86" s="62" t="str">
        <f>IF($B86="","",IF(OR(E86&lt;MinBF,X86=""),"",COUNTIFS($E$6:$E$255,"&gt;="&amp;MinBF,$X$6:$X$255,"&lt;"&amp;X86)+COUNTIFS($E$5:E85,"&gt;="&amp;MinBF,$X$5:X85,X86)+1))</f>
        <v/>
      </c>
    </row>
    <row r="87" spans="2:27" x14ac:dyDescent="0.2">
      <c r="B87" s="44" t="str">
        <f t="array" ref="B87">IFERROR(INDEX(pbp_Pitcher,MATCH(0,COUNTIF($B$5:B86,pbp_Pitcher)+(pbp_Pitcher=""),0)),"")</f>
        <v/>
      </c>
      <c r="C87" s="61" t="str">
        <f>IF($B87="","",IFERROR(INDEX(pbp_PitTeam,MATCH($B87,pbp_Pitcher,0)),""))</f>
        <v/>
      </c>
      <c r="D87" s="61" t="str">
        <f>IF($B87="","",IFERROR(INDEX(pbp_PitHand,MATCH($B87,pbp_Pitcher,0)),""))</f>
        <v/>
      </c>
      <c r="E87" s="42" t="str">
        <f>IF($B87="","",SUMPRODUCT(COUNTIFS(pbp_PlayType,EM_Type,pbp_Pitcher,$B87)*EM_PA))</f>
        <v/>
      </c>
      <c r="F87" s="42" t="str">
        <f>IF($B87="","",SUMIFS(pbp_Outs,pbp_Pitcher,$B87))</f>
        <v/>
      </c>
      <c r="G87" s="70" t="str">
        <f t="shared" si="9"/>
        <v/>
      </c>
      <c r="H87" s="42" t="str">
        <f>IF($B87="","",SUMPRODUCT(COUNTIFS(pbp_PlayType,EM_Type,pbp_Pitcher,$B87)*EM_H))</f>
        <v/>
      </c>
      <c r="I87" s="42" t="str">
        <f>IF($B87="","",SUMPRODUCT(COUNTIFS(pbp_PlayType,EM_Type,pbp_Pitcher,$B87)*EM_HR))</f>
        <v/>
      </c>
      <c r="J87" s="42" t="str">
        <f>IF($B87="","",SUMPRODUCT(COUNTIFS(pbp_PlayType,EM_Type,pbp_Pitcher,$B87)*EM_BB))</f>
        <v/>
      </c>
      <c r="K87" s="42" t="str">
        <f>IF($B87="","",SUMPRODUCT(COUNTIFS(pbp_PlayType,EM_Type,pbp_Pitcher,$B87)*EM_HBP))</f>
        <v/>
      </c>
      <c r="L87" s="42" t="str">
        <f>IF($B87="","",COUNTIFS(pbp_PlayType,"?*",pbp_Desc,"*struck out*",pbp_Pitcher,$B87))</f>
        <v/>
      </c>
      <c r="M87" s="42" t="str">
        <f>IF($B87="","",SUMIFS(pbp_Runs,pbp_Pitcher,$B87))</f>
        <v/>
      </c>
      <c r="N87" s="42" t="str">
        <f>IF($B87="","",SUMPRODUCT(COUNTIFS(pbp_PlayType,EM_Type,pbp_Pitcher,$B87)*EM_AB))</f>
        <v/>
      </c>
      <c r="O87" s="42" t="str">
        <f>IF($B87="","",SUMPRODUCT(COUNTIFS(pbp_PlayType,EM_Type,pbp_Pitcher,$B87)*EM_SF))</f>
        <v/>
      </c>
      <c r="P87" s="42" t="str">
        <f>IF($B87="","",SUMIFS(pbp_Pitches,pbp_Pitcher,$B87,pbp_PlayType,"?*"))</f>
        <v/>
      </c>
      <c r="Q87" s="60" t="str">
        <f t="shared" si="10"/>
        <v/>
      </c>
      <c r="R87" s="59" t="str">
        <f>IF($B87="","",IF(E87=0,"",1-SUMPRODUCT((pbp_Pitcher=$B87)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87)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87" s="59" t="str">
        <f>IF($B87="","",IF((SUMPRODUCT((pbp_Pitcher=$B87)*(LEN(pbp_PlayType)&gt;0)))=0,"",(SUMPRODUCT((pbp_Pitcher=$B87)*(LEN(pbp_PlayType)&gt;0)*ISNUMBER(MATCH(LEFT(TRIM(pbp_Seq)&amp;"/",FIND("/",TRIM(pbp_Seq)&amp;"/")-1),{"S","F","FT","FB","IN","MB","POS"},0))))/(SUMPRODUCT((pbp_Pitcher=$B87)*(LEN(pbp_PlayType)&gt;0)))))</f>
        <v/>
      </c>
      <c r="T87" s="59" t="str">
        <f t="shared" si="11"/>
        <v/>
      </c>
      <c r="U87" s="59" t="str">
        <f t="shared" si="12"/>
        <v/>
      </c>
      <c r="V87" s="59" t="str">
        <f t="shared" si="13"/>
        <v/>
      </c>
      <c r="W87" s="60" t="str">
        <f t="shared" si="14"/>
        <v/>
      </c>
      <c r="X87" s="60" t="str">
        <f t="shared" si="15"/>
        <v/>
      </c>
      <c r="Y87" s="58" t="str">
        <f t="shared" si="16"/>
        <v/>
      </c>
      <c r="Z87" s="58" t="str">
        <f t="shared" si="17"/>
        <v/>
      </c>
      <c r="AA87" s="62" t="str">
        <f>IF($B87="","",IF(OR(E87&lt;MinBF,X87=""),"",COUNTIFS($E$6:$E$255,"&gt;="&amp;MinBF,$X$6:$X$255,"&lt;"&amp;X87)+COUNTIFS($E$5:E86,"&gt;="&amp;MinBF,$X$5:X86,X87)+1))</f>
        <v/>
      </c>
    </row>
    <row r="88" spans="2:27" x14ac:dyDescent="0.2">
      <c r="B88" s="44" t="str">
        <f t="array" ref="B88">IFERROR(INDEX(pbp_Pitcher,MATCH(0,COUNTIF($B$5:B87,pbp_Pitcher)+(pbp_Pitcher=""),0)),"")</f>
        <v/>
      </c>
      <c r="C88" s="61" t="str">
        <f>IF($B88="","",IFERROR(INDEX(pbp_PitTeam,MATCH($B88,pbp_Pitcher,0)),""))</f>
        <v/>
      </c>
      <c r="D88" s="61" t="str">
        <f>IF($B88="","",IFERROR(INDEX(pbp_PitHand,MATCH($B88,pbp_Pitcher,0)),""))</f>
        <v/>
      </c>
      <c r="E88" s="42" t="str">
        <f>IF($B88="","",SUMPRODUCT(COUNTIFS(pbp_PlayType,EM_Type,pbp_Pitcher,$B88)*EM_PA))</f>
        <v/>
      </c>
      <c r="F88" s="42" t="str">
        <f>IF($B88="","",SUMIFS(pbp_Outs,pbp_Pitcher,$B88))</f>
        <v/>
      </c>
      <c r="G88" s="70" t="str">
        <f t="shared" si="9"/>
        <v/>
      </c>
      <c r="H88" s="42" t="str">
        <f>IF($B88="","",SUMPRODUCT(COUNTIFS(pbp_PlayType,EM_Type,pbp_Pitcher,$B88)*EM_H))</f>
        <v/>
      </c>
      <c r="I88" s="42" t="str">
        <f>IF($B88="","",SUMPRODUCT(COUNTIFS(pbp_PlayType,EM_Type,pbp_Pitcher,$B88)*EM_HR))</f>
        <v/>
      </c>
      <c r="J88" s="42" t="str">
        <f>IF($B88="","",SUMPRODUCT(COUNTIFS(pbp_PlayType,EM_Type,pbp_Pitcher,$B88)*EM_BB))</f>
        <v/>
      </c>
      <c r="K88" s="42" t="str">
        <f>IF($B88="","",SUMPRODUCT(COUNTIFS(pbp_PlayType,EM_Type,pbp_Pitcher,$B88)*EM_HBP))</f>
        <v/>
      </c>
      <c r="L88" s="42" t="str">
        <f>IF($B88="","",COUNTIFS(pbp_PlayType,"?*",pbp_Desc,"*struck out*",pbp_Pitcher,$B88))</f>
        <v/>
      </c>
      <c r="M88" s="42" t="str">
        <f>IF($B88="","",SUMIFS(pbp_Runs,pbp_Pitcher,$B88))</f>
        <v/>
      </c>
      <c r="N88" s="42" t="str">
        <f>IF($B88="","",SUMPRODUCT(COUNTIFS(pbp_PlayType,EM_Type,pbp_Pitcher,$B88)*EM_AB))</f>
        <v/>
      </c>
      <c r="O88" s="42" t="str">
        <f>IF($B88="","",SUMPRODUCT(COUNTIFS(pbp_PlayType,EM_Type,pbp_Pitcher,$B88)*EM_SF))</f>
        <v/>
      </c>
      <c r="P88" s="42" t="str">
        <f>IF($B88="","",SUMIFS(pbp_Pitches,pbp_Pitcher,$B88,pbp_PlayType,"?*"))</f>
        <v/>
      </c>
      <c r="Q88" s="60" t="str">
        <f t="shared" si="10"/>
        <v/>
      </c>
      <c r="R88" s="59" t="str">
        <f>IF($B88="","",IF(E88=0,"",1-SUMPRODUCT((pbp_Pitcher=$B88)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88)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88" s="59" t="str">
        <f>IF($B88="","",IF((SUMPRODUCT((pbp_Pitcher=$B88)*(LEN(pbp_PlayType)&gt;0)))=0,"",(SUMPRODUCT((pbp_Pitcher=$B88)*(LEN(pbp_PlayType)&gt;0)*ISNUMBER(MATCH(LEFT(TRIM(pbp_Seq)&amp;"/",FIND("/",TRIM(pbp_Seq)&amp;"/")-1),{"S","F","FT","FB","IN","MB","POS"},0))))/(SUMPRODUCT((pbp_Pitcher=$B88)*(LEN(pbp_PlayType)&gt;0)))))</f>
        <v/>
      </c>
      <c r="T88" s="59" t="str">
        <f t="shared" si="11"/>
        <v/>
      </c>
      <c r="U88" s="59" t="str">
        <f t="shared" si="12"/>
        <v/>
      </c>
      <c r="V88" s="59" t="str">
        <f t="shared" si="13"/>
        <v/>
      </c>
      <c r="W88" s="60" t="str">
        <f t="shared" si="14"/>
        <v/>
      </c>
      <c r="X88" s="60" t="str">
        <f t="shared" si="15"/>
        <v/>
      </c>
      <c r="Y88" s="58" t="str">
        <f t="shared" si="16"/>
        <v/>
      </c>
      <c r="Z88" s="58" t="str">
        <f t="shared" si="17"/>
        <v/>
      </c>
      <c r="AA88" s="62" t="str">
        <f>IF($B88="","",IF(OR(E88&lt;MinBF,X88=""),"",COUNTIFS($E$6:$E$255,"&gt;="&amp;MinBF,$X$6:$X$255,"&lt;"&amp;X88)+COUNTIFS($E$5:E87,"&gt;="&amp;MinBF,$X$5:X87,X88)+1))</f>
        <v/>
      </c>
    </row>
    <row r="89" spans="2:27" x14ac:dyDescent="0.2">
      <c r="B89" s="44" t="str">
        <f t="array" ref="B89">IFERROR(INDEX(pbp_Pitcher,MATCH(0,COUNTIF($B$5:B88,pbp_Pitcher)+(pbp_Pitcher=""),0)),"")</f>
        <v/>
      </c>
      <c r="C89" s="61" t="str">
        <f>IF($B89="","",IFERROR(INDEX(pbp_PitTeam,MATCH($B89,pbp_Pitcher,0)),""))</f>
        <v/>
      </c>
      <c r="D89" s="61" t="str">
        <f>IF($B89="","",IFERROR(INDEX(pbp_PitHand,MATCH($B89,pbp_Pitcher,0)),""))</f>
        <v/>
      </c>
      <c r="E89" s="42" t="str">
        <f>IF($B89="","",SUMPRODUCT(COUNTIFS(pbp_PlayType,EM_Type,pbp_Pitcher,$B89)*EM_PA))</f>
        <v/>
      </c>
      <c r="F89" s="42" t="str">
        <f>IF($B89="","",SUMIFS(pbp_Outs,pbp_Pitcher,$B89))</f>
        <v/>
      </c>
      <c r="G89" s="70" t="str">
        <f t="shared" si="9"/>
        <v/>
      </c>
      <c r="H89" s="42" t="str">
        <f>IF($B89="","",SUMPRODUCT(COUNTIFS(pbp_PlayType,EM_Type,pbp_Pitcher,$B89)*EM_H))</f>
        <v/>
      </c>
      <c r="I89" s="42" t="str">
        <f>IF($B89="","",SUMPRODUCT(COUNTIFS(pbp_PlayType,EM_Type,pbp_Pitcher,$B89)*EM_HR))</f>
        <v/>
      </c>
      <c r="J89" s="42" t="str">
        <f>IF($B89="","",SUMPRODUCT(COUNTIFS(pbp_PlayType,EM_Type,pbp_Pitcher,$B89)*EM_BB))</f>
        <v/>
      </c>
      <c r="K89" s="42" t="str">
        <f>IF($B89="","",SUMPRODUCT(COUNTIFS(pbp_PlayType,EM_Type,pbp_Pitcher,$B89)*EM_HBP))</f>
        <v/>
      </c>
      <c r="L89" s="42" t="str">
        <f>IF($B89="","",COUNTIFS(pbp_PlayType,"?*",pbp_Desc,"*struck out*",pbp_Pitcher,$B89))</f>
        <v/>
      </c>
      <c r="M89" s="42" t="str">
        <f>IF($B89="","",SUMIFS(pbp_Runs,pbp_Pitcher,$B89))</f>
        <v/>
      </c>
      <c r="N89" s="42" t="str">
        <f>IF($B89="","",SUMPRODUCT(COUNTIFS(pbp_PlayType,EM_Type,pbp_Pitcher,$B89)*EM_AB))</f>
        <v/>
      </c>
      <c r="O89" s="42" t="str">
        <f>IF($B89="","",SUMPRODUCT(COUNTIFS(pbp_PlayType,EM_Type,pbp_Pitcher,$B89)*EM_SF))</f>
        <v/>
      </c>
      <c r="P89" s="42" t="str">
        <f>IF($B89="","",SUMIFS(pbp_Pitches,pbp_Pitcher,$B89,pbp_PlayType,"?*"))</f>
        <v/>
      </c>
      <c r="Q89" s="60" t="str">
        <f t="shared" si="10"/>
        <v/>
      </c>
      <c r="R89" s="59" t="str">
        <f>IF($B89="","",IF(E89=0,"",1-SUMPRODUCT((pbp_Pitcher=$B89)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89)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89" s="59" t="str">
        <f>IF($B89="","",IF((SUMPRODUCT((pbp_Pitcher=$B89)*(LEN(pbp_PlayType)&gt;0)))=0,"",(SUMPRODUCT((pbp_Pitcher=$B89)*(LEN(pbp_PlayType)&gt;0)*ISNUMBER(MATCH(LEFT(TRIM(pbp_Seq)&amp;"/",FIND("/",TRIM(pbp_Seq)&amp;"/")-1),{"S","F","FT","FB","IN","MB","POS"},0))))/(SUMPRODUCT((pbp_Pitcher=$B89)*(LEN(pbp_PlayType)&gt;0)))))</f>
        <v/>
      </c>
      <c r="T89" s="59" t="str">
        <f t="shared" si="11"/>
        <v/>
      </c>
      <c r="U89" s="59" t="str">
        <f t="shared" si="12"/>
        <v/>
      </c>
      <c r="V89" s="59" t="str">
        <f t="shared" si="13"/>
        <v/>
      </c>
      <c r="W89" s="60" t="str">
        <f t="shared" si="14"/>
        <v/>
      </c>
      <c r="X89" s="60" t="str">
        <f t="shared" si="15"/>
        <v/>
      </c>
      <c r="Y89" s="58" t="str">
        <f t="shared" si="16"/>
        <v/>
      </c>
      <c r="Z89" s="58" t="str">
        <f t="shared" si="17"/>
        <v/>
      </c>
      <c r="AA89" s="62" t="str">
        <f>IF($B89="","",IF(OR(E89&lt;MinBF,X89=""),"",COUNTIFS($E$6:$E$255,"&gt;="&amp;MinBF,$X$6:$X$255,"&lt;"&amp;X89)+COUNTIFS($E$5:E88,"&gt;="&amp;MinBF,$X$5:X88,X89)+1))</f>
        <v/>
      </c>
    </row>
    <row r="90" spans="2:27" x14ac:dyDescent="0.2">
      <c r="B90" s="44" t="str">
        <f t="array" ref="B90">IFERROR(INDEX(pbp_Pitcher,MATCH(0,COUNTIF($B$5:B89,pbp_Pitcher)+(pbp_Pitcher=""),0)),"")</f>
        <v/>
      </c>
      <c r="C90" s="61" t="str">
        <f>IF($B90="","",IFERROR(INDEX(pbp_PitTeam,MATCH($B90,pbp_Pitcher,0)),""))</f>
        <v/>
      </c>
      <c r="D90" s="61" t="str">
        <f>IF($B90="","",IFERROR(INDEX(pbp_PitHand,MATCH($B90,pbp_Pitcher,0)),""))</f>
        <v/>
      </c>
      <c r="E90" s="42" t="str">
        <f>IF($B90="","",SUMPRODUCT(COUNTIFS(pbp_PlayType,EM_Type,pbp_Pitcher,$B90)*EM_PA))</f>
        <v/>
      </c>
      <c r="F90" s="42" t="str">
        <f>IF($B90="","",SUMIFS(pbp_Outs,pbp_Pitcher,$B90))</f>
        <v/>
      </c>
      <c r="G90" s="70" t="str">
        <f t="shared" si="9"/>
        <v/>
      </c>
      <c r="H90" s="42" t="str">
        <f>IF($B90="","",SUMPRODUCT(COUNTIFS(pbp_PlayType,EM_Type,pbp_Pitcher,$B90)*EM_H))</f>
        <v/>
      </c>
      <c r="I90" s="42" t="str">
        <f>IF($B90="","",SUMPRODUCT(COUNTIFS(pbp_PlayType,EM_Type,pbp_Pitcher,$B90)*EM_HR))</f>
        <v/>
      </c>
      <c r="J90" s="42" t="str">
        <f>IF($B90="","",SUMPRODUCT(COUNTIFS(pbp_PlayType,EM_Type,pbp_Pitcher,$B90)*EM_BB))</f>
        <v/>
      </c>
      <c r="K90" s="42" t="str">
        <f>IF($B90="","",SUMPRODUCT(COUNTIFS(pbp_PlayType,EM_Type,pbp_Pitcher,$B90)*EM_HBP))</f>
        <v/>
      </c>
      <c r="L90" s="42" t="str">
        <f>IF($B90="","",COUNTIFS(pbp_PlayType,"?*",pbp_Desc,"*struck out*",pbp_Pitcher,$B90))</f>
        <v/>
      </c>
      <c r="M90" s="42" t="str">
        <f>IF($B90="","",SUMIFS(pbp_Runs,pbp_Pitcher,$B90))</f>
        <v/>
      </c>
      <c r="N90" s="42" t="str">
        <f>IF($B90="","",SUMPRODUCT(COUNTIFS(pbp_PlayType,EM_Type,pbp_Pitcher,$B90)*EM_AB))</f>
        <v/>
      </c>
      <c r="O90" s="42" t="str">
        <f>IF($B90="","",SUMPRODUCT(COUNTIFS(pbp_PlayType,EM_Type,pbp_Pitcher,$B90)*EM_SF))</f>
        <v/>
      </c>
      <c r="P90" s="42" t="str">
        <f>IF($B90="","",SUMIFS(pbp_Pitches,pbp_Pitcher,$B90,pbp_PlayType,"?*"))</f>
        <v/>
      </c>
      <c r="Q90" s="60" t="str">
        <f t="shared" si="10"/>
        <v/>
      </c>
      <c r="R90" s="59" t="str">
        <f>IF($B90="","",IF(E90=0,"",1-SUMPRODUCT((pbp_Pitcher=$B90)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90)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90" s="59" t="str">
        <f>IF($B90="","",IF((SUMPRODUCT((pbp_Pitcher=$B90)*(LEN(pbp_PlayType)&gt;0)))=0,"",(SUMPRODUCT((pbp_Pitcher=$B90)*(LEN(pbp_PlayType)&gt;0)*ISNUMBER(MATCH(LEFT(TRIM(pbp_Seq)&amp;"/",FIND("/",TRIM(pbp_Seq)&amp;"/")-1),{"S","F","FT","FB","IN","MB","POS"},0))))/(SUMPRODUCT((pbp_Pitcher=$B90)*(LEN(pbp_PlayType)&gt;0)))))</f>
        <v/>
      </c>
      <c r="T90" s="59" t="str">
        <f t="shared" si="11"/>
        <v/>
      </c>
      <c r="U90" s="59" t="str">
        <f t="shared" si="12"/>
        <v/>
      </c>
      <c r="V90" s="59" t="str">
        <f t="shared" si="13"/>
        <v/>
      </c>
      <c r="W90" s="60" t="str">
        <f t="shared" si="14"/>
        <v/>
      </c>
      <c r="X90" s="60" t="str">
        <f t="shared" si="15"/>
        <v/>
      </c>
      <c r="Y90" s="58" t="str">
        <f t="shared" si="16"/>
        <v/>
      </c>
      <c r="Z90" s="58" t="str">
        <f t="shared" si="17"/>
        <v/>
      </c>
      <c r="AA90" s="62" t="str">
        <f>IF($B90="","",IF(OR(E90&lt;MinBF,X90=""),"",COUNTIFS($E$6:$E$255,"&gt;="&amp;MinBF,$X$6:$X$255,"&lt;"&amp;X90)+COUNTIFS($E$5:E89,"&gt;="&amp;MinBF,$X$5:X89,X90)+1))</f>
        <v/>
      </c>
    </row>
    <row r="91" spans="2:27" x14ac:dyDescent="0.2">
      <c r="B91" s="44" t="str">
        <f t="array" ref="B91">IFERROR(INDEX(pbp_Pitcher,MATCH(0,COUNTIF($B$5:B90,pbp_Pitcher)+(pbp_Pitcher=""),0)),"")</f>
        <v/>
      </c>
      <c r="C91" s="61" t="str">
        <f>IF($B91="","",IFERROR(INDEX(pbp_PitTeam,MATCH($B91,pbp_Pitcher,0)),""))</f>
        <v/>
      </c>
      <c r="D91" s="61" t="str">
        <f>IF($B91="","",IFERROR(INDEX(pbp_PitHand,MATCH($B91,pbp_Pitcher,0)),""))</f>
        <v/>
      </c>
      <c r="E91" s="42" t="str">
        <f>IF($B91="","",SUMPRODUCT(COUNTIFS(pbp_PlayType,EM_Type,pbp_Pitcher,$B91)*EM_PA))</f>
        <v/>
      </c>
      <c r="F91" s="42" t="str">
        <f>IF($B91="","",SUMIFS(pbp_Outs,pbp_Pitcher,$B91))</f>
        <v/>
      </c>
      <c r="G91" s="70" t="str">
        <f t="shared" si="9"/>
        <v/>
      </c>
      <c r="H91" s="42" t="str">
        <f>IF($B91="","",SUMPRODUCT(COUNTIFS(pbp_PlayType,EM_Type,pbp_Pitcher,$B91)*EM_H))</f>
        <v/>
      </c>
      <c r="I91" s="42" t="str">
        <f>IF($B91="","",SUMPRODUCT(COUNTIFS(pbp_PlayType,EM_Type,pbp_Pitcher,$B91)*EM_HR))</f>
        <v/>
      </c>
      <c r="J91" s="42" t="str">
        <f>IF($B91="","",SUMPRODUCT(COUNTIFS(pbp_PlayType,EM_Type,pbp_Pitcher,$B91)*EM_BB))</f>
        <v/>
      </c>
      <c r="K91" s="42" t="str">
        <f>IF($B91="","",SUMPRODUCT(COUNTIFS(pbp_PlayType,EM_Type,pbp_Pitcher,$B91)*EM_HBP))</f>
        <v/>
      </c>
      <c r="L91" s="42" t="str">
        <f>IF($B91="","",COUNTIFS(pbp_PlayType,"?*",pbp_Desc,"*struck out*",pbp_Pitcher,$B91))</f>
        <v/>
      </c>
      <c r="M91" s="42" t="str">
        <f>IF($B91="","",SUMIFS(pbp_Runs,pbp_Pitcher,$B91))</f>
        <v/>
      </c>
      <c r="N91" s="42" t="str">
        <f>IF($B91="","",SUMPRODUCT(COUNTIFS(pbp_PlayType,EM_Type,pbp_Pitcher,$B91)*EM_AB))</f>
        <v/>
      </c>
      <c r="O91" s="42" t="str">
        <f>IF($B91="","",SUMPRODUCT(COUNTIFS(pbp_PlayType,EM_Type,pbp_Pitcher,$B91)*EM_SF))</f>
        <v/>
      </c>
      <c r="P91" s="42" t="str">
        <f>IF($B91="","",SUMIFS(pbp_Pitches,pbp_Pitcher,$B91,pbp_PlayType,"?*"))</f>
        <v/>
      </c>
      <c r="Q91" s="60" t="str">
        <f t="shared" si="10"/>
        <v/>
      </c>
      <c r="R91" s="59" t="str">
        <f>IF($B91="","",IF(E91=0,"",1-SUMPRODUCT((pbp_Pitcher=$B91)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91)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91" s="59" t="str">
        <f>IF($B91="","",IF((SUMPRODUCT((pbp_Pitcher=$B91)*(LEN(pbp_PlayType)&gt;0)))=0,"",(SUMPRODUCT((pbp_Pitcher=$B91)*(LEN(pbp_PlayType)&gt;0)*ISNUMBER(MATCH(LEFT(TRIM(pbp_Seq)&amp;"/",FIND("/",TRIM(pbp_Seq)&amp;"/")-1),{"S","F","FT","FB","IN","MB","POS"},0))))/(SUMPRODUCT((pbp_Pitcher=$B91)*(LEN(pbp_PlayType)&gt;0)))))</f>
        <v/>
      </c>
      <c r="T91" s="59" t="str">
        <f t="shared" si="11"/>
        <v/>
      </c>
      <c r="U91" s="59" t="str">
        <f t="shared" si="12"/>
        <v/>
      </c>
      <c r="V91" s="59" t="str">
        <f t="shared" si="13"/>
        <v/>
      </c>
      <c r="W91" s="60" t="str">
        <f t="shared" si="14"/>
        <v/>
      </c>
      <c r="X91" s="60" t="str">
        <f t="shared" si="15"/>
        <v/>
      </c>
      <c r="Y91" s="58" t="str">
        <f t="shared" si="16"/>
        <v/>
      </c>
      <c r="Z91" s="58" t="str">
        <f t="shared" si="17"/>
        <v/>
      </c>
      <c r="AA91" s="62" t="str">
        <f>IF($B91="","",IF(OR(E91&lt;MinBF,X91=""),"",COUNTIFS($E$6:$E$255,"&gt;="&amp;MinBF,$X$6:$X$255,"&lt;"&amp;X91)+COUNTIFS($E$5:E90,"&gt;="&amp;MinBF,$X$5:X90,X91)+1))</f>
        <v/>
      </c>
    </row>
    <row r="92" spans="2:27" x14ac:dyDescent="0.2">
      <c r="B92" s="44" t="str">
        <f t="array" ref="B92">IFERROR(INDEX(pbp_Pitcher,MATCH(0,COUNTIF($B$5:B91,pbp_Pitcher)+(pbp_Pitcher=""),0)),"")</f>
        <v/>
      </c>
      <c r="C92" s="61" t="str">
        <f>IF($B92="","",IFERROR(INDEX(pbp_PitTeam,MATCH($B92,pbp_Pitcher,0)),""))</f>
        <v/>
      </c>
      <c r="D92" s="61" t="str">
        <f>IF($B92="","",IFERROR(INDEX(pbp_PitHand,MATCH($B92,pbp_Pitcher,0)),""))</f>
        <v/>
      </c>
      <c r="E92" s="42" t="str">
        <f>IF($B92="","",SUMPRODUCT(COUNTIFS(pbp_PlayType,EM_Type,pbp_Pitcher,$B92)*EM_PA))</f>
        <v/>
      </c>
      <c r="F92" s="42" t="str">
        <f>IF($B92="","",SUMIFS(pbp_Outs,pbp_Pitcher,$B92))</f>
        <v/>
      </c>
      <c r="G92" s="70" t="str">
        <f t="shared" si="9"/>
        <v/>
      </c>
      <c r="H92" s="42" t="str">
        <f>IF($B92="","",SUMPRODUCT(COUNTIFS(pbp_PlayType,EM_Type,pbp_Pitcher,$B92)*EM_H))</f>
        <v/>
      </c>
      <c r="I92" s="42" t="str">
        <f>IF($B92="","",SUMPRODUCT(COUNTIFS(pbp_PlayType,EM_Type,pbp_Pitcher,$B92)*EM_HR))</f>
        <v/>
      </c>
      <c r="J92" s="42" t="str">
        <f>IF($B92="","",SUMPRODUCT(COUNTIFS(pbp_PlayType,EM_Type,pbp_Pitcher,$B92)*EM_BB))</f>
        <v/>
      </c>
      <c r="K92" s="42" t="str">
        <f>IF($B92="","",SUMPRODUCT(COUNTIFS(pbp_PlayType,EM_Type,pbp_Pitcher,$B92)*EM_HBP))</f>
        <v/>
      </c>
      <c r="L92" s="42" t="str">
        <f>IF($B92="","",COUNTIFS(pbp_PlayType,"?*",pbp_Desc,"*struck out*",pbp_Pitcher,$B92))</f>
        <v/>
      </c>
      <c r="M92" s="42" t="str">
        <f>IF($B92="","",SUMIFS(pbp_Runs,pbp_Pitcher,$B92))</f>
        <v/>
      </c>
      <c r="N92" s="42" t="str">
        <f>IF($B92="","",SUMPRODUCT(COUNTIFS(pbp_PlayType,EM_Type,pbp_Pitcher,$B92)*EM_AB))</f>
        <v/>
      </c>
      <c r="O92" s="42" t="str">
        <f>IF($B92="","",SUMPRODUCT(COUNTIFS(pbp_PlayType,EM_Type,pbp_Pitcher,$B92)*EM_SF))</f>
        <v/>
      </c>
      <c r="P92" s="42" t="str">
        <f>IF($B92="","",SUMIFS(pbp_Pitches,pbp_Pitcher,$B92,pbp_PlayType,"?*"))</f>
        <v/>
      </c>
      <c r="Q92" s="60" t="str">
        <f t="shared" si="10"/>
        <v/>
      </c>
      <c r="R92" s="59" t="str">
        <f>IF($B92="","",IF(E92=0,"",1-SUMPRODUCT((pbp_Pitcher=$B92)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92)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92" s="59" t="str">
        <f>IF($B92="","",IF((SUMPRODUCT((pbp_Pitcher=$B92)*(LEN(pbp_PlayType)&gt;0)))=0,"",(SUMPRODUCT((pbp_Pitcher=$B92)*(LEN(pbp_PlayType)&gt;0)*ISNUMBER(MATCH(LEFT(TRIM(pbp_Seq)&amp;"/",FIND("/",TRIM(pbp_Seq)&amp;"/")-1),{"S","F","FT","FB","IN","MB","POS"},0))))/(SUMPRODUCT((pbp_Pitcher=$B92)*(LEN(pbp_PlayType)&gt;0)))))</f>
        <v/>
      </c>
      <c r="T92" s="59" t="str">
        <f t="shared" si="11"/>
        <v/>
      </c>
      <c r="U92" s="59" t="str">
        <f t="shared" si="12"/>
        <v/>
      </c>
      <c r="V92" s="59" t="str">
        <f t="shared" si="13"/>
        <v/>
      </c>
      <c r="W92" s="60" t="str">
        <f t="shared" si="14"/>
        <v/>
      </c>
      <c r="X92" s="60" t="str">
        <f t="shared" si="15"/>
        <v/>
      </c>
      <c r="Y92" s="58" t="str">
        <f t="shared" si="16"/>
        <v/>
      </c>
      <c r="Z92" s="58" t="str">
        <f t="shared" si="17"/>
        <v/>
      </c>
      <c r="AA92" s="62" t="str">
        <f>IF($B92="","",IF(OR(E92&lt;MinBF,X92=""),"",COUNTIFS($E$6:$E$255,"&gt;="&amp;MinBF,$X$6:$X$255,"&lt;"&amp;X92)+COUNTIFS($E$5:E91,"&gt;="&amp;MinBF,$X$5:X91,X92)+1))</f>
        <v/>
      </c>
    </row>
    <row r="93" spans="2:27" x14ac:dyDescent="0.2">
      <c r="B93" s="44" t="str">
        <f t="array" ref="B93">IFERROR(INDEX(pbp_Pitcher,MATCH(0,COUNTIF($B$5:B92,pbp_Pitcher)+(pbp_Pitcher=""),0)),"")</f>
        <v/>
      </c>
      <c r="C93" s="61" t="str">
        <f>IF($B93="","",IFERROR(INDEX(pbp_PitTeam,MATCH($B93,pbp_Pitcher,0)),""))</f>
        <v/>
      </c>
      <c r="D93" s="61" t="str">
        <f>IF($B93="","",IFERROR(INDEX(pbp_PitHand,MATCH($B93,pbp_Pitcher,0)),""))</f>
        <v/>
      </c>
      <c r="E93" s="42" t="str">
        <f>IF($B93="","",SUMPRODUCT(COUNTIFS(pbp_PlayType,EM_Type,pbp_Pitcher,$B93)*EM_PA))</f>
        <v/>
      </c>
      <c r="F93" s="42" t="str">
        <f>IF($B93="","",SUMIFS(pbp_Outs,pbp_Pitcher,$B93))</f>
        <v/>
      </c>
      <c r="G93" s="70" t="str">
        <f t="shared" si="9"/>
        <v/>
      </c>
      <c r="H93" s="42" t="str">
        <f>IF($B93="","",SUMPRODUCT(COUNTIFS(pbp_PlayType,EM_Type,pbp_Pitcher,$B93)*EM_H))</f>
        <v/>
      </c>
      <c r="I93" s="42" t="str">
        <f>IF($B93="","",SUMPRODUCT(COUNTIFS(pbp_PlayType,EM_Type,pbp_Pitcher,$B93)*EM_HR))</f>
        <v/>
      </c>
      <c r="J93" s="42" t="str">
        <f>IF($B93="","",SUMPRODUCT(COUNTIFS(pbp_PlayType,EM_Type,pbp_Pitcher,$B93)*EM_BB))</f>
        <v/>
      </c>
      <c r="K93" s="42" t="str">
        <f>IF($B93="","",SUMPRODUCT(COUNTIFS(pbp_PlayType,EM_Type,pbp_Pitcher,$B93)*EM_HBP))</f>
        <v/>
      </c>
      <c r="L93" s="42" t="str">
        <f>IF($B93="","",COUNTIFS(pbp_PlayType,"?*",pbp_Desc,"*struck out*",pbp_Pitcher,$B93))</f>
        <v/>
      </c>
      <c r="M93" s="42" t="str">
        <f>IF($B93="","",SUMIFS(pbp_Runs,pbp_Pitcher,$B93))</f>
        <v/>
      </c>
      <c r="N93" s="42" t="str">
        <f>IF($B93="","",SUMPRODUCT(COUNTIFS(pbp_PlayType,EM_Type,pbp_Pitcher,$B93)*EM_AB))</f>
        <v/>
      </c>
      <c r="O93" s="42" t="str">
        <f>IF($B93="","",SUMPRODUCT(COUNTIFS(pbp_PlayType,EM_Type,pbp_Pitcher,$B93)*EM_SF))</f>
        <v/>
      </c>
      <c r="P93" s="42" t="str">
        <f>IF($B93="","",SUMIFS(pbp_Pitches,pbp_Pitcher,$B93,pbp_PlayType,"?*"))</f>
        <v/>
      </c>
      <c r="Q93" s="60" t="str">
        <f t="shared" si="10"/>
        <v/>
      </c>
      <c r="R93" s="59" t="str">
        <f>IF($B93="","",IF(E93=0,"",1-SUMPRODUCT((pbp_Pitcher=$B93)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93)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93" s="59" t="str">
        <f>IF($B93="","",IF((SUMPRODUCT((pbp_Pitcher=$B93)*(LEN(pbp_PlayType)&gt;0)))=0,"",(SUMPRODUCT((pbp_Pitcher=$B93)*(LEN(pbp_PlayType)&gt;0)*ISNUMBER(MATCH(LEFT(TRIM(pbp_Seq)&amp;"/",FIND("/",TRIM(pbp_Seq)&amp;"/")-1),{"S","F","FT","FB","IN","MB","POS"},0))))/(SUMPRODUCT((pbp_Pitcher=$B93)*(LEN(pbp_PlayType)&gt;0)))))</f>
        <v/>
      </c>
      <c r="T93" s="59" t="str">
        <f t="shared" si="11"/>
        <v/>
      </c>
      <c r="U93" s="59" t="str">
        <f t="shared" si="12"/>
        <v/>
      </c>
      <c r="V93" s="59" t="str">
        <f t="shared" si="13"/>
        <v/>
      </c>
      <c r="W93" s="60" t="str">
        <f t="shared" si="14"/>
        <v/>
      </c>
      <c r="X93" s="60" t="str">
        <f t="shared" si="15"/>
        <v/>
      </c>
      <c r="Y93" s="58" t="str">
        <f t="shared" si="16"/>
        <v/>
      </c>
      <c r="Z93" s="58" t="str">
        <f t="shared" si="17"/>
        <v/>
      </c>
      <c r="AA93" s="62" t="str">
        <f>IF($B93="","",IF(OR(E93&lt;MinBF,X93=""),"",COUNTIFS($E$6:$E$255,"&gt;="&amp;MinBF,$X$6:$X$255,"&lt;"&amp;X93)+COUNTIFS($E$5:E92,"&gt;="&amp;MinBF,$X$5:X92,X93)+1))</f>
        <v/>
      </c>
    </row>
    <row r="94" spans="2:27" x14ac:dyDescent="0.2">
      <c r="B94" s="44" t="str">
        <f t="array" ref="B94">IFERROR(INDEX(pbp_Pitcher,MATCH(0,COUNTIF($B$5:B93,pbp_Pitcher)+(pbp_Pitcher=""),0)),"")</f>
        <v/>
      </c>
      <c r="C94" s="61" t="str">
        <f>IF($B94="","",IFERROR(INDEX(pbp_PitTeam,MATCH($B94,pbp_Pitcher,0)),""))</f>
        <v/>
      </c>
      <c r="D94" s="61" t="str">
        <f>IF($B94="","",IFERROR(INDEX(pbp_PitHand,MATCH($B94,pbp_Pitcher,0)),""))</f>
        <v/>
      </c>
      <c r="E94" s="42" t="str">
        <f>IF($B94="","",SUMPRODUCT(COUNTIFS(pbp_PlayType,EM_Type,pbp_Pitcher,$B94)*EM_PA))</f>
        <v/>
      </c>
      <c r="F94" s="42" t="str">
        <f>IF($B94="","",SUMIFS(pbp_Outs,pbp_Pitcher,$B94))</f>
        <v/>
      </c>
      <c r="G94" s="70" t="str">
        <f t="shared" si="9"/>
        <v/>
      </c>
      <c r="H94" s="42" t="str">
        <f>IF($B94="","",SUMPRODUCT(COUNTIFS(pbp_PlayType,EM_Type,pbp_Pitcher,$B94)*EM_H))</f>
        <v/>
      </c>
      <c r="I94" s="42" t="str">
        <f>IF($B94="","",SUMPRODUCT(COUNTIFS(pbp_PlayType,EM_Type,pbp_Pitcher,$B94)*EM_HR))</f>
        <v/>
      </c>
      <c r="J94" s="42" t="str">
        <f>IF($B94="","",SUMPRODUCT(COUNTIFS(pbp_PlayType,EM_Type,pbp_Pitcher,$B94)*EM_BB))</f>
        <v/>
      </c>
      <c r="K94" s="42" t="str">
        <f>IF($B94="","",SUMPRODUCT(COUNTIFS(pbp_PlayType,EM_Type,pbp_Pitcher,$B94)*EM_HBP))</f>
        <v/>
      </c>
      <c r="L94" s="42" t="str">
        <f>IF($B94="","",COUNTIFS(pbp_PlayType,"?*",pbp_Desc,"*struck out*",pbp_Pitcher,$B94))</f>
        <v/>
      </c>
      <c r="M94" s="42" t="str">
        <f>IF($B94="","",SUMIFS(pbp_Runs,pbp_Pitcher,$B94))</f>
        <v/>
      </c>
      <c r="N94" s="42" t="str">
        <f>IF($B94="","",SUMPRODUCT(COUNTIFS(pbp_PlayType,EM_Type,pbp_Pitcher,$B94)*EM_AB))</f>
        <v/>
      </c>
      <c r="O94" s="42" t="str">
        <f>IF($B94="","",SUMPRODUCT(COUNTIFS(pbp_PlayType,EM_Type,pbp_Pitcher,$B94)*EM_SF))</f>
        <v/>
      </c>
      <c r="P94" s="42" t="str">
        <f>IF($B94="","",SUMIFS(pbp_Pitches,pbp_Pitcher,$B94,pbp_PlayType,"?*"))</f>
        <v/>
      </c>
      <c r="Q94" s="60" t="str">
        <f t="shared" si="10"/>
        <v/>
      </c>
      <c r="R94" s="59" t="str">
        <f>IF($B94="","",IF(E94=0,"",1-SUMPRODUCT((pbp_Pitcher=$B94)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94)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94" s="59" t="str">
        <f>IF($B94="","",IF((SUMPRODUCT((pbp_Pitcher=$B94)*(LEN(pbp_PlayType)&gt;0)))=0,"",(SUMPRODUCT((pbp_Pitcher=$B94)*(LEN(pbp_PlayType)&gt;0)*ISNUMBER(MATCH(LEFT(TRIM(pbp_Seq)&amp;"/",FIND("/",TRIM(pbp_Seq)&amp;"/")-1),{"S","F","FT","FB","IN","MB","POS"},0))))/(SUMPRODUCT((pbp_Pitcher=$B94)*(LEN(pbp_PlayType)&gt;0)))))</f>
        <v/>
      </c>
      <c r="T94" s="59" t="str">
        <f t="shared" si="11"/>
        <v/>
      </c>
      <c r="U94" s="59" t="str">
        <f t="shared" si="12"/>
        <v/>
      </c>
      <c r="V94" s="59" t="str">
        <f t="shared" si="13"/>
        <v/>
      </c>
      <c r="W94" s="60" t="str">
        <f t="shared" si="14"/>
        <v/>
      </c>
      <c r="X94" s="60" t="str">
        <f t="shared" si="15"/>
        <v/>
      </c>
      <c r="Y94" s="58" t="str">
        <f t="shared" si="16"/>
        <v/>
      </c>
      <c r="Z94" s="58" t="str">
        <f t="shared" si="17"/>
        <v/>
      </c>
      <c r="AA94" s="62" t="str">
        <f>IF($B94="","",IF(OR(E94&lt;MinBF,X94=""),"",COUNTIFS($E$6:$E$255,"&gt;="&amp;MinBF,$X$6:$X$255,"&lt;"&amp;X94)+COUNTIFS($E$5:E93,"&gt;="&amp;MinBF,$X$5:X93,X94)+1))</f>
        <v/>
      </c>
    </row>
    <row r="95" spans="2:27" x14ac:dyDescent="0.2">
      <c r="B95" s="44" t="str">
        <f t="array" ref="B95">IFERROR(INDEX(pbp_Pitcher,MATCH(0,COUNTIF($B$5:B94,pbp_Pitcher)+(pbp_Pitcher=""),0)),"")</f>
        <v/>
      </c>
      <c r="C95" s="61" t="str">
        <f>IF($B95="","",IFERROR(INDEX(pbp_PitTeam,MATCH($B95,pbp_Pitcher,0)),""))</f>
        <v/>
      </c>
      <c r="D95" s="61" t="str">
        <f>IF($B95="","",IFERROR(INDEX(pbp_PitHand,MATCH($B95,pbp_Pitcher,0)),""))</f>
        <v/>
      </c>
      <c r="E95" s="42" t="str">
        <f>IF($B95="","",SUMPRODUCT(COUNTIFS(pbp_PlayType,EM_Type,pbp_Pitcher,$B95)*EM_PA))</f>
        <v/>
      </c>
      <c r="F95" s="42" t="str">
        <f>IF($B95="","",SUMIFS(pbp_Outs,pbp_Pitcher,$B95))</f>
        <v/>
      </c>
      <c r="G95" s="70" t="str">
        <f t="shared" si="9"/>
        <v/>
      </c>
      <c r="H95" s="42" t="str">
        <f>IF($B95="","",SUMPRODUCT(COUNTIFS(pbp_PlayType,EM_Type,pbp_Pitcher,$B95)*EM_H))</f>
        <v/>
      </c>
      <c r="I95" s="42" t="str">
        <f>IF($B95="","",SUMPRODUCT(COUNTIFS(pbp_PlayType,EM_Type,pbp_Pitcher,$B95)*EM_HR))</f>
        <v/>
      </c>
      <c r="J95" s="42" t="str">
        <f>IF($B95="","",SUMPRODUCT(COUNTIFS(pbp_PlayType,EM_Type,pbp_Pitcher,$B95)*EM_BB))</f>
        <v/>
      </c>
      <c r="K95" s="42" t="str">
        <f>IF($B95="","",SUMPRODUCT(COUNTIFS(pbp_PlayType,EM_Type,pbp_Pitcher,$B95)*EM_HBP))</f>
        <v/>
      </c>
      <c r="L95" s="42" t="str">
        <f>IF($B95="","",COUNTIFS(pbp_PlayType,"?*",pbp_Desc,"*struck out*",pbp_Pitcher,$B95))</f>
        <v/>
      </c>
      <c r="M95" s="42" t="str">
        <f>IF($B95="","",SUMIFS(pbp_Runs,pbp_Pitcher,$B95))</f>
        <v/>
      </c>
      <c r="N95" s="42" t="str">
        <f>IF($B95="","",SUMPRODUCT(COUNTIFS(pbp_PlayType,EM_Type,pbp_Pitcher,$B95)*EM_AB))</f>
        <v/>
      </c>
      <c r="O95" s="42" t="str">
        <f>IF($B95="","",SUMPRODUCT(COUNTIFS(pbp_PlayType,EM_Type,pbp_Pitcher,$B95)*EM_SF))</f>
        <v/>
      </c>
      <c r="P95" s="42" t="str">
        <f>IF($B95="","",SUMIFS(pbp_Pitches,pbp_Pitcher,$B95,pbp_PlayType,"?*"))</f>
        <v/>
      </c>
      <c r="Q95" s="60" t="str">
        <f t="shared" si="10"/>
        <v/>
      </c>
      <c r="R95" s="59" t="str">
        <f>IF($B95="","",IF(E95=0,"",1-SUMPRODUCT((pbp_Pitcher=$B95)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95)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95" s="59" t="str">
        <f>IF($B95="","",IF((SUMPRODUCT((pbp_Pitcher=$B95)*(LEN(pbp_PlayType)&gt;0)))=0,"",(SUMPRODUCT((pbp_Pitcher=$B95)*(LEN(pbp_PlayType)&gt;0)*ISNUMBER(MATCH(LEFT(TRIM(pbp_Seq)&amp;"/",FIND("/",TRIM(pbp_Seq)&amp;"/")-1),{"S","F","FT","FB","IN","MB","POS"},0))))/(SUMPRODUCT((pbp_Pitcher=$B95)*(LEN(pbp_PlayType)&gt;0)))))</f>
        <v/>
      </c>
      <c r="T95" s="59" t="str">
        <f t="shared" si="11"/>
        <v/>
      </c>
      <c r="U95" s="59" t="str">
        <f t="shared" si="12"/>
        <v/>
      </c>
      <c r="V95" s="59" t="str">
        <f t="shared" si="13"/>
        <v/>
      </c>
      <c r="W95" s="60" t="str">
        <f t="shared" si="14"/>
        <v/>
      </c>
      <c r="X95" s="60" t="str">
        <f t="shared" si="15"/>
        <v/>
      </c>
      <c r="Y95" s="58" t="str">
        <f t="shared" si="16"/>
        <v/>
      </c>
      <c r="Z95" s="58" t="str">
        <f t="shared" si="17"/>
        <v/>
      </c>
      <c r="AA95" s="62" t="str">
        <f>IF($B95="","",IF(OR(E95&lt;MinBF,X95=""),"",COUNTIFS($E$6:$E$255,"&gt;="&amp;MinBF,$X$6:$X$255,"&lt;"&amp;X95)+COUNTIFS($E$5:E94,"&gt;="&amp;MinBF,$X$5:X94,X95)+1))</f>
        <v/>
      </c>
    </row>
    <row r="96" spans="2:27" x14ac:dyDescent="0.2">
      <c r="B96" s="44" t="str">
        <f t="array" ref="B96">IFERROR(INDEX(pbp_Pitcher,MATCH(0,COUNTIF($B$5:B95,pbp_Pitcher)+(pbp_Pitcher=""),0)),"")</f>
        <v/>
      </c>
      <c r="C96" s="61" t="str">
        <f>IF($B96="","",IFERROR(INDEX(pbp_PitTeam,MATCH($B96,pbp_Pitcher,0)),""))</f>
        <v/>
      </c>
      <c r="D96" s="61" t="str">
        <f>IF($B96="","",IFERROR(INDEX(pbp_PitHand,MATCH($B96,pbp_Pitcher,0)),""))</f>
        <v/>
      </c>
      <c r="E96" s="42" t="str">
        <f>IF($B96="","",SUMPRODUCT(COUNTIFS(pbp_PlayType,EM_Type,pbp_Pitcher,$B96)*EM_PA))</f>
        <v/>
      </c>
      <c r="F96" s="42" t="str">
        <f>IF($B96="","",SUMIFS(pbp_Outs,pbp_Pitcher,$B96))</f>
        <v/>
      </c>
      <c r="G96" s="70" t="str">
        <f t="shared" si="9"/>
        <v/>
      </c>
      <c r="H96" s="42" t="str">
        <f>IF($B96="","",SUMPRODUCT(COUNTIFS(pbp_PlayType,EM_Type,pbp_Pitcher,$B96)*EM_H))</f>
        <v/>
      </c>
      <c r="I96" s="42" t="str">
        <f>IF($B96="","",SUMPRODUCT(COUNTIFS(pbp_PlayType,EM_Type,pbp_Pitcher,$B96)*EM_HR))</f>
        <v/>
      </c>
      <c r="J96" s="42" t="str">
        <f>IF($B96="","",SUMPRODUCT(COUNTIFS(pbp_PlayType,EM_Type,pbp_Pitcher,$B96)*EM_BB))</f>
        <v/>
      </c>
      <c r="K96" s="42" t="str">
        <f>IF($B96="","",SUMPRODUCT(COUNTIFS(pbp_PlayType,EM_Type,pbp_Pitcher,$B96)*EM_HBP))</f>
        <v/>
      </c>
      <c r="L96" s="42" t="str">
        <f>IF($B96="","",COUNTIFS(pbp_PlayType,"?*",pbp_Desc,"*struck out*",pbp_Pitcher,$B96))</f>
        <v/>
      </c>
      <c r="M96" s="42" t="str">
        <f>IF($B96="","",SUMIFS(pbp_Runs,pbp_Pitcher,$B96))</f>
        <v/>
      </c>
      <c r="N96" s="42" t="str">
        <f>IF($B96="","",SUMPRODUCT(COUNTIFS(pbp_PlayType,EM_Type,pbp_Pitcher,$B96)*EM_AB))</f>
        <v/>
      </c>
      <c r="O96" s="42" t="str">
        <f>IF($B96="","",SUMPRODUCT(COUNTIFS(pbp_PlayType,EM_Type,pbp_Pitcher,$B96)*EM_SF))</f>
        <v/>
      </c>
      <c r="P96" s="42" t="str">
        <f>IF($B96="","",SUMIFS(pbp_Pitches,pbp_Pitcher,$B96,pbp_PlayType,"?*"))</f>
        <v/>
      </c>
      <c r="Q96" s="60" t="str">
        <f t="shared" si="10"/>
        <v/>
      </c>
      <c r="R96" s="59" t="str">
        <f>IF($B96="","",IF(E96=0,"",1-SUMPRODUCT((pbp_Pitcher=$B96)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96)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96" s="59" t="str">
        <f>IF($B96="","",IF((SUMPRODUCT((pbp_Pitcher=$B96)*(LEN(pbp_PlayType)&gt;0)))=0,"",(SUMPRODUCT((pbp_Pitcher=$B96)*(LEN(pbp_PlayType)&gt;0)*ISNUMBER(MATCH(LEFT(TRIM(pbp_Seq)&amp;"/",FIND("/",TRIM(pbp_Seq)&amp;"/")-1),{"S","F","FT","FB","IN","MB","POS"},0))))/(SUMPRODUCT((pbp_Pitcher=$B96)*(LEN(pbp_PlayType)&gt;0)))))</f>
        <v/>
      </c>
      <c r="T96" s="59" t="str">
        <f t="shared" si="11"/>
        <v/>
      </c>
      <c r="U96" s="59" t="str">
        <f t="shared" si="12"/>
        <v/>
      </c>
      <c r="V96" s="59" t="str">
        <f t="shared" si="13"/>
        <v/>
      </c>
      <c r="W96" s="60" t="str">
        <f t="shared" si="14"/>
        <v/>
      </c>
      <c r="X96" s="60" t="str">
        <f t="shared" si="15"/>
        <v/>
      </c>
      <c r="Y96" s="58" t="str">
        <f t="shared" si="16"/>
        <v/>
      </c>
      <c r="Z96" s="58" t="str">
        <f t="shared" si="17"/>
        <v/>
      </c>
      <c r="AA96" s="62" t="str">
        <f>IF($B96="","",IF(OR(E96&lt;MinBF,X96=""),"",COUNTIFS($E$6:$E$255,"&gt;="&amp;MinBF,$X$6:$X$255,"&lt;"&amp;X96)+COUNTIFS($E$5:E95,"&gt;="&amp;MinBF,$X$5:X95,X96)+1))</f>
        <v/>
      </c>
    </row>
    <row r="97" spans="2:27" x14ac:dyDescent="0.2">
      <c r="B97" s="44" t="str">
        <f t="array" ref="B97">IFERROR(INDEX(pbp_Pitcher,MATCH(0,COUNTIF($B$5:B96,pbp_Pitcher)+(pbp_Pitcher=""),0)),"")</f>
        <v/>
      </c>
      <c r="C97" s="61" t="str">
        <f>IF($B97="","",IFERROR(INDEX(pbp_PitTeam,MATCH($B97,pbp_Pitcher,0)),""))</f>
        <v/>
      </c>
      <c r="D97" s="61" t="str">
        <f>IF($B97="","",IFERROR(INDEX(pbp_PitHand,MATCH($B97,pbp_Pitcher,0)),""))</f>
        <v/>
      </c>
      <c r="E97" s="42" t="str">
        <f>IF($B97="","",SUMPRODUCT(COUNTIFS(pbp_PlayType,EM_Type,pbp_Pitcher,$B97)*EM_PA))</f>
        <v/>
      </c>
      <c r="F97" s="42" t="str">
        <f>IF($B97="","",SUMIFS(pbp_Outs,pbp_Pitcher,$B97))</f>
        <v/>
      </c>
      <c r="G97" s="70" t="str">
        <f t="shared" si="9"/>
        <v/>
      </c>
      <c r="H97" s="42" t="str">
        <f>IF($B97="","",SUMPRODUCT(COUNTIFS(pbp_PlayType,EM_Type,pbp_Pitcher,$B97)*EM_H))</f>
        <v/>
      </c>
      <c r="I97" s="42" t="str">
        <f>IF($B97="","",SUMPRODUCT(COUNTIFS(pbp_PlayType,EM_Type,pbp_Pitcher,$B97)*EM_HR))</f>
        <v/>
      </c>
      <c r="J97" s="42" t="str">
        <f>IF($B97="","",SUMPRODUCT(COUNTIFS(pbp_PlayType,EM_Type,pbp_Pitcher,$B97)*EM_BB))</f>
        <v/>
      </c>
      <c r="K97" s="42" t="str">
        <f>IF($B97="","",SUMPRODUCT(COUNTIFS(pbp_PlayType,EM_Type,pbp_Pitcher,$B97)*EM_HBP))</f>
        <v/>
      </c>
      <c r="L97" s="42" t="str">
        <f>IF($B97="","",COUNTIFS(pbp_PlayType,"?*",pbp_Desc,"*struck out*",pbp_Pitcher,$B97))</f>
        <v/>
      </c>
      <c r="M97" s="42" t="str">
        <f>IF($B97="","",SUMIFS(pbp_Runs,pbp_Pitcher,$B97))</f>
        <v/>
      </c>
      <c r="N97" s="42" t="str">
        <f>IF($B97="","",SUMPRODUCT(COUNTIFS(pbp_PlayType,EM_Type,pbp_Pitcher,$B97)*EM_AB))</f>
        <v/>
      </c>
      <c r="O97" s="42" t="str">
        <f>IF($B97="","",SUMPRODUCT(COUNTIFS(pbp_PlayType,EM_Type,pbp_Pitcher,$B97)*EM_SF))</f>
        <v/>
      </c>
      <c r="P97" s="42" t="str">
        <f>IF($B97="","",SUMIFS(pbp_Pitches,pbp_Pitcher,$B97,pbp_PlayType,"?*"))</f>
        <v/>
      </c>
      <c r="Q97" s="60" t="str">
        <f t="shared" si="10"/>
        <v/>
      </c>
      <c r="R97" s="59" t="str">
        <f>IF($B97="","",IF(E97=0,"",1-SUMPRODUCT((pbp_Pitcher=$B97)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97)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97" s="59" t="str">
        <f>IF($B97="","",IF((SUMPRODUCT((pbp_Pitcher=$B97)*(LEN(pbp_PlayType)&gt;0)))=0,"",(SUMPRODUCT((pbp_Pitcher=$B97)*(LEN(pbp_PlayType)&gt;0)*ISNUMBER(MATCH(LEFT(TRIM(pbp_Seq)&amp;"/",FIND("/",TRIM(pbp_Seq)&amp;"/")-1),{"S","F","FT","FB","IN","MB","POS"},0))))/(SUMPRODUCT((pbp_Pitcher=$B97)*(LEN(pbp_PlayType)&gt;0)))))</f>
        <v/>
      </c>
      <c r="T97" s="59" t="str">
        <f t="shared" si="11"/>
        <v/>
      </c>
      <c r="U97" s="59" t="str">
        <f t="shared" si="12"/>
        <v/>
      </c>
      <c r="V97" s="59" t="str">
        <f t="shared" si="13"/>
        <v/>
      </c>
      <c r="W97" s="60" t="str">
        <f t="shared" si="14"/>
        <v/>
      </c>
      <c r="X97" s="60" t="str">
        <f t="shared" si="15"/>
        <v/>
      </c>
      <c r="Y97" s="58" t="str">
        <f t="shared" si="16"/>
        <v/>
      </c>
      <c r="Z97" s="58" t="str">
        <f t="shared" si="17"/>
        <v/>
      </c>
      <c r="AA97" s="62" t="str">
        <f>IF($B97="","",IF(OR(E97&lt;MinBF,X97=""),"",COUNTIFS($E$6:$E$255,"&gt;="&amp;MinBF,$X$6:$X$255,"&lt;"&amp;X97)+COUNTIFS($E$5:E96,"&gt;="&amp;MinBF,$X$5:X96,X97)+1))</f>
        <v/>
      </c>
    </row>
    <row r="98" spans="2:27" x14ac:dyDescent="0.2">
      <c r="B98" s="44" t="str">
        <f t="array" ref="B98">IFERROR(INDEX(pbp_Pitcher,MATCH(0,COUNTIF($B$5:B97,pbp_Pitcher)+(pbp_Pitcher=""),0)),"")</f>
        <v/>
      </c>
      <c r="C98" s="61" t="str">
        <f>IF($B98="","",IFERROR(INDEX(pbp_PitTeam,MATCH($B98,pbp_Pitcher,0)),""))</f>
        <v/>
      </c>
      <c r="D98" s="61" t="str">
        <f>IF($B98="","",IFERROR(INDEX(pbp_PitHand,MATCH($B98,pbp_Pitcher,0)),""))</f>
        <v/>
      </c>
      <c r="E98" s="42" t="str">
        <f>IF($B98="","",SUMPRODUCT(COUNTIFS(pbp_PlayType,EM_Type,pbp_Pitcher,$B98)*EM_PA))</f>
        <v/>
      </c>
      <c r="F98" s="42" t="str">
        <f>IF($B98="","",SUMIFS(pbp_Outs,pbp_Pitcher,$B98))</f>
        <v/>
      </c>
      <c r="G98" s="70" t="str">
        <f t="shared" si="9"/>
        <v/>
      </c>
      <c r="H98" s="42" t="str">
        <f>IF($B98="","",SUMPRODUCT(COUNTIFS(pbp_PlayType,EM_Type,pbp_Pitcher,$B98)*EM_H))</f>
        <v/>
      </c>
      <c r="I98" s="42" t="str">
        <f>IF($B98="","",SUMPRODUCT(COUNTIFS(pbp_PlayType,EM_Type,pbp_Pitcher,$B98)*EM_HR))</f>
        <v/>
      </c>
      <c r="J98" s="42" t="str">
        <f>IF($B98="","",SUMPRODUCT(COUNTIFS(pbp_PlayType,EM_Type,pbp_Pitcher,$B98)*EM_BB))</f>
        <v/>
      </c>
      <c r="K98" s="42" t="str">
        <f>IF($B98="","",SUMPRODUCT(COUNTIFS(pbp_PlayType,EM_Type,pbp_Pitcher,$B98)*EM_HBP))</f>
        <v/>
      </c>
      <c r="L98" s="42" t="str">
        <f>IF($B98="","",COUNTIFS(pbp_PlayType,"?*",pbp_Desc,"*struck out*",pbp_Pitcher,$B98))</f>
        <v/>
      </c>
      <c r="M98" s="42" t="str">
        <f>IF($B98="","",SUMIFS(pbp_Runs,pbp_Pitcher,$B98))</f>
        <v/>
      </c>
      <c r="N98" s="42" t="str">
        <f>IF($B98="","",SUMPRODUCT(COUNTIFS(pbp_PlayType,EM_Type,pbp_Pitcher,$B98)*EM_AB))</f>
        <v/>
      </c>
      <c r="O98" s="42" t="str">
        <f>IF($B98="","",SUMPRODUCT(COUNTIFS(pbp_PlayType,EM_Type,pbp_Pitcher,$B98)*EM_SF))</f>
        <v/>
      </c>
      <c r="P98" s="42" t="str">
        <f>IF($B98="","",SUMIFS(pbp_Pitches,pbp_Pitcher,$B98,pbp_PlayType,"?*"))</f>
        <v/>
      </c>
      <c r="Q98" s="60" t="str">
        <f t="shared" si="10"/>
        <v/>
      </c>
      <c r="R98" s="59" t="str">
        <f>IF($B98="","",IF(E98=0,"",1-SUMPRODUCT((pbp_Pitcher=$B98)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98)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98" s="59" t="str">
        <f>IF($B98="","",IF((SUMPRODUCT((pbp_Pitcher=$B98)*(LEN(pbp_PlayType)&gt;0)))=0,"",(SUMPRODUCT((pbp_Pitcher=$B98)*(LEN(pbp_PlayType)&gt;0)*ISNUMBER(MATCH(LEFT(TRIM(pbp_Seq)&amp;"/",FIND("/",TRIM(pbp_Seq)&amp;"/")-1),{"S","F","FT","FB","IN","MB","POS"},0))))/(SUMPRODUCT((pbp_Pitcher=$B98)*(LEN(pbp_PlayType)&gt;0)))))</f>
        <v/>
      </c>
      <c r="T98" s="59" t="str">
        <f t="shared" si="11"/>
        <v/>
      </c>
      <c r="U98" s="59" t="str">
        <f t="shared" si="12"/>
        <v/>
      </c>
      <c r="V98" s="59" t="str">
        <f t="shared" si="13"/>
        <v/>
      </c>
      <c r="W98" s="60" t="str">
        <f t="shared" si="14"/>
        <v/>
      </c>
      <c r="X98" s="60" t="str">
        <f t="shared" si="15"/>
        <v/>
      </c>
      <c r="Y98" s="58" t="str">
        <f t="shared" si="16"/>
        <v/>
      </c>
      <c r="Z98" s="58" t="str">
        <f t="shared" si="17"/>
        <v/>
      </c>
      <c r="AA98" s="62" t="str">
        <f>IF($B98="","",IF(OR(E98&lt;MinBF,X98=""),"",COUNTIFS($E$6:$E$255,"&gt;="&amp;MinBF,$X$6:$X$255,"&lt;"&amp;X98)+COUNTIFS($E$5:E97,"&gt;="&amp;MinBF,$X$5:X97,X98)+1))</f>
        <v/>
      </c>
    </row>
    <row r="99" spans="2:27" x14ac:dyDescent="0.2">
      <c r="B99" s="44" t="str">
        <f t="array" ref="B99">IFERROR(INDEX(pbp_Pitcher,MATCH(0,COUNTIF($B$5:B98,pbp_Pitcher)+(pbp_Pitcher=""),0)),"")</f>
        <v/>
      </c>
      <c r="C99" s="61" t="str">
        <f>IF($B99="","",IFERROR(INDEX(pbp_PitTeam,MATCH($B99,pbp_Pitcher,0)),""))</f>
        <v/>
      </c>
      <c r="D99" s="61" t="str">
        <f>IF($B99="","",IFERROR(INDEX(pbp_PitHand,MATCH($B99,pbp_Pitcher,0)),""))</f>
        <v/>
      </c>
      <c r="E99" s="42" t="str">
        <f>IF($B99="","",SUMPRODUCT(COUNTIFS(pbp_PlayType,EM_Type,pbp_Pitcher,$B99)*EM_PA))</f>
        <v/>
      </c>
      <c r="F99" s="42" t="str">
        <f>IF($B99="","",SUMIFS(pbp_Outs,pbp_Pitcher,$B99))</f>
        <v/>
      </c>
      <c r="G99" s="70" t="str">
        <f t="shared" si="9"/>
        <v/>
      </c>
      <c r="H99" s="42" t="str">
        <f>IF($B99="","",SUMPRODUCT(COUNTIFS(pbp_PlayType,EM_Type,pbp_Pitcher,$B99)*EM_H))</f>
        <v/>
      </c>
      <c r="I99" s="42" t="str">
        <f>IF($B99="","",SUMPRODUCT(COUNTIFS(pbp_PlayType,EM_Type,pbp_Pitcher,$B99)*EM_HR))</f>
        <v/>
      </c>
      <c r="J99" s="42" t="str">
        <f>IF($B99="","",SUMPRODUCT(COUNTIFS(pbp_PlayType,EM_Type,pbp_Pitcher,$B99)*EM_BB))</f>
        <v/>
      </c>
      <c r="K99" s="42" t="str">
        <f>IF($B99="","",SUMPRODUCT(COUNTIFS(pbp_PlayType,EM_Type,pbp_Pitcher,$B99)*EM_HBP))</f>
        <v/>
      </c>
      <c r="L99" s="42" t="str">
        <f>IF($B99="","",COUNTIFS(pbp_PlayType,"?*",pbp_Desc,"*struck out*",pbp_Pitcher,$B99))</f>
        <v/>
      </c>
      <c r="M99" s="42" t="str">
        <f>IF($B99="","",SUMIFS(pbp_Runs,pbp_Pitcher,$B99))</f>
        <v/>
      </c>
      <c r="N99" s="42" t="str">
        <f>IF($B99="","",SUMPRODUCT(COUNTIFS(pbp_PlayType,EM_Type,pbp_Pitcher,$B99)*EM_AB))</f>
        <v/>
      </c>
      <c r="O99" s="42" t="str">
        <f>IF($B99="","",SUMPRODUCT(COUNTIFS(pbp_PlayType,EM_Type,pbp_Pitcher,$B99)*EM_SF))</f>
        <v/>
      </c>
      <c r="P99" s="42" t="str">
        <f>IF($B99="","",SUMIFS(pbp_Pitches,pbp_Pitcher,$B99,pbp_PlayType,"?*"))</f>
        <v/>
      </c>
      <c r="Q99" s="60" t="str">
        <f t="shared" si="10"/>
        <v/>
      </c>
      <c r="R99" s="59" t="str">
        <f>IF($B99="","",IF(E99=0,"",1-SUMPRODUCT((pbp_Pitcher=$B99)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99)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99" s="59" t="str">
        <f>IF($B99="","",IF((SUMPRODUCT((pbp_Pitcher=$B99)*(LEN(pbp_PlayType)&gt;0)))=0,"",(SUMPRODUCT((pbp_Pitcher=$B99)*(LEN(pbp_PlayType)&gt;0)*ISNUMBER(MATCH(LEFT(TRIM(pbp_Seq)&amp;"/",FIND("/",TRIM(pbp_Seq)&amp;"/")-1),{"S","F","FT","FB","IN","MB","POS"},0))))/(SUMPRODUCT((pbp_Pitcher=$B99)*(LEN(pbp_PlayType)&gt;0)))))</f>
        <v/>
      </c>
      <c r="T99" s="59" t="str">
        <f t="shared" si="11"/>
        <v/>
      </c>
      <c r="U99" s="59" t="str">
        <f t="shared" si="12"/>
        <v/>
      </c>
      <c r="V99" s="59" t="str">
        <f t="shared" si="13"/>
        <v/>
      </c>
      <c r="W99" s="60" t="str">
        <f t="shared" si="14"/>
        <v/>
      </c>
      <c r="X99" s="60" t="str">
        <f t="shared" si="15"/>
        <v/>
      </c>
      <c r="Y99" s="58" t="str">
        <f t="shared" si="16"/>
        <v/>
      </c>
      <c r="Z99" s="58" t="str">
        <f t="shared" si="17"/>
        <v/>
      </c>
      <c r="AA99" s="62" t="str">
        <f>IF($B99="","",IF(OR(E99&lt;MinBF,X99=""),"",COUNTIFS($E$6:$E$255,"&gt;="&amp;MinBF,$X$6:$X$255,"&lt;"&amp;X99)+COUNTIFS($E$5:E98,"&gt;="&amp;MinBF,$X$5:X98,X99)+1))</f>
        <v/>
      </c>
    </row>
    <row r="100" spans="2:27" x14ac:dyDescent="0.2">
      <c r="B100" s="44" t="str">
        <f t="array" ref="B100">IFERROR(INDEX(pbp_Pitcher,MATCH(0,COUNTIF($B$5:B99,pbp_Pitcher)+(pbp_Pitcher=""),0)),"")</f>
        <v/>
      </c>
      <c r="C100" s="61" t="str">
        <f>IF($B100="","",IFERROR(INDEX(pbp_PitTeam,MATCH($B100,pbp_Pitcher,0)),""))</f>
        <v/>
      </c>
      <c r="D100" s="61" t="str">
        <f>IF($B100="","",IFERROR(INDEX(pbp_PitHand,MATCH($B100,pbp_Pitcher,0)),""))</f>
        <v/>
      </c>
      <c r="E100" s="42" t="str">
        <f>IF($B100="","",SUMPRODUCT(COUNTIFS(pbp_PlayType,EM_Type,pbp_Pitcher,$B100)*EM_PA))</f>
        <v/>
      </c>
      <c r="F100" s="42" t="str">
        <f>IF($B100="","",SUMIFS(pbp_Outs,pbp_Pitcher,$B100))</f>
        <v/>
      </c>
      <c r="G100" s="70" t="str">
        <f t="shared" si="9"/>
        <v/>
      </c>
      <c r="H100" s="42" t="str">
        <f>IF($B100="","",SUMPRODUCT(COUNTIFS(pbp_PlayType,EM_Type,pbp_Pitcher,$B100)*EM_H))</f>
        <v/>
      </c>
      <c r="I100" s="42" t="str">
        <f>IF($B100="","",SUMPRODUCT(COUNTIFS(pbp_PlayType,EM_Type,pbp_Pitcher,$B100)*EM_HR))</f>
        <v/>
      </c>
      <c r="J100" s="42" t="str">
        <f>IF($B100="","",SUMPRODUCT(COUNTIFS(pbp_PlayType,EM_Type,pbp_Pitcher,$B100)*EM_BB))</f>
        <v/>
      </c>
      <c r="K100" s="42" t="str">
        <f>IF($B100="","",SUMPRODUCT(COUNTIFS(pbp_PlayType,EM_Type,pbp_Pitcher,$B100)*EM_HBP))</f>
        <v/>
      </c>
      <c r="L100" s="42" t="str">
        <f>IF($B100="","",COUNTIFS(pbp_PlayType,"?*",pbp_Desc,"*struck out*",pbp_Pitcher,$B100))</f>
        <v/>
      </c>
      <c r="M100" s="42" t="str">
        <f>IF($B100="","",SUMIFS(pbp_Runs,pbp_Pitcher,$B100))</f>
        <v/>
      </c>
      <c r="N100" s="42" t="str">
        <f>IF($B100="","",SUMPRODUCT(COUNTIFS(pbp_PlayType,EM_Type,pbp_Pitcher,$B100)*EM_AB))</f>
        <v/>
      </c>
      <c r="O100" s="42" t="str">
        <f>IF($B100="","",SUMPRODUCT(COUNTIFS(pbp_PlayType,EM_Type,pbp_Pitcher,$B100)*EM_SF))</f>
        <v/>
      </c>
      <c r="P100" s="42" t="str">
        <f>IF($B100="","",SUMIFS(pbp_Pitches,pbp_Pitcher,$B100,pbp_PlayType,"?*"))</f>
        <v/>
      </c>
      <c r="Q100" s="60" t="str">
        <f t="shared" si="10"/>
        <v/>
      </c>
      <c r="R100" s="59" t="str">
        <f>IF($B100="","",IF(E100=0,"",1-SUMPRODUCT((pbp_Pitcher=$B100)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100)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00" s="59" t="str">
        <f>IF($B100="","",IF((SUMPRODUCT((pbp_Pitcher=$B100)*(LEN(pbp_PlayType)&gt;0)))=0,"",(SUMPRODUCT((pbp_Pitcher=$B100)*(LEN(pbp_PlayType)&gt;0)*ISNUMBER(MATCH(LEFT(TRIM(pbp_Seq)&amp;"/",FIND("/",TRIM(pbp_Seq)&amp;"/")-1),{"S","F","FT","FB","IN","MB","POS"},0))))/(SUMPRODUCT((pbp_Pitcher=$B100)*(LEN(pbp_PlayType)&gt;0)))))</f>
        <v/>
      </c>
      <c r="T100" s="59" t="str">
        <f t="shared" si="11"/>
        <v/>
      </c>
      <c r="U100" s="59" t="str">
        <f t="shared" si="12"/>
        <v/>
      </c>
      <c r="V100" s="59" t="str">
        <f t="shared" si="13"/>
        <v/>
      </c>
      <c r="W100" s="60" t="str">
        <f t="shared" si="14"/>
        <v/>
      </c>
      <c r="X100" s="60" t="str">
        <f t="shared" si="15"/>
        <v/>
      </c>
      <c r="Y100" s="58" t="str">
        <f t="shared" si="16"/>
        <v/>
      </c>
      <c r="Z100" s="58" t="str">
        <f t="shared" si="17"/>
        <v/>
      </c>
      <c r="AA100" s="62" t="str">
        <f>IF($B100="","",IF(OR(E100&lt;MinBF,X100=""),"",COUNTIFS($E$6:$E$255,"&gt;="&amp;MinBF,$X$6:$X$255,"&lt;"&amp;X100)+COUNTIFS($E$5:E99,"&gt;="&amp;MinBF,$X$5:X99,X100)+1))</f>
        <v/>
      </c>
    </row>
    <row r="101" spans="2:27" x14ac:dyDescent="0.2">
      <c r="B101" s="44" t="str">
        <f t="array" ref="B101">IFERROR(INDEX(pbp_Pitcher,MATCH(0,COUNTIF($B$5:B100,pbp_Pitcher)+(pbp_Pitcher=""),0)),"")</f>
        <v/>
      </c>
      <c r="C101" s="61" t="str">
        <f>IF($B101="","",IFERROR(INDEX(pbp_PitTeam,MATCH($B101,pbp_Pitcher,0)),""))</f>
        <v/>
      </c>
      <c r="D101" s="61" t="str">
        <f>IF($B101="","",IFERROR(INDEX(pbp_PitHand,MATCH($B101,pbp_Pitcher,0)),""))</f>
        <v/>
      </c>
      <c r="E101" s="42" t="str">
        <f>IF($B101="","",SUMPRODUCT(COUNTIFS(pbp_PlayType,EM_Type,pbp_Pitcher,$B101)*EM_PA))</f>
        <v/>
      </c>
      <c r="F101" s="42" t="str">
        <f>IF($B101="","",SUMIFS(pbp_Outs,pbp_Pitcher,$B101))</f>
        <v/>
      </c>
      <c r="G101" s="70" t="str">
        <f t="shared" si="9"/>
        <v/>
      </c>
      <c r="H101" s="42" t="str">
        <f>IF($B101="","",SUMPRODUCT(COUNTIFS(pbp_PlayType,EM_Type,pbp_Pitcher,$B101)*EM_H))</f>
        <v/>
      </c>
      <c r="I101" s="42" t="str">
        <f>IF($B101="","",SUMPRODUCT(COUNTIFS(pbp_PlayType,EM_Type,pbp_Pitcher,$B101)*EM_HR))</f>
        <v/>
      </c>
      <c r="J101" s="42" t="str">
        <f>IF($B101="","",SUMPRODUCT(COUNTIFS(pbp_PlayType,EM_Type,pbp_Pitcher,$B101)*EM_BB))</f>
        <v/>
      </c>
      <c r="K101" s="42" t="str">
        <f>IF($B101="","",SUMPRODUCT(COUNTIFS(pbp_PlayType,EM_Type,pbp_Pitcher,$B101)*EM_HBP))</f>
        <v/>
      </c>
      <c r="L101" s="42" t="str">
        <f>IF($B101="","",COUNTIFS(pbp_PlayType,"?*",pbp_Desc,"*struck out*",pbp_Pitcher,$B101))</f>
        <v/>
      </c>
      <c r="M101" s="42" t="str">
        <f>IF($B101="","",SUMIFS(pbp_Runs,pbp_Pitcher,$B101))</f>
        <v/>
      </c>
      <c r="N101" s="42" t="str">
        <f>IF($B101="","",SUMPRODUCT(COUNTIFS(pbp_PlayType,EM_Type,pbp_Pitcher,$B101)*EM_AB))</f>
        <v/>
      </c>
      <c r="O101" s="42" t="str">
        <f>IF($B101="","",SUMPRODUCT(COUNTIFS(pbp_PlayType,EM_Type,pbp_Pitcher,$B101)*EM_SF))</f>
        <v/>
      </c>
      <c r="P101" s="42" t="str">
        <f>IF($B101="","",SUMIFS(pbp_Pitches,pbp_Pitcher,$B101,pbp_PlayType,"?*"))</f>
        <v/>
      </c>
      <c r="Q101" s="60" t="str">
        <f t="shared" si="10"/>
        <v/>
      </c>
      <c r="R101" s="59" t="str">
        <f>IF($B101="","",IF(E101=0,"",1-SUMPRODUCT((pbp_Pitcher=$B101)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101)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01" s="59" t="str">
        <f>IF($B101="","",IF((SUMPRODUCT((pbp_Pitcher=$B101)*(LEN(pbp_PlayType)&gt;0)))=0,"",(SUMPRODUCT((pbp_Pitcher=$B101)*(LEN(pbp_PlayType)&gt;0)*ISNUMBER(MATCH(LEFT(TRIM(pbp_Seq)&amp;"/",FIND("/",TRIM(pbp_Seq)&amp;"/")-1),{"S","F","FT","FB","IN","MB","POS"},0))))/(SUMPRODUCT((pbp_Pitcher=$B101)*(LEN(pbp_PlayType)&gt;0)))))</f>
        <v/>
      </c>
      <c r="T101" s="59" t="str">
        <f t="shared" si="11"/>
        <v/>
      </c>
      <c r="U101" s="59" t="str">
        <f t="shared" si="12"/>
        <v/>
      </c>
      <c r="V101" s="59" t="str">
        <f t="shared" si="13"/>
        <v/>
      </c>
      <c r="W101" s="60" t="str">
        <f t="shared" si="14"/>
        <v/>
      </c>
      <c r="X101" s="60" t="str">
        <f t="shared" si="15"/>
        <v/>
      </c>
      <c r="Y101" s="58" t="str">
        <f t="shared" si="16"/>
        <v/>
      </c>
      <c r="Z101" s="58" t="str">
        <f t="shared" si="17"/>
        <v/>
      </c>
      <c r="AA101" s="62" t="str">
        <f>IF($B101="","",IF(OR(E101&lt;MinBF,X101=""),"",COUNTIFS($E$6:$E$255,"&gt;="&amp;MinBF,$X$6:$X$255,"&lt;"&amp;X101)+COUNTIFS($E$5:E100,"&gt;="&amp;MinBF,$X$5:X100,X101)+1))</f>
        <v/>
      </c>
    </row>
    <row r="102" spans="2:27" x14ac:dyDescent="0.2">
      <c r="B102" s="44" t="str">
        <f t="array" ref="B102">IFERROR(INDEX(pbp_Pitcher,MATCH(0,COUNTIF($B$5:B101,pbp_Pitcher)+(pbp_Pitcher=""),0)),"")</f>
        <v/>
      </c>
      <c r="C102" s="61" t="str">
        <f>IF($B102="","",IFERROR(INDEX(pbp_PitTeam,MATCH($B102,pbp_Pitcher,0)),""))</f>
        <v/>
      </c>
      <c r="D102" s="61" t="str">
        <f>IF($B102="","",IFERROR(INDEX(pbp_PitHand,MATCH($B102,pbp_Pitcher,0)),""))</f>
        <v/>
      </c>
      <c r="E102" s="42" t="str">
        <f>IF($B102="","",SUMPRODUCT(COUNTIFS(pbp_PlayType,EM_Type,pbp_Pitcher,$B102)*EM_PA))</f>
        <v/>
      </c>
      <c r="F102" s="42" t="str">
        <f>IF($B102="","",SUMIFS(pbp_Outs,pbp_Pitcher,$B102))</f>
        <v/>
      </c>
      <c r="G102" s="70" t="str">
        <f t="shared" si="9"/>
        <v/>
      </c>
      <c r="H102" s="42" t="str">
        <f>IF($B102="","",SUMPRODUCT(COUNTIFS(pbp_PlayType,EM_Type,pbp_Pitcher,$B102)*EM_H))</f>
        <v/>
      </c>
      <c r="I102" s="42" t="str">
        <f>IF($B102="","",SUMPRODUCT(COUNTIFS(pbp_PlayType,EM_Type,pbp_Pitcher,$B102)*EM_HR))</f>
        <v/>
      </c>
      <c r="J102" s="42" t="str">
        <f>IF($B102="","",SUMPRODUCT(COUNTIFS(pbp_PlayType,EM_Type,pbp_Pitcher,$B102)*EM_BB))</f>
        <v/>
      </c>
      <c r="K102" s="42" t="str">
        <f>IF($B102="","",SUMPRODUCT(COUNTIFS(pbp_PlayType,EM_Type,pbp_Pitcher,$B102)*EM_HBP))</f>
        <v/>
      </c>
      <c r="L102" s="42" t="str">
        <f>IF($B102="","",COUNTIFS(pbp_PlayType,"?*",pbp_Desc,"*struck out*",pbp_Pitcher,$B102))</f>
        <v/>
      </c>
      <c r="M102" s="42" t="str">
        <f>IF($B102="","",SUMIFS(pbp_Runs,pbp_Pitcher,$B102))</f>
        <v/>
      </c>
      <c r="N102" s="42" t="str">
        <f>IF($B102="","",SUMPRODUCT(COUNTIFS(pbp_PlayType,EM_Type,pbp_Pitcher,$B102)*EM_AB))</f>
        <v/>
      </c>
      <c r="O102" s="42" t="str">
        <f>IF($B102="","",SUMPRODUCT(COUNTIFS(pbp_PlayType,EM_Type,pbp_Pitcher,$B102)*EM_SF))</f>
        <v/>
      </c>
      <c r="P102" s="42" t="str">
        <f>IF($B102="","",SUMIFS(pbp_Pitches,pbp_Pitcher,$B102,pbp_PlayType,"?*"))</f>
        <v/>
      </c>
      <c r="Q102" s="60" t="str">
        <f t="shared" si="10"/>
        <v/>
      </c>
      <c r="R102" s="59" t="str">
        <f>IF($B102="","",IF(E102=0,"",1-SUMPRODUCT((pbp_Pitcher=$B102)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102)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02" s="59" t="str">
        <f>IF($B102="","",IF((SUMPRODUCT((pbp_Pitcher=$B102)*(LEN(pbp_PlayType)&gt;0)))=0,"",(SUMPRODUCT((pbp_Pitcher=$B102)*(LEN(pbp_PlayType)&gt;0)*ISNUMBER(MATCH(LEFT(TRIM(pbp_Seq)&amp;"/",FIND("/",TRIM(pbp_Seq)&amp;"/")-1),{"S","F","FT","FB","IN","MB","POS"},0))))/(SUMPRODUCT((pbp_Pitcher=$B102)*(LEN(pbp_PlayType)&gt;0)))))</f>
        <v/>
      </c>
      <c r="T102" s="59" t="str">
        <f t="shared" si="11"/>
        <v/>
      </c>
      <c r="U102" s="59" t="str">
        <f t="shared" si="12"/>
        <v/>
      </c>
      <c r="V102" s="59" t="str">
        <f t="shared" si="13"/>
        <v/>
      </c>
      <c r="W102" s="60" t="str">
        <f t="shared" si="14"/>
        <v/>
      </c>
      <c r="X102" s="60" t="str">
        <f t="shared" si="15"/>
        <v/>
      </c>
      <c r="Y102" s="58" t="str">
        <f t="shared" si="16"/>
        <v/>
      </c>
      <c r="Z102" s="58" t="str">
        <f t="shared" si="17"/>
        <v/>
      </c>
      <c r="AA102" s="62" t="str">
        <f>IF($B102="","",IF(OR(E102&lt;MinBF,X102=""),"",COUNTIFS($E$6:$E$255,"&gt;="&amp;MinBF,$X$6:$X$255,"&lt;"&amp;X102)+COUNTIFS($E$5:E101,"&gt;="&amp;MinBF,$X$5:X101,X102)+1))</f>
        <v/>
      </c>
    </row>
    <row r="103" spans="2:27" x14ac:dyDescent="0.2">
      <c r="B103" s="44" t="str">
        <f t="array" ref="B103">IFERROR(INDEX(pbp_Pitcher,MATCH(0,COUNTIF($B$5:B102,pbp_Pitcher)+(pbp_Pitcher=""),0)),"")</f>
        <v/>
      </c>
      <c r="C103" s="61" t="str">
        <f>IF($B103="","",IFERROR(INDEX(pbp_PitTeam,MATCH($B103,pbp_Pitcher,0)),""))</f>
        <v/>
      </c>
      <c r="D103" s="61" t="str">
        <f>IF($B103="","",IFERROR(INDEX(pbp_PitHand,MATCH($B103,pbp_Pitcher,0)),""))</f>
        <v/>
      </c>
      <c r="E103" s="42" t="str">
        <f>IF($B103="","",SUMPRODUCT(COUNTIFS(pbp_PlayType,EM_Type,pbp_Pitcher,$B103)*EM_PA))</f>
        <v/>
      </c>
      <c r="F103" s="42" t="str">
        <f>IF($B103="","",SUMIFS(pbp_Outs,pbp_Pitcher,$B103))</f>
        <v/>
      </c>
      <c r="G103" s="70" t="str">
        <f t="shared" si="9"/>
        <v/>
      </c>
      <c r="H103" s="42" t="str">
        <f>IF($B103="","",SUMPRODUCT(COUNTIFS(pbp_PlayType,EM_Type,pbp_Pitcher,$B103)*EM_H))</f>
        <v/>
      </c>
      <c r="I103" s="42" t="str">
        <f>IF($B103="","",SUMPRODUCT(COUNTIFS(pbp_PlayType,EM_Type,pbp_Pitcher,$B103)*EM_HR))</f>
        <v/>
      </c>
      <c r="J103" s="42" t="str">
        <f>IF($B103="","",SUMPRODUCT(COUNTIFS(pbp_PlayType,EM_Type,pbp_Pitcher,$B103)*EM_BB))</f>
        <v/>
      </c>
      <c r="K103" s="42" t="str">
        <f>IF($B103="","",SUMPRODUCT(COUNTIFS(pbp_PlayType,EM_Type,pbp_Pitcher,$B103)*EM_HBP))</f>
        <v/>
      </c>
      <c r="L103" s="42" t="str">
        <f>IF($B103="","",COUNTIFS(pbp_PlayType,"?*",pbp_Desc,"*struck out*",pbp_Pitcher,$B103))</f>
        <v/>
      </c>
      <c r="M103" s="42" t="str">
        <f>IF($B103="","",SUMIFS(pbp_Runs,pbp_Pitcher,$B103))</f>
        <v/>
      </c>
      <c r="N103" s="42" t="str">
        <f>IF($B103="","",SUMPRODUCT(COUNTIFS(pbp_PlayType,EM_Type,pbp_Pitcher,$B103)*EM_AB))</f>
        <v/>
      </c>
      <c r="O103" s="42" t="str">
        <f>IF($B103="","",SUMPRODUCT(COUNTIFS(pbp_PlayType,EM_Type,pbp_Pitcher,$B103)*EM_SF))</f>
        <v/>
      </c>
      <c r="P103" s="42" t="str">
        <f>IF($B103="","",SUMIFS(pbp_Pitches,pbp_Pitcher,$B103,pbp_PlayType,"?*"))</f>
        <v/>
      </c>
      <c r="Q103" s="60" t="str">
        <f t="shared" si="10"/>
        <v/>
      </c>
      <c r="R103" s="59" t="str">
        <f>IF($B103="","",IF(E103=0,"",1-SUMPRODUCT((pbp_Pitcher=$B103)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103)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03" s="59" t="str">
        <f>IF($B103="","",IF((SUMPRODUCT((pbp_Pitcher=$B103)*(LEN(pbp_PlayType)&gt;0)))=0,"",(SUMPRODUCT((pbp_Pitcher=$B103)*(LEN(pbp_PlayType)&gt;0)*ISNUMBER(MATCH(LEFT(TRIM(pbp_Seq)&amp;"/",FIND("/",TRIM(pbp_Seq)&amp;"/")-1),{"S","F","FT","FB","IN","MB","POS"},0))))/(SUMPRODUCT((pbp_Pitcher=$B103)*(LEN(pbp_PlayType)&gt;0)))))</f>
        <v/>
      </c>
      <c r="T103" s="59" t="str">
        <f t="shared" si="11"/>
        <v/>
      </c>
      <c r="U103" s="59" t="str">
        <f t="shared" si="12"/>
        <v/>
      </c>
      <c r="V103" s="59" t="str">
        <f t="shared" si="13"/>
        <v/>
      </c>
      <c r="W103" s="60" t="str">
        <f t="shared" si="14"/>
        <v/>
      </c>
      <c r="X103" s="60" t="str">
        <f t="shared" si="15"/>
        <v/>
      </c>
      <c r="Y103" s="58" t="str">
        <f t="shared" si="16"/>
        <v/>
      </c>
      <c r="Z103" s="58" t="str">
        <f t="shared" si="17"/>
        <v/>
      </c>
      <c r="AA103" s="62" t="str">
        <f>IF($B103="","",IF(OR(E103&lt;MinBF,X103=""),"",COUNTIFS($E$6:$E$255,"&gt;="&amp;MinBF,$X$6:$X$255,"&lt;"&amp;X103)+COUNTIFS($E$5:E102,"&gt;="&amp;MinBF,$X$5:X102,X103)+1))</f>
        <v/>
      </c>
    </row>
    <row r="104" spans="2:27" x14ac:dyDescent="0.2">
      <c r="B104" s="44" t="str">
        <f t="array" ref="B104">IFERROR(INDEX(pbp_Pitcher,MATCH(0,COUNTIF($B$5:B103,pbp_Pitcher)+(pbp_Pitcher=""),0)),"")</f>
        <v/>
      </c>
      <c r="C104" s="61" t="str">
        <f>IF($B104="","",IFERROR(INDEX(pbp_PitTeam,MATCH($B104,pbp_Pitcher,0)),""))</f>
        <v/>
      </c>
      <c r="D104" s="61" t="str">
        <f>IF($B104="","",IFERROR(INDEX(pbp_PitHand,MATCH($B104,pbp_Pitcher,0)),""))</f>
        <v/>
      </c>
      <c r="E104" s="42" t="str">
        <f>IF($B104="","",SUMPRODUCT(COUNTIFS(pbp_PlayType,EM_Type,pbp_Pitcher,$B104)*EM_PA))</f>
        <v/>
      </c>
      <c r="F104" s="42" t="str">
        <f>IF($B104="","",SUMIFS(pbp_Outs,pbp_Pitcher,$B104))</f>
        <v/>
      </c>
      <c r="G104" s="70" t="str">
        <f t="shared" si="9"/>
        <v/>
      </c>
      <c r="H104" s="42" t="str">
        <f>IF($B104="","",SUMPRODUCT(COUNTIFS(pbp_PlayType,EM_Type,pbp_Pitcher,$B104)*EM_H))</f>
        <v/>
      </c>
      <c r="I104" s="42" t="str">
        <f>IF($B104="","",SUMPRODUCT(COUNTIFS(pbp_PlayType,EM_Type,pbp_Pitcher,$B104)*EM_HR))</f>
        <v/>
      </c>
      <c r="J104" s="42" t="str">
        <f>IF($B104="","",SUMPRODUCT(COUNTIFS(pbp_PlayType,EM_Type,pbp_Pitcher,$B104)*EM_BB))</f>
        <v/>
      </c>
      <c r="K104" s="42" t="str">
        <f>IF($B104="","",SUMPRODUCT(COUNTIFS(pbp_PlayType,EM_Type,pbp_Pitcher,$B104)*EM_HBP))</f>
        <v/>
      </c>
      <c r="L104" s="42" t="str">
        <f>IF($B104="","",COUNTIFS(pbp_PlayType,"?*",pbp_Desc,"*struck out*",pbp_Pitcher,$B104))</f>
        <v/>
      </c>
      <c r="M104" s="42" t="str">
        <f>IF($B104="","",SUMIFS(pbp_Runs,pbp_Pitcher,$B104))</f>
        <v/>
      </c>
      <c r="N104" s="42" t="str">
        <f>IF($B104="","",SUMPRODUCT(COUNTIFS(pbp_PlayType,EM_Type,pbp_Pitcher,$B104)*EM_AB))</f>
        <v/>
      </c>
      <c r="O104" s="42" t="str">
        <f>IF($B104="","",SUMPRODUCT(COUNTIFS(pbp_PlayType,EM_Type,pbp_Pitcher,$B104)*EM_SF))</f>
        <v/>
      </c>
      <c r="P104" s="42" t="str">
        <f>IF($B104="","",SUMIFS(pbp_Pitches,pbp_Pitcher,$B104,pbp_PlayType,"?*"))</f>
        <v/>
      </c>
      <c r="Q104" s="60" t="str">
        <f t="shared" si="10"/>
        <v/>
      </c>
      <c r="R104" s="59" t="str">
        <f>IF($B104="","",IF(E104=0,"",1-SUMPRODUCT((pbp_Pitcher=$B104)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104)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04" s="59" t="str">
        <f>IF($B104="","",IF((SUMPRODUCT((pbp_Pitcher=$B104)*(LEN(pbp_PlayType)&gt;0)))=0,"",(SUMPRODUCT((pbp_Pitcher=$B104)*(LEN(pbp_PlayType)&gt;0)*ISNUMBER(MATCH(LEFT(TRIM(pbp_Seq)&amp;"/",FIND("/",TRIM(pbp_Seq)&amp;"/")-1),{"S","F","FT","FB","IN","MB","POS"},0))))/(SUMPRODUCT((pbp_Pitcher=$B104)*(LEN(pbp_PlayType)&gt;0)))))</f>
        <v/>
      </c>
      <c r="T104" s="59" t="str">
        <f t="shared" si="11"/>
        <v/>
      </c>
      <c r="U104" s="59" t="str">
        <f t="shared" si="12"/>
        <v/>
      </c>
      <c r="V104" s="59" t="str">
        <f t="shared" si="13"/>
        <v/>
      </c>
      <c r="W104" s="60" t="str">
        <f t="shared" si="14"/>
        <v/>
      </c>
      <c r="X104" s="60" t="str">
        <f t="shared" si="15"/>
        <v/>
      </c>
      <c r="Y104" s="58" t="str">
        <f t="shared" si="16"/>
        <v/>
      </c>
      <c r="Z104" s="58" t="str">
        <f t="shared" si="17"/>
        <v/>
      </c>
      <c r="AA104" s="62" t="str">
        <f>IF($B104="","",IF(OR(E104&lt;MinBF,X104=""),"",COUNTIFS($E$6:$E$255,"&gt;="&amp;MinBF,$X$6:$X$255,"&lt;"&amp;X104)+COUNTIFS($E$5:E103,"&gt;="&amp;MinBF,$X$5:X103,X104)+1))</f>
        <v/>
      </c>
    </row>
    <row r="105" spans="2:27" x14ac:dyDescent="0.2">
      <c r="B105" s="44" t="str">
        <f t="array" ref="B105">IFERROR(INDEX(pbp_Pitcher,MATCH(0,COUNTIF($B$5:B104,pbp_Pitcher)+(pbp_Pitcher=""),0)),"")</f>
        <v/>
      </c>
      <c r="C105" s="61" t="str">
        <f>IF($B105="","",IFERROR(INDEX(pbp_PitTeam,MATCH($B105,pbp_Pitcher,0)),""))</f>
        <v/>
      </c>
      <c r="D105" s="61" t="str">
        <f>IF($B105="","",IFERROR(INDEX(pbp_PitHand,MATCH($B105,pbp_Pitcher,0)),""))</f>
        <v/>
      </c>
      <c r="E105" s="42" t="str">
        <f>IF($B105="","",SUMPRODUCT(COUNTIFS(pbp_PlayType,EM_Type,pbp_Pitcher,$B105)*EM_PA))</f>
        <v/>
      </c>
      <c r="F105" s="42" t="str">
        <f>IF($B105="","",SUMIFS(pbp_Outs,pbp_Pitcher,$B105))</f>
        <v/>
      </c>
      <c r="G105" s="70" t="str">
        <f t="shared" si="9"/>
        <v/>
      </c>
      <c r="H105" s="42" t="str">
        <f>IF($B105="","",SUMPRODUCT(COUNTIFS(pbp_PlayType,EM_Type,pbp_Pitcher,$B105)*EM_H))</f>
        <v/>
      </c>
      <c r="I105" s="42" t="str">
        <f>IF($B105="","",SUMPRODUCT(COUNTIFS(pbp_PlayType,EM_Type,pbp_Pitcher,$B105)*EM_HR))</f>
        <v/>
      </c>
      <c r="J105" s="42" t="str">
        <f>IF($B105="","",SUMPRODUCT(COUNTIFS(pbp_PlayType,EM_Type,pbp_Pitcher,$B105)*EM_BB))</f>
        <v/>
      </c>
      <c r="K105" s="42" t="str">
        <f>IF($B105="","",SUMPRODUCT(COUNTIFS(pbp_PlayType,EM_Type,pbp_Pitcher,$B105)*EM_HBP))</f>
        <v/>
      </c>
      <c r="L105" s="42" t="str">
        <f>IF($B105="","",COUNTIFS(pbp_PlayType,"?*",pbp_Desc,"*struck out*",pbp_Pitcher,$B105))</f>
        <v/>
      </c>
      <c r="M105" s="42" t="str">
        <f>IF($B105="","",SUMIFS(pbp_Runs,pbp_Pitcher,$B105))</f>
        <v/>
      </c>
      <c r="N105" s="42" t="str">
        <f>IF($B105="","",SUMPRODUCT(COUNTIFS(pbp_PlayType,EM_Type,pbp_Pitcher,$B105)*EM_AB))</f>
        <v/>
      </c>
      <c r="O105" s="42" t="str">
        <f>IF($B105="","",SUMPRODUCT(COUNTIFS(pbp_PlayType,EM_Type,pbp_Pitcher,$B105)*EM_SF))</f>
        <v/>
      </c>
      <c r="P105" s="42" t="str">
        <f>IF($B105="","",SUMIFS(pbp_Pitches,pbp_Pitcher,$B105,pbp_PlayType,"?*"))</f>
        <v/>
      </c>
      <c r="Q105" s="60" t="str">
        <f t="shared" si="10"/>
        <v/>
      </c>
      <c r="R105" s="59" t="str">
        <f>IF($B105="","",IF(E105=0,"",1-SUMPRODUCT((pbp_Pitcher=$B105)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105)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05" s="59" t="str">
        <f>IF($B105="","",IF((SUMPRODUCT((pbp_Pitcher=$B105)*(LEN(pbp_PlayType)&gt;0)))=0,"",(SUMPRODUCT((pbp_Pitcher=$B105)*(LEN(pbp_PlayType)&gt;0)*ISNUMBER(MATCH(LEFT(TRIM(pbp_Seq)&amp;"/",FIND("/",TRIM(pbp_Seq)&amp;"/")-1),{"S","F","FT","FB","IN","MB","POS"},0))))/(SUMPRODUCT((pbp_Pitcher=$B105)*(LEN(pbp_PlayType)&gt;0)))))</f>
        <v/>
      </c>
      <c r="T105" s="59" t="str">
        <f t="shared" si="11"/>
        <v/>
      </c>
      <c r="U105" s="59" t="str">
        <f t="shared" si="12"/>
        <v/>
      </c>
      <c r="V105" s="59" t="str">
        <f t="shared" si="13"/>
        <v/>
      </c>
      <c r="W105" s="60" t="str">
        <f t="shared" si="14"/>
        <v/>
      </c>
      <c r="X105" s="60" t="str">
        <f t="shared" si="15"/>
        <v/>
      </c>
      <c r="Y105" s="58" t="str">
        <f t="shared" si="16"/>
        <v/>
      </c>
      <c r="Z105" s="58" t="str">
        <f t="shared" si="17"/>
        <v/>
      </c>
      <c r="AA105" s="62" t="str">
        <f>IF($B105="","",IF(OR(E105&lt;MinBF,X105=""),"",COUNTIFS($E$6:$E$255,"&gt;="&amp;MinBF,$X$6:$X$255,"&lt;"&amp;X105)+COUNTIFS($E$5:E104,"&gt;="&amp;MinBF,$X$5:X104,X105)+1))</f>
        <v/>
      </c>
    </row>
    <row r="106" spans="2:27" x14ac:dyDescent="0.2">
      <c r="B106" s="44" t="str">
        <f t="array" ref="B106">IFERROR(INDEX(pbp_Pitcher,MATCH(0,COUNTIF($B$5:B105,pbp_Pitcher)+(pbp_Pitcher=""),0)),"")</f>
        <v/>
      </c>
      <c r="C106" s="61" t="str">
        <f>IF($B106="","",IFERROR(INDEX(pbp_PitTeam,MATCH($B106,pbp_Pitcher,0)),""))</f>
        <v/>
      </c>
      <c r="D106" s="61" t="str">
        <f>IF($B106="","",IFERROR(INDEX(pbp_PitHand,MATCH($B106,pbp_Pitcher,0)),""))</f>
        <v/>
      </c>
      <c r="E106" s="42" t="str">
        <f>IF($B106="","",SUMPRODUCT(COUNTIFS(pbp_PlayType,EM_Type,pbp_Pitcher,$B106)*EM_PA))</f>
        <v/>
      </c>
      <c r="F106" s="42" t="str">
        <f>IF($B106="","",SUMIFS(pbp_Outs,pbp_Pitcher,$B106))</f>
        <v/>
      </c>
      <c r="G106" s="70" t="str">
        <f t="shared" si="9"/>
        <v/>
      </c>
      <c r="H106" s="42" t="str">
        <f>IF($B106="","",SUMPRODUCT(COUNTIFS(pbp_PlayType,EM_Type,pbp_Pitcher,$B106)*EM_H))</f>
        <v/>
      </c>
      <c r="I106" s="42" t="str">
        <f>IF($B106="","",SUMPRODUCT(COUNTIFS(pbp_PlayType,EM_Type,pbp_Pitcher,$B106)*EM_HR))</f>
        <v/>
      </c>
      <c r="J106" s="42" t="str">
        <f>IF($B106="","",SUMPRODUCT(COUNTIFS(pbp_PlayType,EM_Type,pbp_Pitcher,$B106)*EM_BB))</f>
        <v/>
      </c>
      <c r="K106" s="42" t="str">
        <f>IF($B106="","",SUMPRODUCT(COUNTIFS(pbp_PlayType,EM_Type,pbp_Pitcher,$B106)*EM_HBP))</f>
        <v/>
      </c>
      <c r="L106" s="42" t="str">
        <f>IF($B106="","",COUNTIFS(pbp_PlayType,"?*",pbp_Desc,"*struck out*",pbp_Pitcher,$B106))</f>
        <v/>
      </c>
      <c r="M106" s="42" t="str">
        <f>IF($B106="","",SUMIFS(pbp_Runs,pbp_Pitcher,$B106))</f>
        <v/>
      </c>
      <c r="N106" s="42" t="str">
        <f>IF($B106="","",SUMPRODUCT(COUNTIFS(pbp_PlayType,EM_Type,pbp_Pitcher,$B106)*EM_AB))</f>
        <v/>
      </c>
      <c r="O106" s="42" t="str">
        <f>IF($B106="","",SUMPRODUCT(COUNTIFS(pbp_PlayType,EM_Type,pbp_Pitcher,$B106)*EM_SF))</f>
        <v/>
      </c>
      <c r="P106" s="42" t="str">
        <f>IF($B106="","",SUMIFS(pbp_Pitches,pbp_Pitcher,$B106,pbp_PlayType,"?*"))</f>
        <v/>
      </c>
      <c r="Q106" s="60" t="str">
        <f t="shared" si="10"/>
        <v/>
      </c>
      <c r="R106" s="59" t="str">
        <f>IF($B106="","",IF(E106=0,"",1-SUMPRODUCT((pbp_Pitcher=$B106)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106)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06" s="59" t="str">
        <f>IF($B106="","",IF((SUMPRODUCT((pbp_Pitcher=$B106)*(LEN(pbp_PlayType)&gt;0)))=0,"",(SUMPRODUCT((pbp_Pitcher=$B106)*(LEN(pbp_PlayType)&gt;0)*ISNUMBER(MATCH(LEFT(TRIM(pbp_Seq)&amp;"/",FIND("/",TRIM(pbp_Seq)&amp;"/")-1),{"S","F","FT","FB","IN","MB","POS"},0))))/(SUMPRODUCT((pbp_Pitcher=$B106)*(LEN(pbp_PlayType)&gt;0)))))</f>
        <v/>
      </c>
      <c r="T106" s="59" t="str">
        <f t="shared" si="11"/>
        <v/>
      </c>
      <c r="U106" s="59" t="str">
        <f t="shared" si="12"/>
        <v/>
      </c>
      <c r="V106" s="59" t="str">
        <f t="shared" si="13"/>
        <v/>
      </c>
      <c r="W106" s="60" t="str">
        <f t="shared" si="14"/>
        <v/>
      </c>
      <c r="X106" s="60" t="str">
        <f t="shared" si="15"/>
        <v/>
      </c>
      <c r="Y106" s="58" t="str">
        <f t="shared" si="16"/>
        <v/>
      </c>
      <c r="Z106" s="58" t="str">
        <f t="shared" si="17"/>
        <v/>
      </c>
      <c r="AA106" s="62" t="str">
        <f>IF($B106="","",IF(OR(E106&lt;MinBF,X106=""),"",COUNTIFS($E$6:$E$255,"&gt;="&amp;MinBF,$X$6:$X$255,"&lt;"&amp;X106)+COUNTIFS($E$5:E105,"&gt;="&amp;MinBF,$X$5:X105,X106)+1))</f>
        <v/>
      </c>
    </row>
    <row r="107" spans="2:27" x14ac:dyDescent="0.2">
      <c r="B107" s="44" t="str">
        <f t="array" ref="B107">IFERROR(INDEX(pbp_Pitcher,MATCH(0,COUNTIF($B$5:B106,pbp_Pitcher)+(pbp_Pitcher=""),0)),"")</f>
        <v/>
      </c>
      <c r="C107" s="61" t="str">
        <f>IF($B107="","",IFERROR(INDEX(pbp_PitTeam,MATCH($B107,pbp_Pitcher,0)),""))</f>
        <v/>
      </c>
      <c r="D107" s="61" t="str">
        <f>IF($B107="","",IFERROR(INDEX(pbp_PitHand,MATCH($B107,pbp_Pitcher,0)),""))</f>
        <v/>
      </c>
      <c r="E107" s="42" t="str">
        <f>IF($B107="","",SUMPRODUCT(COUNTIFS(pbp_PlayType,EM_Type,pbp_Pitcher,$B107)*EM_PA))</f>
        <v/>
      </c>
      <c r="F107" s="42" t="str">
        <f>IF($B107="","",SUMIFS(pbp_Outs,pbp_Pitcher,$B107))</f>
        <v/>
      </c>
      <c r="G107" s="70" t="str">
        <f t="shared" si="9"/>
        <v/>
      </c>
      <c r="H107" s="42" t="str">
        <f>IF($B107="","",SUMPRODUCT(COUNTIFS(pbp_PlayType,EM_Type,pbp_Pitcher,$B107)*EM_H))</f>
        <v/>
      </c>
      <c r="I107" s="42" t="str">
        <f>IF($B107="","",SUMPRODUCT(COUNTIFS(pbp_PlayType,EM_Type,pbp_Pitcher,$B107)*EM_HR))</f>
        <v/>
      </c>
      <c r="J107" s="42" t="str">
        <f>IF($B107="","",SUMPRODUCT(COUNTIFS(pbp_PlayType,EM_Type,pbp_Pitcher,$B107)*EM_BB))</f>
        <v/>
      </c>
      <c r="K107" s="42" t="str">
        <f>IF($B107="","",SUMPRODUCT(COUNTIFS(pbp_PlayType,EM_Type,pbp_Pitcher,$B107)*EM_HBP))</f>
        <v/>
      </c>
      <c r="L107" s="42" t="str">
        <f>IF($B107="","",COUNTIFS(pbp_PlayType,"?*",pbp_Desc,"*struck out*",pbp_Pitcher,$B107))</f>
        <v/>
      </c>
      <c r="M107" s="42" t="str">
        <f>IF($B107="","",SUMIFS(pbp_Runs,pbp_Pitcher,$B107))</f>
        <v/>
      </c>
      <c r="N107" s="42" t="str">
        <f>IF($B107="","",SUMPRODUCT(COUNTIFS(pbp_PlayType,EM_Type,pbp_Pitcher,$B107)*EM_AB))</f>
        <v/>
      </c>
      <c r="O107" s="42" t="str">
        <f>IF($B107="","",SUMPRODUCT(COUNTIFS(pbp_PlayType,EM_Type,pbp_Pitcher,$B107)*EM_SF))</f>
        <v/>
      </c>
      <c r="P107" s="42" t="str">
        <f>IF($B107="","",SUMIFS(pbp_Pitches,pbp_Pitcher,$B107,pbp_PlayType,"?*"))</f>
        <v/>
      </c>
      <c r="Q107" s="60" t="str">
        <f t="shared" si="10"/>
        <v/>
      </c>
      <c r="R107" s="59" t="str">
        <f>IF($B107="","",IF(E107=0,"",1-SUMPRODUCT((pbp_Pitcher=$B107)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107)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07" s="59" t="str">
        <f>IF($B107="","",IF((SUMPRODUCT((pbp_Pitcher=$B107)*(LEN(pbp_PlayType)&gt;0)))=0,"",(SUMPRODUCT((pbp_Pitcher=$B107)*(LEN(pbp_PlayType)&gt;0)*ISNUMBER(MATCH(LEFT(TRIM(pbp_Seq)&amp;"/",FIND("/",TRIM(pbp_Seq)&amp;"/")-1),{"S","F","FT","FB","IN","MB","POS"},0))))/(SUMPRODUCT((pbp_Pitcher=$B107)*(LEN(pbp_PlayType)&gt;0)))))</f>
        <v/>
      </c>
      <c r="T107" s="59" t="str">
        <f t="shared" si="11"/>
        <v/>
      </c>
      <c r="U107" s="59" t="str">
        <f t="shared" si="12"/>
        <v/>
      </c>
      <c r="V107" s="59" t="str">
        <f t="shared" si="13"/>
        <v/>
      </c>
      <c r="W107" s="60" t="str">
        <f t="shared" si="14"/>
        <v/>
      </c>
      <c r="X107" s="60" t="str">
        <f t="shared" si="15"/>
        <v/>
      </c>
      <c r="Y107" s="58" t="str">
        <f t="shared" si="16"/>
        <v/>
      </c>
      <c r="Z107" s="58" t="str">
        <f t="shared" si="17"/>
        <v/>
      </c>
      <c r="AA107" s="62" t="str">
        <f>IF($B107="","",IF(OR(E107&lt;MinBF,X107=""),"",COUNTIFS($E$6:$E$255,"&gt;="&amp;MinBF,$X$6:$X$255,"&lt;"&amp;X107)+COUNTIFS($E$5:E106,"&gt;="&amp;MinBF,$X$5:X106,X107)+1))</f>
        <v/>
      </c>
    </row>
    <row r="108" spans="2:27" x14ac:dyDescent="0.2">
      <c r="B108" s="44" t="str">
        <f t="array" ref="B108">IFERROR(INDEX(pbp_Pitcher,MATCH(0,COUNTIF($B$5:B107,pbp_Pitcher)+(pbp_Pitcher=""),0)),"")</f>
        <v/>
      </c>
      <c r="C108" s="61" t="str">
        <f>IF($B108="","",IFERROR(INDEX(pbp_PitTeam,MATCH($B108,pbp_Pitcher,0)),""))</f>
        <v/>
      </c>
      <c r="D108" s="61" t="str">
        <f>IF($B108="","",IFERROR(INDEX(pbp_PitHand,MATCH($B108,pbp_Pitcher,0)),""))</f>
        <v/>
      </c>
      <c r="E108" s="42" t="str">
        <f>IF($B108="","",SUMPRODUCT(COUNTIFS(pbp_PlayType,EM_Type,pbp_Pitcher,$B108)*EM_PA))</f>
        <v/>
      </c>
      <c r="F108" s="42" t="str">
        <f>IF($B108="","",SUMIFS(pbp_Outs,pbp_Pitcher,$B108))</f>
        <v/>
      </c>
      <c r="G108" s="70" t="str">
        <f t="shared" si="9"/>
        <v/>
      </c>
      <c r="H108" s="42" t="str">
        <f>IF($B108="","",SUMPRODUCT(COUNTIFS(pbp_PlayType,EM_Type,pbp_Pitcher,$B108)*EM_H))</f>
        <v/>
      </c>
      <c r="I108" s="42" t="str">
        <f>IF($B108="","",SUMPRODUCT(COUNTIFS(pbp_PlayType,EM_Type,pbp_Pitcher,$B108)*EM_HR))</f>
        <v/>
      </c>
      <c r="J108" s="42" t="str">
        <f>IF($B108="","",SUMPRODUCT(COUNTIFS(pbp_PlayType,EM_Type,pbp_Pitcher,$B108)*EM_BB))</f>
        <v/>
      </c>
      <c r="K108" s="42" t="str">
        <f>IF($B108="","",SUMPRODUCT(COUNTIFS(pbp_PlayType,EM_Type,pbp_Pitcher,$B108)*EM_HBP))</f>
        <v/>
      </c>
      <c r="L108" s="42" t="str">
        <f>IF($B108="","",COUNTIFS(pbp_PlayType,"?*",pbp_Desc,"*struck out*",pbp_Pitcher,$B108))</f>
        <v/>
      </c>
      <c r="M108" s="42" t="str">
        <f>IF($B108="","",SUMIFS(pbp_Runs,pbp_Pitcher,$B108))</f>
        <v/>
      </c>
      <c r="N108" s="42" t="str">
        <f>IF($B108="","",SUMPRODUCT(COUNTIFS(pbp_PlayType,EM_Type,pbp_Pitcher,$B108)*EM_AB))</f>
        <v/>
      </c>
      <c r="O108" s="42" t="str">
        <f>IF($B108="","",SUMPRODUCT(COUNTIFS(pbp_PlayType,EM_Type,pbp_Pitcher,$B108)*EM_SF))</f>
        <v/>
      </c>
      <c r="P108" s="42" t="str">
        <f>IF($B108="","",SUMIFS(pbp_Pitches,pbp_Pitcher,$B108,pbp_PlayType,"?*"))</f>
        <v/>
      </c>
      <c r="Q108" s="60" t="str">
        <f t="shared" si="10"/>
        <v/>
      </c>
      <c r="R108" s="59" t="str">
        <f>IF($B108="","",IF(E108=0,"",1-SUMPRODUCT((pbp_Pitcher=$B108)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108)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08" s="59" t="str">
        <f>IF($B108="","",IF((SUMPRODUCT((pbp_Pitcher=$B108)*(LEN(pbp_PlayType)&gt;0)))=0,"",(SUMPRODUCT((pbp_Pitcher=$B108)*(LEN(pbp_PlayType)&gt;0)*ISNUMBER(MATCH(LEFT(TRIM(pbp_Seq)&amp;"/",FIND("/",TRIM(pbp_Seq)&amp;"/")-1),{"S","F","FT","FB","IN","MB","POS"},0))))/(SUMPRODUCT((pbp_Pitcher=$B108)*(LEN(pbp_PlayType)&gt;0)))))</f>
        <v/>
      </c>
      <c r="T108" s="59" t="str">
        <f t="shared" si="11"/>
        <v/>
      </c>
      <c r="U108" s="59" t="str">
        <f t="shared" si="12"/>
        <v/>
      </c>
      <c r="V108" s="59" t="str">
        <f t="shared" si="13"/>
        <v/>
      </c>
      <c r="W108" s="60" t="str">
        <f t="shared" si="14"/>
        <v/>
      </c>
      <c r="X108" s="60" t="str">
        <f t="shared" si="15"/>
        <v/>
      </c>
      <c r="Y108" s="58" t="str">
        <f t="shared" si="16"/>
        <v/>
      </c>
      <c r="Z108" s="58" t="str">
        <f t="shared" si="17"/>
        <v/>
      </c>
      <c r="AA108" s="62" t="str">
        <f>IF($B108="","",IF(OR(E108&lt;MinBF,X108=""),"",COUNTIFS($E$6:$E$255,"&gt;="&amp;MinBF,$X$6:$X$255,"&lt;"&amp;X108)+COUNTIFS($E$5:E107,"&gt;="&amp;MinBF,$X$5:X107,X108)+1))</f>
        <v/>
      </c>
    </row>
    <row r="109" spans="2:27" x14ac:dyDescent="0.2">
      <c r="B109" s="44" t="str">
        <f t="array" ref="B109">IFERROR(INDEX(pbp_Pitcher,MATCH(0,COUNTIF($B$5:B108,pbp_Pitcher)+(pbp_Pitcher=""),0)),"")</f>
        <v/>
      </c>
      <c r="C109" s="61" t="str">
        <f>IF($B109="","",IFERROR(INDEX(pbp_PitTeam,MATCH($B109,pbp_Pitcher,0)),""))</f>
        <v/>
      </c>
      <c r="D109" s="61" t="str">
        <f>IF($B109="","",IFERROR(INDEX(pbp_PitHand,MATCH($B109,pbp_Pitcher,0)),""))</f>
        <v/>
      </c>
      <c r="E109" s="42" t="str">
        <f>IF($B109="","",SUMPRODUCT(COUNTIFS(pbp_PlayType,EM_Type,pbp_Pitcher,$B109)*EM_PA))</f>
        <v/>
      </c>
      <c r="F109" s="42" t="str">
        <f>IF($B109="","",SUMIFS(pbp_Outs,pbp_Pitcher,$B109))</f>
        <v/>
      </c>
      <c r="G109" s="70" t="str">
        <f t="shared" si="9"/>
        <v/>
      </c>
      <c r="H109" s="42" t="str">
        <f>IF($B109="","",SUMPRODUCT(COUNTIFS(pbp_PlayType,EM_Type,pbp_Pitcher,$B109)*EM_H))</f>
        <v/>
      </c>
      <c r="I109" s="42" t="str">
        <f>IF($B109="","",SUMPRODUCT(COUNTIFS(pbp_PlayType,EM_Type,pbp_Pitcher,$B109)*EM_HR))</f>
        <v/>
      </c>
      <c r="J109" s="42" t="str">
        <f>IF($B109="","",SUMPRODUCT(COUNTIFS(pbp_PlayType,EM_Type,pbp_Pitcher,$B109)*EM_BB))</f>
        <v/>
      </c>
      <c r="K109" s="42" t="str">
        <f>IF($B109="","",SUMPRODUCT(COUNTIFS(pbp_PlayType,EM_Type,pbp_Pitcher,$B109)*EM_HBP))</f>
        <v/>
      </c>
      <c r="L109" s="42" t="str">
        <f>IF($B109="","",COUNTIFS(pbp_PlayType,"?*",pbp_Desc,"*struck out*",pbp_Pitcher,$B109))</f>
        <v/>
      </c>
      <c r="M109" s="42" t="str">
        <f>IF($B109="","",SUMIFS(pbp_Runs,pbp_Pitcher,$B109))</f>
        <v/>
      </c>
      <c r="N109" s="42" t="str">
        <f>IF($B109="","",SUMPRODUCT(COUNTIFS(pbp_PlayType,EM_Type,pbp_Pitcher,$B109)*EM_AB))</f>
        <v/>
      </c>
      <c r="O109" s="42" t="str">
        <f>IF($B109="","",SUMPRODUCT(COUNTIFS(pbp_PlayType,EM_Type,pbp_Pitcher,$B109)*EM_SF))</f>
        <v/>
      </c>
      <c r="P109" s="42" t="str">
        <f>IF($B109="","",SUMIFS(pbp_Pitches,pbp_Pitcher,$B109,pbp_PlayType,"?*"))</f>
        <v/>
      </c>
      <c r="Q109" s="60" t="str">
        <f t="shared" si="10"/>
        <v/>
      </c>
      <c r="R109" s="59" t="str">
        <f>IF($B109="","",IF(E109=0,"",1-SUMPRODUCT((pbp_Pitcher=$B109)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109)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09" s="59" t="str">
        <f>IF($B109="","",IF((SUMPRODUCT((pbp_Pitcher=$B109)*(LEN(pbp_PlayType)&gt;0)))=0,"",(SUMPRODUCT((pbp_Pitcher=$B109)*(LEN(pbp_PlayType)&gt;0)*ISNUMBER(MATCH(LEFT(TRIM(pbp_Seq)&amp;"/",FIND("/",TRIM(pbp_Seq)&amp;"/")-1),{"S","F","FT","FB","IN","MB","POS"},0))))/(SUMPRODUCT((pbp_Pitcher=$B109)*(LEN(pbp_PlayType)&gt;0)))))</f>
        <v/>
      </c>
      <c r="T109" s="59" t="str">
        <f t="shared" si="11"/>
        <v/>
      </c>
      <c r="U109" s="59" t="str">
        <f t="shared" si="12"/>
        <v/>
      </c>
      <c r="V109" s="59" t="str">
        <f t="shared" si="13"/>
        <v/>
      </c>
      <c r="W109" s="60" t="str">
        <f t="shared" si="14"/>
        <v/>
      </c>
      <c r="X109" s="60" t="str">
        <f t="shared" si="15"/>
        <v/>
      </c>
      <c r="Y109" s="58" t="str">
        <f t="shared" si="16"/>
        <v/>
      </c>
      <c r="Z109" s="58" t="str">
        <f t="shared" si="17"/>
        <v/>
      </c>
      <c r="AA109" s="62" t="str">
        <f>IF($B109="","",IF(OR(E109&lt;MinBF,X109=""),"",COUNTIFS($E$6:$E$255,"&gt;="&amp;MinBF,$X$6:$X$255,"&lt;"&amp;X109)+COUNTIFS($E$5:E108,"&gt;="&amp;MinBF,$X$5:X108,X109)+1))</f>
        <v/>
      </c>
    </row>
    <row r="110" spans="2:27" x14ac:dyDescent="0.2">
      <c r="B110" s="44" t="str">
        <f t="array" ref="B110">IFERROR(INDEX(pbp_Pitcher,MATCH(0,COUNTIF($B$5:B109,pbp_Pitcher)+(pbp_Pitcher=""),0)),"")</f>
        <v/>
      </c>
      <c r="C110" s="61" t="str">
        <f>IF($B110="","",IFERROR(INDEX(pbp_PitTeam,MATCH($B110,pbp_Pitcher,0)),""))</f>
        <v/>
      </c>
      <c r="D110" s="61" t="str">
        <f>IF($B110="","",IFERROR(INDEX(pbp_PitHand,MATCH($B110,pbp_Pitcher,0)),""))</f>
        <v/>
      </c>
      <c r="E110" s="42" t="str">
        <f>IF($B110="","",SUMPRODUCT(COUNTIFS(pbp_PlayType,EM_Type,pbp_Pitcher,$B110)*EM_PA))</f>
        <v/>
      </c>
      <c r="F110" s="42" t="str">
        <f>IF($B110="","",SUMIFS(pbp_Outs,pbp_Pitcher,$B110))</f>
        <v/>
      </c>
      <c r="G110" s="70" t="str">
        <f t="shared" si="9"/>
        <v/>
      </c>
      <c r="H110" s="42" t="str">
        <f>IF($B110="","",SUMPRODUCT(COUNTIFS(pbp_PlayType,EM_Type,pbp_Pitcher,$B110)*EM_H))</f>
        <v/>
      </c>
      <c r="I110" s="42" t="str">
        <f>IF($B110="","",SUMPRODUCT(COUNTIFS(pbp_PlayType,EM_Type,pbp_Pitcher,$B110)*EM_HR))</f>
        <v/>
      </c>
      <c r="J110" s="42" t="str">
        <f>IF($B110="","",SUMPRODUCT(COUNTIFS(pbp_PlayType,EM_Type,pbp_Pitcher,$B110)*EM_BB))</f>
        <v/>
      </c>
      <c r="K110" s="42" t="str">
        <f>IF($B110="","",SUMPRODUCT(COUNTIFS(pbp_PlayType,EM_Type,pbp_Pitcher,$B110)*EM_HBP))</f>
        <v/>
      </c>
      <c r="L110" s="42" t="str">
        <f>IF($B110="","",COUNTIFS(pbp_PlayType,"?*",pbp_Desc,"*struck out*",pbp_Pitcher,$B110))</f>
        <v/>
      </c>
      <c r="M110" s="42" t="str">
        <f>IF($B110="","",SUMIFS(pbp_Runs,pbp_Pitcher,$B110))</f>
        <v/>
      </c>
      <c r="N110" s="42" t="str">
        <f>IF($B110="","",SUMPRODUCT(COUNTIFS(pbp_PlayType,EM_Type,pbp_Pitcher,$B110)*EM_AB))</f>
        <v/>
      </c>
      <c r="O110" s="42" t="str">
        <f>IF($B110="","",SUMPRODUCT(COUNTIFS(pbp_PlayType,EM_Type,pbp_Pitcher,$B110)*EM_SF))</f>
        <v/>
      </c>
      <c r="P110" s="42" t="str">
        <f>IF($B110="","",SUMIFS(pbp_Pitches,pbp_Pitcher,$B110,pbp_PlayType,"?*"))</f>
        <v/>
      </c>
      <c r="Q110" s="60" t="str">
        <f t="shared" si="10"/>
        <v/>
      </c>
      <c r="R110" s="59" t="str">
        <f>IF($B110="","",IF(E110=0,"",1-SUMPRODUCT((pbp_Pitcher=$B110)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110)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10" s="59" t="str">
        <f>IF($B110="","",IF((SUMPRODUCT((pbp_Pitcher=$B110)*(LEN(pbp_PlayType)&gt;0)))=0,"",(SUMPRODUCT((pbp_Pitcher=$B110)*(LEN(pbp_PlayType)&gt;0)*ISNUMBER(MATCH(LEFT(TRIM(pbp_Seq)&amp;"/",FIND("/",TRIM(pbp_Seq)&amp;"/")-1),{"S","F","FT","FB","IN","MB","POS"},0))))/(SUMPRODUCT((pbp_Pitcher=$B110)*(LEN(pbp_PlayType)&gt;0)))))</f>
        <v/>
      </c>
      <c r="T110" s="59" t="str">
        <f t="shared" si="11"/>
        <v/>
      </c>
      <c r="U110" s="59" t="str">
        <f t="shared" si="12"/>
        <v/>
      </c>
      <c r="V110" s="59" t="str">
        <f t="shared" si="13"/>
        <v/>
      </c>
      <c r="W110" s="60" t="str">
        <f t="shared" si="14"/>
        <v/>
      </c>
      <c r="X110" s="60" t="str">
        <f t="shared" si="15"/>
        <v/>
      </c>
      <c r="Y110" s="58" t="str">
        <f t="shared" si="16"/>
        <v/>
      </c>
      <c r="Z110" s="58" t="str">
        <f t="shared" si="17"/>
        <v/>
      </c>
      <c r="AA110" s="62" t="str">
        <f>IF($B110="","",IF(OR(E110&lt;MinBF,X110=""),"",COUNTIFS($E$6:$E$255,"&gt;="&amp;MinBF,$X$6:$X$255,"&lt;"&amp;X110)+COUNTIFS($E$5:E109,"&gt;="&amp;MinBF,$X$5:X109,X110)+1))</f>
        <v/>
      </c>
    </row>
    <row r="111" spans="2:27" x14ac:dyDescent="0.2">
      <c r="B111" s="44" t="str">
        <f t="array" ref="B111">IFERROR(INDEX(pbp_Pitcher,MATCH(0,COUNTIF($B$5:B110,pbp_Pitcher)+(pbp_Pitcher=""),0)),"")</f>
        <v/>
      </c>
      <c r="C111" s="61" t="str">
        <f>IF($B111="","",IFERROR(INDEX(pbp_PitTeam,MATCH($B111,pbp_Pitcher,0)),""))</f>
        <v/>
      </c>
      <c r="D111" s="61" t="str">
        <f>IF($B111="","",IFERROR(INDEX(pbp_PitHand,MATCH($B111,pbp_Pitcher,0)),""))</f>
        <v/>
      </c>
      <c r="E111" s="42" t="str">
        <f>IF($B111="","",SUMPRODUCT(COUNTIFS(pbp_PlayType,EM_Type,pbp_Pitcher,$B111)*EM_PA))</f>
        <v/>
      </c>
      <c r="F111" s="42" t="str">
        <f>IF($B111="","",SUMIFS(pbp_Outs,pbp_Pitcher,$B111))</f>
        <v/>
      </c>
      <c r="G111" s="70" t="str">
        <f t="shared" si="9"/>
        <v/>
      </c>
      <c r="H111" s="42" t="str">
        <f>IF($B111="","",SUMPRODUCT(COUNTIFS(pbp_PlayType,EM_Type,pbp_Pitcher,$B111)*EM_H))</f>
        <v/>
      </c>
      <c r="I111" s="42" t="str">
        <f>IF($B111="","",SUMPRODUCT(COUNTIFS(pbp_PlayType,EM_Type,pbp_Pitcher,$B111)*EM_HR))</f>
        <v/>
      </c>
      <c r="J111" s="42" t="str">
        <f>IF($B111="","",SUMPRODUCT(COUNTIFS(pbp_PlayType,EM_Type,pbp_Pitcher,$B111)*EM_BB))</f>
        <v/>
      </c>
      <c r="K111" s="42" t="str">
        <f>IF($B111="","",SUMPRODUCT(COUNTIFS(pbp_PlayType,EM_Type,pbp_Pitcher,$B111)*EM_HBP))</f>
        <v/>
      </c>
      <c r="L111" s="42" t="str">
        <f>IF($B111="","",COUNTIFS(pbp_PlayType,"?*",pbp_Desc,"*struck out*",pbp_Pitcher,$B111))</f>
        <v/>
      </c>
      <c r="M111" s="42" t="str">
        <f>IF($B111="","",SUMIFS(pbp_Runs,pbp_Pitcher,$B111))</f>
        <v/>
      </c>
      <c r="N111" s="42" t="str">
        <f>IF($B111="","",SUMPRODUCT(COUNTIFS(pbp_PlayType,EM_Type,pbp_Pitcher,$B111)*EM_AB))</f>
        <v/>
      </c>
      <c r="O111" s="42" t="str">
        <f>IF($B111="","",SUMPRODUCT(COUNTIFS(pbp_PlayType,EM_Type,pbp_Pitcher,$B111)*EM_SF))</f>
        <v/>
      </c>
      <c r="P111" s="42" t="str">
        <f>IF($B111="","",SUMIFS(pbp_Pitches,pbp_Pitcher,$B111,pbp_PlayType,"?*"))</f>
        <v/>
      </c>
      <c r="Q111" s="60" t="str">
        <f t="shared" si="10"/>
        <v/>
      </c>
      <c r="R111" s="59" t="str">
        <f>IF($B111="","",IF(E111=0,"",1-SUMPRODUCT((pbp_Pitcher=$B111)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111)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11" s="59" t="str">
        <f>IF($B111="","",IF((SUMPRODUCT((pbp_Pitcher=$B111)*(LEN(pbp_PlayType)&gt;0)))=0,"",(SUMPRODUCT((pbp_Pitcher=$B111)*(LEN(pbp_PlayType)&gt;0)*ISNUMBER(MATCH(LEFT(TRIM(pbp_Seq)&amp;"/",FIND("/",TRIM(pbp_Seq)&amp;"/")-1),{"S","F","FT","FB","IN","MB","POS"},0))))/(SUMPRODUCT((pbp_Pitcher=$B111)*(LEN(pbp_PlayType)&gt;0)))))</f>
        <v/>
      </c>
      <c r="T111" s="59" t="str">
        <f t="shared" si="11"/>
        <v/>
      </c>
      <c r="U111" s="59" t="str">
        <f t="shared" si="12"/>
        <v/>
      </c>
      <c r="V111" s="59" t="str">
        <f t="shared" si="13"/>
        <v/>
      </c>
      <c r="W111" s="60" t="str">
        <f t="shared" si="14"/>
        <v/>
      </c>
      <c r="X111" s="60" t="str">
        <f t="shared" si="15"/>
        <v/>
      </c>
      <c r="Y111" s="58" t="str">
        <f t="shared" si="16"/>
        <v/>
      </c>
      <c r="Z111" s="58" t="str">
        <f t="shared" si="17"/>
        <v/>
      </c>
      <c r="AA111" s="62" t="str">
        <f>IF($B111="","",IF(OR(E111&lt;MinBF,X111=""),"",COUNTIFS($E$6:$E$255,"&gt;="&amp;MinBF,$X$6:$X$255,"&lt;"&amp;X111)+COUNTIFS($E$5:E110,"&gt;="&amp;MinBF,$X$5:X110,X111)+1))</f>
        <v/>
      </c>
    </row>
    <row r="112" spans="2:27" x14ac:dyDescent="0.2">
      <c r="B112" s="44" t="str">
        <f t="array" ref="B112">IFERROR(INDEX(pbp_Pitcher,MATCH(0,COUNTIF($B$5:B111,pbp_Pitcher)+(pbp_Pitcher=""),0)),"")</f>
        <v/>
      </c>
      <c r="C112" s="61" t="str">
        <f>IF($B112="","",IFERROR(INDEX(pbp_PitTeam,MATCH($B112,pbp_Pitcher,0)),""))</f>
        <v/>
      </c>
      <c r="D112" s="61" t="str">
        <f>IF($B112="","",IFERROR(INDEX(pbp_PitHand,MATCH($B112,pbp_Pitcher,0)),""))</f>
        <v/>
      </c>
      <c r="E112" s="42" t="str">
        <f>IF($B112="","",SUMPRODUCT(COUNTIFS(pbp_PlayType,EM_Type,pbp_Pitcher,$B112)*EM_PA))</f>
        <v/>
      </c>
      <c r="F112" s="42" t="str">
        <f>IF($B112="","",SUMIFS(pbp_Outs,pbp_Pitcher,$B112))</f>
        <v/>
      </c>
      <c r="G112" s="70" t="str">
        <f t="shared" si="9"/>
        <v/>
      </c>
      <c r="H112" s="42" t="str">
        <f>IF($B112="","",SUMPRODUCT(COUNTIFS(pbp_PlayType,EM_Type,pbp_Pitcher,$B112)*EM_H))</f>
        <v/>
      </c>
      <c r="I112" s="42" t="str">
        <f>IF($B112="","",SUMPRODUCT(COUNTIFS(pbp_PlayType,EM_Type,pbp_Pitcher,$B112)*EM_HR))</f>
        <v/>
      </c>
      <c r="J112" s="42" t="str">
        <f>IF($B112="","",SUMPRODUCT(COUNTIFS(pbp_PlayType,EM_Type,pbp_Pitcher,$B112)*EM_BB))</f>
        <v/>
      </c>
      <c r="K112" s="42" t="str">
        <f>IF($B112="","",SUMPRODUCT(COUNTIFS(pbp_PlayType,EM_Type,pbp_Pitcher,$B112)*EM_HBP))</f>
        <v/>
      </c>
      <c r="L112" s="42" t="str">
        <f>IF($B112="","",COUNTIFS(pbp_PlayType,"?*",pbp_Desc,"*struck out*",pbp_Pitcher,$B112))</f>
        <v/>
      </c>
      <c r="M112" s="42" t="str">
        <f>IF($B112="","",SUMIFS(pbp_Runs,pbp_Pitcher,$B112))</f>
        <v/>
      </c>
      <c r="N112" s="42" t="str">
        <f>IF($B112="","",SUMPRODUCT(COUNTIFS(pbp_PlayType,EM_Type,pbp_Pitcher,$B112)*EM_AB))</f>
        <v/>
      </c>
      <c r="O112" s="42" t="str">
        <f>IF($B112="","",SUMPRODUCT(COUNTIFS(pbp_PlayType,EM_Type,pbp_Pitcher,$B112)*EM_SF))</f>
        <v/>
      </c>
      <c r="P112" s="42" t="str">
        <f>IF($B112="","",SUMIFS(pbp_Pitches,pbp_Pitcher,$B112,pbp_PlayType,"?*"))</f>
        <v/>
      </c>
      <c r="Q112" s="60" t="str">
        <f t="shared" si="10"/>
        <v/>
      </c>
      <c r="R112" s="59" t="str">
        <f>IF($B112="","",IF(E112=0,"",1-SUMPRODUCT((pbp_Pitcher=$B112)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112)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12" s="59" t="str">
        <f>IF($B112="","",IF((SUMPRODUCT((pbp_Pitcher=$B112)*(LEN(pbp_PlayType)&gt;0)))=0,"",(SUMPRODUCT((pbp_Pitcher=$B112)*(LEN(pbp_PlayType)&gt;0)*ISNUMBER(MATCH(LEFT(TRIM(pbp_Seq)&amp;"/",FIND("/",TRIM(pbp_Seq)&amp;"/")-1),{"S","F","FT","FB","IN","MB","POS"},0))))/(SUMPRODUCT((pbp_Pitcher=$B112)*(LEN(pbp_PlayType)&gt;0)))))</f>
        <v/>
      </c>
      <c r="T112" s="59" t="str">
        <f t="shared" si="11"/>
        <v/>
      </c>
      <c r="U112" s="59" t="str">
        <f t="shared" si="12"/>
        <v/>
      </c>
      <c r="V112" s="59" t="str">
        <f t="shared" si="13"/>
        <v/>
      </c>
      <c r="W112" s="60" t="str">
        <f t="shared" si="14"/>
        <v/>
      </c>
      <c r="X112" s="60" t="str">
        <f t="shared" si="15"/>
        <v/>
      </c>
      <c r="Y112" s="58" t="str">
        <f t="shared" si="16"/>
        <v/>
      </c>
      <c r="Z112" s="58" t="str">
        <f t="shared" si="17"/>
        <v/>
      </c>
      <c r="AA112" s="62" t="str">
        <f>IF($B112="","",IF(OR(E112&lt;MinBF,X112=""),"",COUNTIFS($E$6:$E$255,"&gt;="&amp;MinBF,$X$6:$X$255,"&lt;"&amp;X112)+COUNTIFS($E$5:E111,"&gt;="&amp;MinBF,$X$5:X111,X112)+1))</f>
        <v/>
      </c>
    </row>
    <row r="113" spans="2:27" x14ac:dyDescent="0.2">
      <c r="B113" s="44" t="str">
        <f t="array" ref="B113">IFERROR(INDEX(pbp_Pitcher,MATCH(0,COUNTIF($B$5:B112,pbp_Pitcher)+(pbp_Pitcher=""),0)),"")</f>
        <v/>
      </c>
      <c r="C113" s="61" t="str">
        <f>IF($B113="","",IFERROR(INDEX(pbp_PitTeam,MATCH($B113,pbp_Pitcher,0)),""))</f>
        <v/>
      </c>
      <c r="D113" s="61" t="str">
        <f>IF($B113="","",IFERROR(INDEX(pbp_PitHand,MATCH($B113,pbp_Pitcher,0)),""))</f>
        <v/>
      </c>
      <c r="E113" s="42" t="str">
        <f>IF($B113="","",SUMPRODUCT(COUNTIFS(pbp_PlayType,EM_Type,pbp_Pitcher,$B113)*EM_PA))</f>
        <v/>
      </c>
      <c r="F113" s="42" t="str">
        <f>IF($B113="","",SUMIFS(pbp_Outs,pbp_Pitcher,$B113))</f>
        <v/>
      </c>
      <c r="G113" s="70" t="str">
        <f t="shared" si="9"/>
        <v/>
      </c>
      <c r="H113" s="42" t="str">
        <f>IF($B113="","",SUMPRODUCT(COUNTIFS(pbp_PlayType,EM_Type,pbp_Pitcher,$B113)*EM_H))</f>
        <v/>
      </c>
      <c r="I113" s="42" t="str">
        <f>IF($B113="","",SUMPRODUCT(COUNTIFS(pbp_PlayType,EM_Type,pbp_Pitcher,$B113)*EM_HR))</f>
        <v/>
      </c>
      <c r="J113" s="42" t="str">
        <f>IF($B113="","",SUMPRODUCT(COUNTIFS(pbp_PlayType,EM_Type,pbp_Pitcher,$B113)*EM_BB))</f>
        <v/>
      </c>
      <c r="K113" s="42" t="str">
        <f>IF($B113="","",SUMPRODUCT(COUNTIFS(pbp_PlayType,EM_Type,pbp_Pitcher,$B113)*EM_HBP))</f>
        <v/>
      </c>
      <c r="L113" s="42" t="str">
        <f>IF($B113="","",COUNTIFS(pbp_PlayType,"?*",pbp_Desc,"*struck out*",pbp_Pitcher,$B113))</f>
        <v/>
      </c>
      <c r="M113" s="42" t="str">
        <f>IF($B113="","",SUMIFS(pbp_Runs,pbp_Pitcher,$B113))</f>
        <v/>
      </c>
      <c r="N113" s="42" t="str">
        <f>IF($B113="","",SUMPRODUCT(COUNTIFS(pbp_PlayType,EM_Type,pbp_Pitcher,$B113)*EM_AB))</f>
        <v/>
      </c>
      <c r="O113" s="42" t="str">
        <f>IF($B113="","",SUMPRODUCT(COUNTIFS(pbp_PlayType,EM_Type,pbp_Pitcher,$B113)*EM_SF))</f>
        <v/>
      </c>
      <c r="P113" s="42" t="str">
        <f>IF($B113="","",SUMIFS(pbp_Pitches,pbp_Pitcher,$B113,pbp_PlayType,"?*"))</f>
        <v/>
      </c>
      <c r="Q113" s="60" t="str">
        <f t="shared" si="10"/>
        <v/>
      </c>
      <c r="R113" s="59" t="str">
        <f>IF($B113="","",IF(E113=0,"",1-SUMPRODUCT((pbp_Pitcher=$B113)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113)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13" s="59" t="str">
        <f>IF($B113="","",IF((SUMPRODUCT((pbp_Pitcher=$B113)*(LEN(pbp_PlayType)&gt;0)))=0,"",(SUMPRODUCT((pbp_Pitcher=$B113)*(LEN(pbp_PlayType)&gt;0)*ISNUMBER(MATCH(LEFT(TRIM(pbp_Seq)&amp;"/",FIND("/",TRIM(pbp_Seq)&amp;"/")-1),{"S","F","FT","FB","IN","MB","POS"},0))))/(SUMPRODUCT((pbp_Pitcher=$B113)*(LEN(pbp_PlayType)&gt;0)))))</f>
        <v/>
      </c>
      <c r="T113" s="59" t="str">
        <f t="shared" si="11"/>
        <v/>
      </c>
      <c r="U113" s="59" t="str">
        <f t="shared" si="12"/>
        <v/>
      </c>
      <c r="V113" s="59" t="str">
        <f t="shared" si="13"/>
        <v/>
      </c>
      <c r="W113" s="60" t="str">
        <f t="shared" si="14"/>
        <v/>
      </c>
      <c r="X113" s="60" t="str">
        <f t="shared" si="15"/>
        <v/>
      </c>
      <c r="Y113" s="58" t="str">
        <f t="shared" si="16"/>
        <v/>
      </c>
      <c r="Z113" s="58" t="str">
        <f t="shared" si="17"/>
        <v/>
      </c>
      <c r="AA113" s="62" t="str">
        <f>IF($B113="","",IF(OR(E113&lt;MinBF,X113=""),"",COUNTIFS($E$6:$E$255,"&gt;="&amp;MinBF,$X$6:$X$255,"&lt;"&amp;X113)+COUNTIFS($E$5:E112,"&gt;="&amp;MinBF,$X$5:X112,X113)+1))</f>
        <v/>
      </c>
    </row>
    <row r="114" spans="2:27" x14ac:dyDescent="0.2">
      <c r="B114" s="44" t="str">
        <f t="array" ref="B114">IFERROR(INDEX(pbp_Pitcher,MATCH(0,COUNTIF($B$5:B113,pbp_Pitcher)+(pbp_Pitcher=""),0)),"")</f>
        <v/>
      </c>
      <c r="C114" s="61" t="str">
        <f>IF($B114="","",IFERROR(INDEX(pbp_PitTeam,MATCH($B114,pbp_Pitcher,0)),""))</f>
        <v/>
      </c>
      <c r="D114" s="61" t="str">
        <f>IF($B114="","",IFERROR(INDEX(pbp_PitHand,MATCH($B114,pbp_Pitcher,0)),""))</f>
        <v/>
      </c>
      <c r="E114" s="42" t="str">
        <f>IF($B114="","",SUMPRODUCT(COUNTIFS(pbp_PlayType,EM_Type,pbp_Pitcher,$B114)*EM_PA))</f>
        <v/>
      </c>
      <c r="F114" s="42" t="str">
        <f>IF($B114="","",SUMIFS(pbp_Outs,pbp_Pitcher,$B114))</f>
        <v/>
      </c>
      <c r="G114" s="70" t="str">
        <f t="shared" si="9"/>
        <v/>
      </c>
      <c r="H114" s="42" t="str">
        <f>IF($B114="","",SUMPRODUCT(COUNTIFS(pbp_PlayType,EM_Type,pbp_Pitcher,$B114)*EM_H))</f>
        <v/>
      </c>
      <c r="I114" s="42" t="str">
        <f>IF($B114="","",SUMPRODUCT(COUNTIFS(pbp_PlayType,EM_Type,pbp_Pitcher,$B114)*EM_HR))</f>
        <v/>
      </c>
      <c r="J114" s="42" t="str">
        <f>IF($B114="","",SUMPRODUCT(COUNTIFS(pbp_PlayType,EM_Type,pbp_Pitcher,$B114)*EM_BB))</f>
        <v/>
      </c>
      <c r="K114" s="42" t="str">
        <f>IF($B114="","",SUMPRODUCT(COUNTIFS(pbp_PlayType,EM_Type,pbp_Pitcher,$B114)*EM_HBP))</f>
        <v/>
      </c>
      <c r="L114" s="42" t="str">
        <f>IF($B114="","",COUNTIFS(pbp_PlayType,"?*",pbp_Desc,"*struck out*",pbp_Pitcher,$B114))</f>
        <v/>
      </c>
      <c r="M114" s="42" t="str">
        <f>IF($B114="","",SUMIFS(pbp_Runs,pbp_Pitcher,$B114))</f>
        <v/>
      </c>
      <c r="N114" s="42" t="str">
        <f>IF($B114="","",SUMPRODUCT(COUNTIFS(pbp_PlayType,EM_Type,pbp_Pitcher,$B114)*EM_AB))</f>
        <v/>
      </c>
      <c r="O114" s="42" t="str">
        <f>IF($B114="","",SUMPRODUCT(COUNTIFS(pbp_PlayType,EM_Type,pbp_Pitcher,$B114)*EM_SF))</f>
        <v/>
      </c>
      <c r="P114" s="42" t="str">
        <f>IF($B114="","",SUMIFS(pbp_Pitches,pbp_Pitcher,$B114,pbp_PlayType,"?*"))</f>
        <v/>
      </c>
      <c r="Q114" s="60" t="str">
        <f t="shared" si="10"/>
        <v/>
      </c>
      <c r="R114" s="59" t="str">
        <f>IF($B114="","",IF(E114=0,"",1-SUMPRODUCT((pbp_Pitcher=$B114)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114)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14" s="59" t="str">
        <f>IF($B114="","",IF((SUMPRODUCT((pbp_Pitcher=$B114)*(LEN(pbp_PlayType)&gt;0)))=0,"",(SUMPRODUCT((pbp_Pitcher=$B114)*(LEN(pbp_PlayType)&gt;0)*ISNUMBER(MATCH(LEFT(TRIM(pbp_Seq)&amp;"/",FIND("/",TRIM(pbp_Seq)&amp;"/")-1),{"S","F","FT","FB","IN","MB","POS"},0))))/(SUMPRODUCT((pbp_Pitcher=$B114)*(LEN(pbp_PlayType)&gt;0)))))</f>
        <v/>
      </c>
      <c r="T114" s="59" t="str">
        <f t="shared" si="11"/>
        <v/>
      </c>
      <c r="U114" s="59" t="str">
        <f t="shared" si="12"/>
        <v/>
      </c>
      <c r="V114" s="59" t="str">
        <f t="shared" si="13"/>
        <v/>
      </c>
      <c r="W114" s="60" t="str">
        <f t="shared" si="14"/>
        <v/>
      </c>
      <c r="X114" s="60" t="str">
        <f t="shared" si="15"/>
        <v/>
      </c>
      <c r="Y114" s="58" t="str">
        <f t="shared" si="16"/>
        <v/>
      </c>
      <c r="Z114" s="58" t="str">
        <f t="shared" si="17"/>
        <v/>
      </c>
      <c r="AA114" s="62" t="str">
        <f>IF($B114="","",IF(OR(E114&lt;MinBF,X114=""),"",COUNTIFS($E$6:$E$255,"&gt;="&amp;MinBF,$X$6:$X$255,"&lt;"&amp;X114)+COUNTIFS($E$5:E113,"&gt;="&amp;MinBF,$X$5:X113,X114)+1))</f>
        <v/>
      </c>
    </row>
    <row r="115" spans="2:27" x14ac:dyDescent="0.2">
      <c r="B115" s="44" t="str">
        <f t="array" ref="B115">IFERROR(INDEX(pbp_Pitcher,MATCH(0,COUNTIF($B$5:B114,pbp_Pitcher)+(pbp_Pitcher=""),0)),"")</f>
        <v/>
      </c>
      <c r="C115" s="61" t="str">
        <f>IF($B115="","",IFERROR(INDEX(pbp_PitTeam,MATCH($B115,pbp_Pitcher,0)),""))</f>
        <v/>
      </c>
      <c r="D115" s="61" t="str">
        <f>IF($B115="","",IFERROR(INDEX(pbp_PitHand,MATCH($B115,pbp_Pitcher,0)),""))</f>
        <v/>
      </c>
      <c r="E115" s="42" t="str">
        <f>IF($B115="","",SUMPRODUCT(COUNTIFS(pbp_PlayType,EM_Type,pbp_Pitcher,$B115)*EM_PA))</f>
        <v/>
      </c>
      <c r="F115" s="42" t="str">
        <f>IF($B115="","",SUMIFS(pbp_Outs,pbp_Pitcher,$B115))</f>
        <v/>
      </c>
      <c r="G115" s="70" t="str">
        <f t="shared" si="9"/>
        <v/>
      </c>
      <c r="H115" s="42" t="str">
        <f>IF($B115="","",SUMPRODUCT(COUNTIFS(pbp_PlayType,EM_Type,pbp_Pitcher,$B115)*EM_H))</f>
        <v/>
      </c>
      <c r="I115" s="42" t="str">
        <f>IF($B115="","",SUMPRODUCT(COUNTIFS(pbp_PlayType,EM_Type,pbp_Pitcher,$B115)*EM_HR))</f>
        <v/>
      </c>
      <c r="J115" s="42" t="str">
        <f>IF($B115="","",SUMPRODUCT(COUNTIFS(pbp_PlayType,EM_Type,pbp_Pitcher,$B115)*EM_BB))</f>
        <v/>
      </c>
      <c r="K115" s="42" t="str">
        <f>IF($B115="","",SUMPRODUCT(COUNTIFS(pbp_PlayType,EM_Type,pbp_Pitcher,$B115)*EM_HBP))</f>
        <v/>
      </c>
      <c r="L115" s="42" t="str">
        <f>IF($B115="","",COUNTIFS(pbp_PlayType,"?*",pbp_Desc,"*struck out*",pbp_Pitcher,$B115))</f>
        <v/>
      </c>
      <c r="M115" s="42" t="str">
        <f>IF($B115="","",SUMIFS(pbp_Runs,pbp_Pitcher,$B115))</f>
        <v/>
      </c>
      <c r="N115" s="42" t="str">
        <f>IF($B115="","",SUMPRODUCT(COUNTIFS(pbp_PlayType,EM_Type,pbp_Pitcher,$B115)*EM_AB))</f>
        <v/>
      </c>
      <c r="O115" s="42" t="str">
        <f>IF($B115="","",SUMPRODUCT(COUNTIFS(pbp_PlayType,EM_Type,pbp_Pitcher,$B115)*EM_SF))</f>
        <v/>
      </c>
      <c r="P115" s="42" t="str">
        <f>IF($B115="","",SUMIFS(pbp_Pitches,pbp_Pitcher,$B115,pbp_PlayType,"?*"))</f>
        <v/>
      </c>
      <c r="Q115" s="60" t="str">
        <f t="shared" si="10"/>
        <v/>
      </c>
      <c r="R115" s="59" t="str">
        <f>IF($B115="","",IF(E115=0,"",1-SUMPRODUCT((pbp_Pitcher=$B115)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115)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15" s="59" t="str">
        <f>IF($B115="","",IF((SUMPRODUCT((pbp_Pitcher=$B115)*(LEN(pbp_PlayType)&gt;0)))=0,"",(SUMPRODUCT((pbp_Pitcher=$B115)*(LEN(pbp_PlayType)&gt;0)*ISNUMBER(MATCH(LEFT(TRIM(pbp_Seq)&amp;"/",FIND("/",TRIM(pbp_Seq)&amp;"/")-1),{"S","F","FT","FB","IN","MB","POS"},0))))/(SUMPRODUCT((pbp_Pitcher=$B115)*(LEN(pbp_PlayType)&gt;0)))))</f>
        <v/>
      </c>
      <c r="T115" s="59" t="str">
        <f t="shared" si="11"/>
        <v/>
      </c>
      <c r="U115" s="59" t="str">
        <f t="shared" si="12"/>
        <v/>
      </c>
      <c r="V115" s="59" t="str">
        <f t="shared" si="13"/>
        <v/>
      </c>
      <c r="W115" s="60" t="str">
        <f t="shared" si="14"/>
        <v/>
      </c>
      <c r="X115" s="60" t="str">
        <f t="shared" si="15"/>
        <v/>
      </c>
      <c r="Y115" s="58" t="str">
        <f t="shared" si="16"/>
        <v/>
      </c>
      <c r="Z115" s="58" t="str">
        <f t="shared" si="17"/>
        <v/>
      </c>
      <c r="AA115" s="62" t="str">
        <f>IF($B115="","",IF(OR(E115&lt;MinBF,X115=""),"",COUNTIFS($E$6:$E$255,"&gt;="&amp;MinBF,$X$6:$X$255,"&lt;"&amp;X115)+COUNTIFS($E$5:E114,"&gt;="&amp;MinBF,$X$5:X114,X115)+1))</f>
        <v/>
      </c>
    </row>
    <row r="116" spans="2:27" x14ac:dyDescent="0.2">
      <c r="B116" s="44" t="str">
        <f t="array" ref="B116">IFERROR(INDEX(pbp_Pitcher,MATCH(0,COUNTIF($B$5:B115,pbp_Pitcher)+(pbp_Pitcher=""),0)),"")</f>
        <v/>
      </c>
      <c r="C116" s="61" t="str">
        <f>IF($B116="","",IFERROR(INDEX(pbp_PitTeam,MATCH($B116,pbp_Pitcher,0)),""))</f>
        <v/>
      </c>
      <c r="D116" s="61" t="str">
        <f>IF($B116="","",IFERROR(INDEX(pbp_PitHand,MATCH($B116,pbp_Pitcher,0)),""))</f>
        <v/>
      </c>
      <c r="E116" s="42" t="str">
        <f>IF($B116="","",SUMPRODUCT(COUNTIFS(pbp_PlayType,EM_Type,pbp_Pitcher,$B116)*EM_PA))</f>
        <v/>
      </c>
      <c r="F116" s="42" t="str">
        <f>IF($B116="","",SUMIFS(pbp_Outs,pbp_Pitcher,$B116))</f>
        <v/>
      </c>
      <c r="G116" s="70" t="str">
        <f t="shared" si="9"/>
        <v/>
      </c>
      <c r="H116" s="42" t="str">
        <f>IF($B116="","",SUMPRODUCT(COUNTIFS(pbp_PlayType,EM_Type,pbp_Pitcher,$B116)*EM_H))</f>
        <v/>
      </c>
      <c r="I116" s="42" t="str">
        <f>IF($B116="","",SUMPRODUCT(COUNTIFS(pbp_PlayType,EM_Type,pbp_Pitcher,$B116)*EM_HR))</f>
        <v/>
      </c>
      <c r="J116" s="42" t="str">
        <f>IF($B116="","",SUMPRODUCT(COUNTIFS(pbp_PlayType,EM_Type,pbp_Pitcher,$B116)*EM_BB))</f>
        <v/>
      </c>
      <c r="K116" s="42" t="str">
        <f>IF($B116="","",SUMPRODUCT(COUNTIFS(pbp_PlayType,EM_Type,pbp_Pitcher,$B116)*EM_HBP))</f>
        <v/>
      </c>
      <c r="L116" s="42" t="str">
        <f>IF($B116="","",COUNTIFS(pbp_PlayType,"?*",pbp_Desc,"*struck out*",pbp_Pitcher,$B116))</f>
        <v/>
      </c>
      <c r="M116" s="42" t="str">
        <f>IF($B116="","",SUMIFS(pbp_Runs,pbp_Pitcher,$B116))</f>
        <v/>
      </c>
      <c r="N116" s="42" t="str">
        <f>IF($B116="","",SUMPRODUCT(COUNTIFS(pbp_PlayType,EM_Type,pbp_Pitcher,$B116)*EM_AB))</f>
        <v/>
      </c>
      <c r="O116" s="42" t="str">
        <f>IF($B116="","",SUMPRODUCT(COUNTIFS(pbp_PlayType,EM_Type,pbp_Pitcher,$B116)*EM_SF))</f>
        <v/>
      </c>
      <c r="P116" s="42" t="str">
        <f>IF($B116="","",SUMIFS(pbp_Pitches,pbp_Pitcher,$B116,pbp_PlayType,"?*"))</f>
        <v/>
      </c>
      <c r="Q116" s="60" t="str">
        <f t="shared" si="10"/>
        <v/>
      </c>
      <c r="R116" s="59" t="str">
        <f>IF($B116="","",IF(E116=0,"",1-SUMPRODUCT((pbp_Pitcher=$B116)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116)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16" s="59" t="str">
        <f>IF($B116="","",IF((SUMPRODUCT((pbp_Pitcher=$B116)*(LEN(pbp_PlayType)&gt;0)))=0,"",(SUMPRODUCT((pbp_Pitcher=$B116)*(LEN(pbp_PlayType)&gt;0)*ISNUMBER(MATCH(LEFT(TRIM(pbp_Seq)&amp;"/",FIND("/",TRIM(pbp_Seq)&amp;"/")-1),{"S","F","FT","FB","IN","MB","POS"},0))))/(SUMPRODUCT((pbp_Pitcher=$B116)*(LEN(pbp_PlayType)&gt;0)))))</f>
        <v/>
      </c>
      <c r="T116" s="59" t="str">
        <f t="shared" si="11"/>
        <v/>
      </c>
      <c r="U116" s="59" t="str">
        <f t="shared" si="12"/>
        <v/>
      </c>
      <c r="V116" s="59" t="str">
        <f t="shared" si="13"/>
        <v/>
      </c>
      <c r="W116" s="60" t="str">
        <f t="shared" si="14"/>
        <v/>
      </c>
      <c r="X116" s="60" t="str">
        <f t="shared" si="15"/>
        <v/>
      </c>
      <c r="Y116" s="58" t="str">
        <f t="shared" si="16"/>
        <v/>
      </c>
      <c r="Z116" s="58" t="str">
        <f t="shared" si="17"/>
        <v/>
      </c>
      <c r="AA116" s="62" t="str">
        <f>IF($B116="","",IF(OR(E116&lt;MinBF,X116=""),"",COUNTIFS($E$6:$E$255,"&gt;="&amp;MinBF,$X$6:$X$255,"&lt;"&amp;X116)+COUNTIFS($E$5:E115,"&gt;="&amp;MinBF,$X$5:X115,X116)+1))</f>
        <v/>
      </c>
    </row>
    <row r="117" spans="2:27" x14ac:dyDescent="0.2">
      <c r="B117" s="44" t="str">
        <f t="array" ref="B117">IFERROR(INDEX(pbp_Pitcher,MATCH(0,COUNTIF($B$5:B116,pbp_Pitcher)+(pbp_Pitcher=""),0)),"")</f>
        <v/>
      </c>
      <c r="C117" s="61" t="str">
        <f>IF($B117="","",IFERROR(INDEX(pbp_PitTeam,MATCH($B117,pbp_Pitcher,0)),""))</f>
        <v/>
      </c>
      <c r="D117" s="61" t="str">
        <f>IF($B117="","",IFERROR(INDEX(pbp_PitHand,MATCH($B117,pbp_Pitcher,0)),""))</f>
        <v/>
      </c>
      <c r="E117" s="42" t="str">
        <f>IF($B117="","",SUMPRODUCT(COUNTIFS(pbp_PlayType,EM_Type,pbp_Pitcher,$B117)*EM_PA))</f>
        <v/>
      </c>
      <c r="F117" s="42" t="str">
        <f>IF($B117="","",SUMIFS(pbp_Outs,pbp_Pitcher,$B117))</f>
        <v/>
      </c>
      <c r="G117" s="70" t="str">
        <f t="shared" si="9"/>
        <v/>
      </c>
      <c r="H117" s="42" t="str">
        <f>IF($B117="","",SUMPRODUCT(COUNTIFS(pbp_PlayType,EM_Type,pbp_Pitcher,$B117)*EM_H))</f>
        <v/>
      </c>
      <c r="I117" s="42" t="str">
        <f>IF($B117="","",SUMPRODUCT(COUNTIFS(pbp_PlayType,EM_Type,pbp_Pitcher,$B117)*EM_HR))</f>
        <v/>
      </c>
      <c r="J117" s="42" t="str">
        <f>IF($B117="","",SUMPRODUCT(COUNTIFS(pbp_PlayType,EM_Type,pbp_Pitcher,$B117)*EM_BB))</f>
        <v/>
      </c>
      <c r="K117" s="42" t="str">
        <f>IF($B117="","",SUMPRODUCT(COUNTIFS(pbp_PlayType,EM_Type,pbp_Pitcher,$B117)*EM_HBP))</f>
        <v/>
      </c>
      <c r="L117" s="42" t="str">
        <f>IF($B117="","",COUNTIFS(pbp_PlayType,"?*",pbp_Desc,"*struck out*",pbp_Pitcher,$B117))</f>
        <v/>
      </c>
      <c r="M117" s="42" t="str">
        <f>IF($B117="","",SUMIFS(pbp_Runs,pbp_Pitcher,$B117))</f>
        <v/>
      </c>
      <c r="N117" s="42" t="str">
        <f>IF($B117="","",SUMPRODUCT(COUNTIFS(pbp_PlayType,EM_Type,pbp_Pitcher,$B117)*EM_AB))</f>
        <v/>
      </c>
      <c r="O117" s="42" t="str">
        <f>IF($B117="","",SUMPRODUCT(COUNTIFS(pbp_PlayType,EM_Type,pbp_Pitcher,$B117)*EM_SF))</f>
        <v/>
      </c>
      <c r="P117" s="42" t="str">
        <f>IF($B117="","",SUMIFS(pbp_Pitches,pbp_Pitcher,$B117,pbp_PlayType,"?*"))</f>
        <v/>
      </c>
      <c r="Q117" s="60" t="str">
        <f t="shared" si="10"/>
        <v/>
      </c>
      <c r="R117" s="59" t="str">
        <f>IF($B117="","",IF(E117=0,"",1-SUMPRODUCT((pbp_Pitcher=$B117)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117)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17" s="59" t="str">
        <f>IF($B117="","",IF((SUMPRODUCT((pbp_Pitcher=$B117)*(LEN(pbp_PlayType)&gt;0)))=0,"",(SUMPRODUCT((pbp_Pitcher=$B117)*(LEN(pbp_PlayType)&gt;0)*ISNUMBER(MATCH(LEFT(TRIM(pbp_Seq)&amp;"/",FIND("/",TRIM(pbp_Seq)&amp;"/")-1),{"S","F","FT","FB","IN","MB","POS"},0))))/(SUMPRODUCT((pbp_Pitcher=$B117)*(LEN(pbp_PlayType)&gt;0)))))</f>
        <v/>
      </c>
      <c r="T117" s="59" t="str">
        <f t="shared" si="11"/>
        <v/>
      </c>
      <c r="U117" s="59" t="str">
        <f t="shared" si="12"/>
        <v/>
      </c>
      <c r="V117" s="59" t="str">
        <f t="shared" si="13"/>
        <v/>
      </c>
      <c r="W117" s="60" t="str">
        <f t="shared" si="14"/>
        <v/>
      </c>
      <c r="X117" s="60" t="str">
        <f t="shared" si="15"/>
        <v/>
      </c>
      <c r="Y117" s="58" t="str">
        <f t="shared" si="16"/>
        <v/>
      </c>
      <c r="Z117" s="58" t="str">
        <f t="shared" si="17"/>
        <v/>
      </c>
      <c r="AA117" s="62" t="str">
        <f>IF($B117="","",IF(OR(E117&lt;MinBF,X117=""),"",COUNTIFS($E$6:$E$255,"&gt;="&amp;MinBF,$X$6:$X$255,"&lt;"&amp;X117)+COUNTIFS($E$5:E116,"&gt;="&amp;MinBF,$X$5:X116,X117)+1))</f>
        <v/>
      </c>
    </row>
    <row r="118" spans="2:27" x14ac:dyDescent="0.2">
      <c r="B118" s="44" t="str">
        <f t="array" ref="B118">IFERROR(INDEX(pbp_Pitcher,MATCH(0,COUNTIF($B$5:B117,pbp_Pitcher)+(pbp_Pitcher=""),0)),"")</f>
        <v/>
      </c>
      <c r="C118" s="61" t="str">
        <f>IF($B118="","",IFERROR(INDEX(pbp_PitTeam,MATCH($B118,pbp_Pitcher,0)),""))</f>
        <v/>
      </c>
      <c r="D118" s="61" t="str">
        <f>IF($B118="","",IFERROR(INDEX(pbp_PitHand,MATCH($B118,pbp_Pitcher,0)),""))</f>
        <v/>
      </c>
      <c r="E118" s="42" t="str">
        <f>IF($B118="","",SUMPRODUCT(COUNTIFS(pbp_PlayType,EM_Type,pbp_Pitcher,$B118)*EM_PA))</f>
        <v/>
      </c>
      <c r="F118" s="42" t="str">
        <f>IF($B118="","",SUMIFS(pbp_Outs,pbp_Pitcher,$B118))</f>
        <v/>
      </c>
      <c r="G118" s="70" t="str">
        <f t="shared" si="9"/>
        <v/>
      </c>
      <c r="H118" s="42" t="str">
        <f>IF($B118="","",SUMPRODUCT(COUNTIFS(pbp_PlayType,EM_Type,pbp_Pitcher,$B118)*EM_H))</f>
        <v/>
      </c>
      <c r="I118" s="42" t="str">
        <f>IF($B118="","",SUMPRODUCT(COUNTIFS(pbp_PlayType,EM_Type,pbp_Pitcher,$B118)*EM_HR))</f>
        <v/>
      </c>
      <c r="J118" s="42" t="str">
        <f>IF($B118="","",SUMPRODUCT(COUNTIFS(pbp_PlayType,EM_Type,pbp_Pitcher,$B118)*EM_BB))</f>
        <v/>
      </c>
      <c r="K118" s="42" t="str">
        <f>IF($B118="","",SUMPRODUCT(COUNTIFS(pbp_PlayType,EM_Type,pbp_Pitcher,$B118)*EM_HBP))</f>
        <v/>
      </c>
      <c r="L118" s="42" t="str">
        <f>IF($B118="","",COUNTIFS(pbp_PlayType,"?*",pbp_Desc,"*struck out*",pbp_Pitcher,$B118))</f>
        <v/>
      </c>
      <c r="M118" s="42" t="str">
        <f>IF($B118="","",SUMIFS(pbp_Runs,pbp_Pitcher,$B118))</f>
        <v/>
      </c>
      <c r="N118" s="42" t="str">
        <f>IF($B118="","",SUMPRODUCT(COUNTIFS(pbp_PlayType,EM_Type,pbp_Pitcher,$B118)*EM_AB))</f>
        <v/>
      </c>
      <c r="O118" s="42" t="str">
        <f>IF($B118="","",SUMPRODUCT(COUNTIFS(pbp_PlayType,EM_Type,pbp_Pitcher,$B118)*EM_SF))</f>
        <v/>
      </c>
      <c r="P118" s="42" t="str">
        <f>IF($B118="","",SUMIFS(pbp_Pitches,pbp_Pitcher,$B118,pbp_PlayType,"?*"))</f>
        <v/>
      </c>
      <c r="Q118" s="60" t="str">
        <f t="shared" si="10"/>
        <v/>
      </c>
      <c r="R118" s="59" t="str">
        <f>IF($B118="","",IF(E118=0,"",1-SUMPRODUCT((pbp_Pitcher=$B118)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118)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18" s="59" t="str">
        <f>IF($B118="","",IF((SUMPRODUCT((pbp_Pitcher=$B118)*(LEN(pbp_PlayType)&gt;0)))=0,"",(SUMPRODUCT((pbp_Pitcher=$B118)*(LEN(pbp_PlayType)&gt;0)*ISNUMBER(MATCH(LEFT(TRIM(pbp_Seq)&amp;"/",FIND("/",TRIM(pbp_Seq)&amp;"/")-1),{"S","F","FT","FB","IN","MB","POS"},0))))/(SUMPRODUCT((pbp_Pitcher=$B118)*(LEN(pbp_PlayType)&gt;0)))))</f>
        <v/>
      </c>
      <c r="T118" s="59" t="str">
        <f t="shared" si="11"/>
        <v/>
      </c>
      <c r="U118" s="59" t="str">
        <f t="shared" si="12"/>
        <v/>
      </c>
      <c r="V118" s="59" t="str">
        <f t="shared" si="13"/>
        <v/>
      </c>
      <c r="W118" s="60" t="str">
        <f t="shared" si="14"/>
        <v/>
      </c>
      <c r="X118" s="60" t="str">
        <f t="shared" si="15"/>
        <v/>
      </c>
      <c r="Y118" s="58" t="str">
        <f t="shared" si="16"/>
        <v/>
      </c>
      <c r="Z118" s="58" t="str">
        <f t="shared" si="17"/>
        <v/>
      </c>
      <c r="AA118" s="62" t="str">
        <f>IF($B118="","",IF(OR(E118&lt;MinBF,X118=""),"",COUNTIFS($E$6:$E$255,"&gt;="&amp;MinBF,$X$6:$X$255,"&lt;"&amp;X118)+COUNTIFS($E$5:E117,"&gt;="&amp;MinBF,$X$5:X117,X118)+1))</f>
        <v/>
      </c>
    </row>
    <row r="119" spans="2:27" x14ac:dyDescent="0.2">
      <c r="B119" s="44" t="str">
        <f t="array" ref="B119">IFERROR(INDEX(pbp_Pitcher,MATCH(0,COUNTIF($B$5:B118,pbp_Pitcher)+(pbp_Pitcher=""),0)),"")</f>
        <v/>
      </c>
      <c r="C119" s="61" t="str">
        <f>IF($B119="","",IFERROR(INDEX(pbp_PitTeam,MATCH($B119,pbp_Pitcher,0)),""))</f>
        <v/>
      </c>
      <c r="D119" s="61" t="str">
        <f>IF($B119="","",IFERROR(INDEX(pbp_PitHand,MATCH($B119,pbp_Pitcher,0)),""))</f>
        <v/>
      </c>
      <c r="E119" s="42" t="str">
        <f>IF($B119="","",SUMPRODUCT(COUNTIFS(pbp_PlayType,EM_Type,pbp_Pitcher,$B119)*EM_PA))</f>
        <v/>
      </c>
      <c r="F119" s="42" t="str">
        <f>IF($B119="","",SUMIFS(pbp_Outs,pbp_Pitcher,$B119))</f>
        <v/>
      </c>
      <c r="G119" s="70" t="str">
        <f t="shared" si="9"/>
        <v/>
      </c>
      <c r="H119" s="42" t="str">
        <f>IF($B119="","",SUMPRODUCT(COUNTIFS(pbp_PlayType,EM_Type,pbp_Pitcher,$B119)*EM_H))</f>
        <v/>
      </c>
      <c r="I119" s="42" t="str">
        <f>IF($B119="","",SUMPRODUCT(COUNTIFS(pbp_PlayType,EM_Type,pbp_Pitcher,$B119)*EM_HR))</f>
        <v/>
      </c>
      <c r="J119" s="42" t="str">
        <f>IF($B119="","",SUMPRODUCT(COUNTIFS(pbp_PlayType,EM_Type,pbp_Pitcher,$B119)*EM_BB))</f>
        <v/>
      </c>
      <c r="K119" s="42" t="str">
        <f>IF($B119="","",SUMPRODUCT(COUNTIFS(pbp_PlayType,EM_Type,pbp_Pitcher,$B119)*EM_HBP))</f>
        <v/>
      </c>
      <c r="L119" s="42" t="str">
        <f>IF($B119="","",COUNTIFS(pbp_PlayType,"?*",pbp_Desc,"*struck out*",pbp_Pitcher,$B119))</f>
        <v/>
      </c>
      <c r="M119" s="42" t="str">
        <f>IF($B119="","",SUMIFS(pbp_Runs,pbp_Pitcher,$B119))</f>
        <v/>
      </c>
      <c r="N119" s="42" t="str">
        <f>IF($B119="","",SUMPRODUCT(COUNTIFS(pbp_PlayType,EM_Type,pbp_Pitcher,$B119)*EM_AB))</f>
        <v/>
      </c>
      <c r="O119" s="42" t="str">
        <f>IF($B119="","",SUMPRODUCT(COUNTIFS(pbp_PlayType,EM_Type,pbp_Pitcher,$B119)*EM_SF))</f>
        <v/>
      </c>
      <c r="P119" s="42" t="str">
        <f>IF($B119="","",SUMIFS(pbp_Pitches,pbp_Pitcher,$B119,pbp_PlayType,"?*"))</f>
        <v/>
      </c>
      <c r="Q119" s="60" t="str">
        <f t="shared" si="10"/>
        <v/>
      </c>
      <c r="R119" s="59" t="str">
        <f>IF($B119="","",IF(E119=0,"",1-SUMPRODUCT((pbp_Pitcher=$B119)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119)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19" s="59" t="str">
        <f>IF($B119="","",IF((SUMPRODUCT((pbp_Pitcher=$B119)*(LEN(pbp_PlayType)&gt;0)))=0,"",(SUMPRODUCT((pbp_Pitcher=$B119)*(LEN(pbp_PlayType)&gt;0)*ISNUMBER(MATCH(LEFT(TRIM(pbp_Seq)&amp;"/",FIND("/",TRIM(pbp_Seq)&amp;"/")-1),{"S","F","FT","FB","IN","MB","POS"},0))))/(SUMPRODUCT((pbp_Pitcher=$B119)*(LEN(pbp_PlayType)&gt;0)))))</f>
        <v/>
      </c>
      <c r="T119" s="59" t="str">
        <f t="shared" si="11"/>
        <v/>
      </c>
      <c r="U119" s="59" t="str">
        <f t="shared" si="12"/>
        <v/>
      </c>
      <c r="V119" s="59" t="str">
        <f t="shared" si="13"/>
        <v/>
      </c>
      <c r="W119" s="60" t="str">
        <f t="shared" si="14"/>
        <v/>
      </c>
      <c r="X119" s="60" t="str">
        <f t="shared" si="15"/>
        <v/>
      </c>
      <c r="Y119" s="58" t="str">
        <f t="shared" si="16"/>
        <v/>
      </c>
      <c r="Z119" s="58" t="str">
        <f t="shared" si="17"/>
        <v/>
      </c>
      <c r="AA119" s="62" t="str">
        <f>IF($B119="","",IF(OR(E119&lt;MinBF,X119=""),"",COUNTIFS($E$6:$E$255,"&gt;="&amp;MinBF,$X$6:$X$255,"&lt;"&amp;X119)+COUNTIFS($E$5:E118,"&gt;="&amp;MinBF,$X$5:X118,X119)+1))</f>
        <v/>
      </c>
    </row>
    <row r="120" spans="2:27" x14ac:dyDescent="0.2">
      <c r="B120" s="44" t="str">
        <f t="array" ref="B120">IFERROR(INDEX(pbp_Pitcher,MATCH(0,COUNTIF($B$5:B119,pbp_Pitcher)+(pbp_Pitcher=""),0)),"")</f>
        <v/>
      </c>
      <c r="C120" s="61" t="str">
        <f>IF($B120="","",IFERROR(INDEX(pbp_PitTeam,MATCH($B120,pbp_Pitcher,0)),""))</f>
        <v/>
      </c>
      <c r="D120" s="61" t="str">
        <f>IF($B120="","",IFERROR(INDEX(pbp_PitHand,MATCH($B120,pbp_Pitcher,0)),""))</f>
        <v/>
      </c>
      <c r="E120" s="42" t="str">
        <f>IF($B120="","",SUMPRODUCT(COUNTIFS(pbp_PlayType,EM_Type,pbp_Pitcher,$B120)*EM_PA))</f>
        <v/>
      </c>
      <c r="F120" s="42" t="str">
        <f>IF($B120="","",SUMIFS(pbp_Outs,pbp_Pitcher,$B120))</f>
        <v/>
      </c>
      <c r="G120" s="70" t="str">
        <f t="shared" si="9"/>
        <v/>
      </c>
      <c r="H120" s="42" t="str">
        <f>IF($B120="","",SUMPRODUCT(COUNTIFS(pbp_PlayType,EM_Type,pbp_Pitcher,$B120)*EM_H))</f>
        <v/>
      </c>
      <c r="I120" s="42" t="str">
        <f>IF($B120="","",SUMPRODUCT(COUNTIFS(pbp_PlayType,EM_Type,pbp_Pitcher,$B120)*EM_HR))</f>
        <v/>
      </c>
      <c r="J120" s="42" t="str">
        <f>IF($B120="","",SUMPRODUCT(COUNTIFS(pbp_PlayType,EM_Type,pbp_Pitcher,$B120)*EM_BB))</f>
        <v/>
      </c>
      <c r="K120" s="42" t="str">
        <f>IF($B120="","",SUMPRODUCT(COUNTIFS(pbp_PlayType,EM_Type,pbp_Pitcher,$B120)*EM_HBP))</f>
        <v/>
      </c>
      <c r="L120" s="42" t="str">
        <f>IF($B120="","",COUNTIFS(pbp_PlayType,"?*",pbp_Desc,"*struck out*",pbp_Pitcher,$B120))</f>
        <v/>
      </c>
      <c r="M120" s="42" t="str">
        <f>IF($B120="","",SUMIFS(pbp_Runs,pbp_Pitcher,$B120))</f>
        <v/>
      </c>
      <c r="N120" s="42" t="str">
        <f>IF($B120="","",SUMPRODUCT(COUNTIFS(pbp_PlayType,EM_Type,pbp_Pitcher,$B120)*EM_AB))</f>
        <v/>
      </c>
      <c r="O120" s="42" t="str">
        <f>IF($B120="","",SUMPRODUCT(COUNTIFS(pbp_PlayType,EM_Type,pbp_Pitcher,$B120)*EM_SF))</f>
        <v/>
      </c>
      <c r="P120" s="42" t="str">
        <f>IF($B120="","",SUMIFS(pbp_Pitches,pbp_Pitcher,$B120,pbp_PlayType,"?*"))</f>
        <v/>
      </c>
      <c r="Q120" s="60" t="str">
        <f t="shared" si="10"/>
        <v/>
      </c>
      <c r="R120" s="59" t="str">
        <f>IF($B120="","",IF(E120=0,"",1-SUMPRODUCT((pbp_Pitcher=$B120)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120)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20" s="59" t="str">
        <f>IF($B120="","",IF((SUMPRODUCT((pbp_Pitcher=$B120)*(LEN(pbp_PlayType)&gt;0)))=0,"",(SUMPRODUCT((pbp_Pitcher=$B120)*(LEN(pbp_PlayType)&gt;0)*ISNUMBER(MATCH(LEFT(TRIM(pbp_Seq)&amp;"/",FIND("/",TRIM(pbp_Seq)&amp;"/")-1),{"S","F","FT","FB","IN","MB","POS"},0))))/(SUMPRODUCT((pbp_Pitcher=$B120)*(LEN(pbp_PlayType)&gt;0)))))</f>
        <v/>
      </c>
      <c r="T120" s="59" t="str">
        <f t="shared" si="11"/>
        <v/>
      </c>
      <c r="U120" s="59" t="str">
        <f t="shared" si="12"/>
        <v/>
      </c>
      <c r="V120" s="59" t="str">
        <f t="shared" si="13"/>
        <v/>
      </c>
      <c r="W120" s="60" t="str">
        <f t="shared" si="14"/>
        <v/>
      </c>
      <c r="X120" s="60" t="str">
        <f t="shared" si="15"/>
        <v/>
      </c>
      <c r="Y120" s="58" t="str">
        <f t="shared" si="16"/>
        <v/>
      </c>
      <c r="Z120" s="58" t="str">
        <f t="shared" si="17"/>
        <v/>
      </c>
      <c r="AA120" s="62" t="str">
        <f>IF($B120="","",IF(OR(E120&lt;MinBF,X120=""),"",COUNTIFS($E$6:$E$255,"&gt;="&amp;MinBF,$X$6:$X$255,"&lt;"&amp;X120)+COUNTIFS($E$5:E119,"&gt;="&amp;MinBF,$X$5:X119,X120)+1))</f>
        <v/>
      </c>
    </row>
    <row r="121" spans="2:27" x14ac:dyDescent="0.2">
      <c r="B121" s="44" t="str">
        <f t="array" ref="B121">IFERROR(INDEX(pbp_Pitcher,MATCH(0,COUNTIF($B$5:B120,pbp_Pitcher)+(pbp_Pitcher=""),0)),"")</f>
        <v/>
      </c>
      <c r="C121" s="61" t="str">
        <f>IF($B121="","",IFERROR(INDEX(pbp_PitTeam,MATCH($B121,pbp_Pitcher,0)),""))</f>
        <v/>
      </c>
      <c r="D121" s="61" t="str">
        <f>IF($B121="","",IFERROR(INDEX(pbp_PitHand,MATCH($B121,pbp_Pitcher,0)),""))</f>
        <v/>
      </c>
      <c r="E121" s="42" t="str">
        <f>IF($B121="","",SUMPRODUCT(COUNTIFS(pbp_PlayType,EM_Type,pbp_Pitcher,$B121)*EM_PA))</f>
        <v/>
      </c>
      <c r="F121" s="42" t="str">
        <f>IF($B121="","",SUMIFS(pbp_Outs,pbp_Pitcher,$B121))</f>
        <v/>
      </c>
      <c r="G121" s="70" t="str">
        <f t="shared" si="9"/>
        <v/>
      </c>
      <c r="H121" s="42" t="str">
        <f>IF($B121="","",SUMPRODUCT(COUNTIFS(pbp_PlayType,EM_Type,pbp_Pitcher,$B121)*EM_H))</f>
        <v/>
      </c>
      <c r="I121" s="42" t="str">
        <f>IF($B121="","",SUMPRODUCT(COUNTIFS(pbp_PlayType,EM_Type,pbp_Pitcher,$B121)*EM_HR))</f>
        <v/>
      </c>
      <c r="J121" s="42" t="str">
        <f>IF($B121="","",SUMPRODUCT(COUNTIFS(pbp_PlayType,EM_Type,pbp_Pitcher,$B121)*EM_BB))</f>
        <v/>
      </c>
      <c r="K121" s="42" t="str">
        <f>IF($B121="","",SUMPRODUCT(COUNTIFS(pbp_PlayType,EM_Type,pbp_Pitcher,$B121)*EM_HBP))</f>
        <v/>
      </c>
      <c r="L121" s="42" t="str">
        <f>IF($B121="","",COUNTIFS(pbp_PlayType,"?*",pbp_Desc,"*struck out*",pbp_Pitcher,$B121))</f>
        <v/>
      </c>
      <c r="M121" s="42" t="str">
        <f>IF($B121="","",SUMIFS(pbp_Runs,pbp_Pitcher,$B121))</f>
        <v/>
      </c>
      <c r="N121" s="42" t="str">
        <f>IF($B121="","",SUMPRODUCT(COUNTIFS(pbp_PlayType,EM_Type,pbp_Pitcher,$B121)*EM_AB))</f>
        <v/>
      </c>
      <c r="O121" s="42" t="str">
        <f>IF($B121="","",SUMPRODUCT(COUNTIFS(pbp_PlayType,EM_Type,pbp_Pitcher,$B121)*EM_SF))</f>
        <v/>
      </c>
      <c r="P121" s="42" t="str">
        <f>IF($B121="","",SUMIFS(pbp_Pitches,pbp_Pitcher,$B121,pbp_PlayType,"?*"))</f>
        <v/>
      </c>
      <c r="Q121" s="60" t="str">
        <f t="shared" si="10"/>
        <v/>
      </c>
      <c r="R121" s="59" t="str">
        <f>IF($B121="","",IF(E121=0,"",1-SUMPRODUCT((pbp_Pitcher=$B121)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121)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21" s="59" t="str">
        <f>IF($B121="","",IF((SUMPRODUCT((pbp_Pitcher=$B121)*(LEN(pbp_PlayType)&gt;0)))=0,"",(SUMPRODUCT((pbp_Pitcher=$B121)*(LEN(pbp_PlayType)&gt;0)*ISNUMBER(MATCH(LEFT(TRIM(pbp_Seq)&amp;"/",FIND("/",TRIM(pbp_Seq)&amp;"/")-1),{"S","F","FT","FB","IN","MB","POS"},0))))/(SUMPRODUCT((pbp_Pitcher=$B121)*(LEN(pbp_PlayType)&gt;0)))))</f>
        <v/>
      </c>
      <c r="T121" s="59" t="str">
        <f t="shared" si="11"/>
        <v/>
      </c>
      <c r="U121" s="59" t="str">
        <f t="shared" si="12"/>
        <v/>
      </c>
      <c r="V121" s="59" t="str">
        <f t="shared" si="13"/>
        <v/>
      </c>
      <c r="W121" s="60" t="str">
        <f t="shared" si="14"/>
        <v/>
      </c>
      <c r="X121" s="60" t="str">
        <f t="shared" si="15"/>
        <v/>
      </c>
      <c r="Y121" s="58" t="str">
        <f t="shared" si="16"/>
        <v/>
      </c>
      <c r="Z121" s="58" t="str">
        <f t="shared" si="17"/>
        <v/>
      </c>
      <c r="AA121" s="62" t="str">
        <f>IF($B121="","",IF(OR(E121&lt;MinBF,X121=""),"",COUNTIFS($E$6:$E$255,"&gt;="&amp;MinBF,$X$6:$X$255,"&lt;"&amp;X121)+COUNTIFS($E$5:E120,"&gt;="&amp;MinBF,$X$5:X120,X121)+1))</f>
        <v/>
      </c>
    </row>
    <row r="122" spans="2:27" x14ac:dyDescent="0.2">
      <c r="B122" s="44" t="str">
        <f t="array" ref="B122">IFERROR(INDEX(pbp_Pitcher,MATCH(0,COUNTIF($B$5:B121,pbp_Pitcher)+(pbp_Pitcher=""),0)),"")</f>
        <v/>
      </c>
      <c r="C122" s="61" t="str">
        <f>IF($B122="","",IFERROR(INDEX(pbp_PitTeam,MATCH($B122,pbp_Pitcher,0)),""))</f>
        <v/>
      </c>
      <c r="D122" s="61" t="str">
        <f>IF($B122="","",IFERROR(INDEX(pbp_PitHand,MATCH($B122,pbp_Pitcher,0)),""))</f>
        <v/>
      </c>
      <c r="E122" s="42" t="str">
        <f>IF($B122="","",SUMPRODUCT(COUNTIFS(pbp_PlayType,EM_Type,pbp_Pitcher,$B122)*EM_PA))</f>
        <v/>
      </c>
      <c r="F122" s="42" t="str">
        <f>IF($B122="","",SUMIFS(pbp_Outs,pbp_Pitcher,$B122))</f>
        <v/>
      </c>
      <c r="G122" s="70" t="str">
        <f t="shared" si="9"/>
        <v/>
      </c>
      <c r="H122" s="42" t="str">
        <f>IF($B122="","",SUMPRODUCT(COUNTIFS(pbp_PlayType,EM_Type,pbp_Pitcher,$B122)*EM_H))</f>
        <v/>
      </c>
      <c r="I122" s="42" t="str">
        <f>IF($B122="","",SUMPRODUCT(COUNTIFS(pbp_PlayType,EM_Type,pbp_Pitcher,$B122)*EM_HR))</f>
        <v/>
      </c>
      <c r="J122" s="42" t="str">
        <f>IF($B122="","",SUMPRODUCT(COUNTIFS(pbp_PlayType,EM_Type,pbp_Pitcher,$B122)*EM_BB))</f>
        <v/>
      </c>
      <c r="K122" s="42" t="str">
        <f>IF($B122="","",SUMPRODUCT(COUNTIFS(pbp_PlayType,EM_Type,pbp_Pitcher,$B122)*EM_HBP))</f>
        <v/>
      </c>
      <c r="L122" s="42" t="str">
        <f>IF($B122="","",COUNTIFS(pbp_PlayType,"?*",pbp_Desc,"*struck out*",pbp_Pitcher,$B122))</f>
        <v/>
      </c>
      <c r="M122" s="42" t="str">
        <f>IF($B122="","",SUMIFS(pbp_Runs,pbp_Pitcher,$B122))</f>
        <v/>
      </c>
      <c r="N122" s="42" t="str">
        <f>IF($B122="","",SUMPRODUCT(COUNTIFS(pbp_PlayType,EM_Type,pbp_Pitcher,$B122)*EM_AB))</f>
        <v/>
      </c>
      <c r="O122" s="42" t="str">
        <f>IF($B122="","",SUMPRODUCT(COUNTIFS(pbp_PlayType,EM_Type,pbp_Pitcher,$B122)*EM_SF))</f>
        <v/>
      </c>
      <c r="P122" s="42" t="str">
        <f>IF($B122="","",SUMIFS(pbp_Pitches,pbp_Pitcher,$B122,pbp_PlayType,"?*"))</f>
        <v/>
      </c>
      <c r="Q122" s="60" t="str">
        <f t="shared" si="10"/>
        <v/>
      </c>
      <c r="R122" s="59" t="str">
        <f>IF($B122="","",IF(E122=0,"",1-SUMPRODUCT((pbp_Pitcher=$B122)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122)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22" s="59" t="str">
        <f>IF($B122="","",IF((SUMPRODUCT((pbp_Pitcher=$B122)*(LEN(pbp_PlayType)&gt;0)))=0,"",(SUMPRODUCT((pbp_Pitcher=$B122)*(LEN(pbp_PlayType)&gt;0)*ISNUMBER(MATCH(LEFT(TRIM(pbp_Seq)&amp;"/",FIND("/",TRIM(pbp_Seq)&amp;"/")-1),{"S","F","FT","FB","IN","MB","POS"},0))))/(SUMPRODUCT((pbp_Pitcher=$B122)*(LEN(pbp_PlayType)&gt;0)))))</f>
        <v/>
      </c>
      <c r="T122" s="59" t="str">
        <f t="shared" si="11"/>
        <v/>
      </c>
      <c r="U122" s="59" t="str">
        <f t="shared" si="12"/>
        <v/>
      </c>
      <c r="V122" s="59" t="str">
        <f t="shared" si="13"/>
        <v/>
      </c>
      <c r="W122" s="60" t="str">
        <f t="shared" si="14"/>
        <v/>
      </c>
      <c r="X122" s="60" t="str">
        <f t="shared" si="15"/>
        <v/>
      </c>
      <c r="Y122" s="58" t="str">
        <f t="shared" si="16"/>
        <v/>
      </c>
      <c r="Z122" s="58" t="str">
        <f t="shared" si="17"/>
        <v/>
      </c>
      <c r="AA122" s="62" t="str">
        <f>IF($B122="","",IF(OR(E122&lt;MinBF,X122=""),"",COUNTIFS($E$6:$E$255,"&gt;="&amp;MinBF,$X$6:$X$255,"&lt;"&amp;X122)+COUNTIFS($E$5:E121,"&gt;="&amp;MinBF,$X$5:X121,X122)+1))</f>
        <v/>
      </c>
    </row>
    <row r="123" spans="2:27" x14ac:dyDescent="0.2">
      <c r="B123" s="44" t="str">
        <f t="array" ref="B123">IFERROR(INDEX(pbp_Pitcher,MATCH(0,COUNTIF($B$5:B122,pbp_Pitcher)+(pbp_Pitcher=""),0)),"")</f>
        <v/>
      </c>
      <c r="C123" s="61" t="str">
        <f>IF($B123="","",IFERROR(INDEX(pbp_PitTeam,MATCH($B123,pbp_Pitcher,0)),""))</f>
        <v/>
      </c>
      <c r="D123" s="61" t="str">
        <f>IF($B123="","",IFERROR(INDEX(pbp_PitHand,MATCH($B123,pbp_Pitcher,0)),""))</f>
        <v/>
      </c>
      <c r="E123" s="42" t="str">
        <f>IF($B123="","",SUMPRODUCT(COUNTIFS(pbp_PlayType,EM_Type,pbp_Pitcher,$B123)*EM_PA))</f>
        <v/>
      </c>
      <c r="F123" s="42" t="str">
        <f>IF($B123="","",SUMIFS(pbp_Outs,pbp_Pitcher,$B123))</f>
        <v/>
      </c>
      <c r="G123" s="70" t="str">
        <f t="shared" si="9"/>
        <v/>
      </c>
      <c r="H123" s="42" t="str">
        <f>IF($B123="","",SUMPRODUCT(COUNTIFS(pbp_PlayType,EM_Type,pbp_Pitcher,$B123)*EM_H))</f>
        <v/>
      </c>
      <c r="I123" s="42" t="str">
        <f>IF($B123="","",SUMPRODUCT(COUNTIFS(pbp_PlayType,EM_Type,pbp_Pitcher,$B123)*EM_HR))</f>
        <v/>
      </c>
      <c r="J123" s="42" t="str">
        <f>IF($B123="","",SUMPRODUCT(COUNTIFS(pbp_PlayType,EM_Type,pbp_Pitcher,$B123)*EM_BB))</f>
        <v/>
      </c>
      <c r="K123" s="42" t="str">
        <f>IF($B123="","",SUMPRODUCT(COUNTIFS(pbp_PlayType,EM_Type,pbp_Pitcher,$B123)*EM_HBP))</f>
        <v/>
      </c>
      <c r="L123" s="42" t="str">
        <f>IF($B123="","",COUNTIFS(pbp_PlayType,"?*",pbp_Desc,"*struck out*",pbp_Pitcher,$B123))</f>
        <v/>
      </c>
      <c r="M123" s="42" t="str">
        <f>IF($B123="","",SUMIFS(pbp_Runs,pbp_Pitcher,$B123))</f>
        <v/>
      </c>
      <c r="N123" s="42" t="str">
        <f>IF($B123="","",SUMPRODUCT(COUNTIFS(pbp_PlayType,EM_Type,pbp_Pitcher,$B123)*EM_AB))</f>
        <v/>
      </c>
      <c r="O123" s="42" t="str">
        <f>IF($B123="","",SUMPRODUCT(COUNTIFS(pbp_PlayType,EM_Type,pbp_Pitcher,$B123)*EM_SF))</f>
        <v/>
      </c>
      <c r="P123" s="42" t="str">
        <f>IF($B123="","",SUMIFS(pbp_Pitches,pbp_Pitcher,$B123,pbp_PlayType,"?*"))</f>
        <v/>
      </c>
      <c r="Q123" s="60" t="str">
        <f t="shared" si="10"/>
        <v/>
      </c>
      <c r="R123" s="59" t="str">
        <f>IF($B123="","",IF(E123=0,"",1-SUMPRODUCT((pbp_Pitcher=$B123)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123)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23" s="59" t="str">
        <f>IF($B123="","",IF((SUMPRODUCT((pbp_Pitcher=$B123)*(LEN(pbp_PlayType)&gt;0)))=0,"",(SUMPRODUCT((pbp_Pitcher=$B123)*(LEN(pbp_PlayType)&gt;0)*ISNUMBER(MATCH(LEFT(TRIM(pbp_Seq)&amp;"/",FIND("/",TRIM(pbp_Seq)&amp;"/")-1),{"S","F","FT","FB","IN","MB","POS"},0))))/(SUMPRODUCT((pbp_Pitcher=$B123)*(LEN(pbp_PlayType)&gt;0)))))</f>
        <v/>
      </c>
      <c r="T123" s="59" t="str">
        <f t="shared" si="11"/>
        <v/>
      </c>
      <c r="U123" s="59" t="str">
        <f t="shared" si="12"/>
        <v/>
      </c>
      <c r="V123" s="59" t="str">
        <f t="shared" si="13"/>
        <v/>
      </c>
      <c r="W123" s="60" t="str">
        <f t="shared" si="14"/>
        <v/>
      </c>
      <c r="X123" s="60" t="str">
        <f t="shared" si="15"/>
        <v/>
      </c>
      <c r="Y123" s="58" t="str">
        <f t="shared" si="16"/>
        <v/>
      </c>
      <c r="Z123" s="58" t="str">
        <f t="shared" si="17"/>
        <v/>
      </c>
      <c r="AA123" s="62" t="str">
        <f>IF($B123="","",IF(OR(E123&lt;MinBF,X123=""),"",COUNTIFS($E$6:$E$255,"&gt;="&amp;MinBF,$X$6:$X$255,"&lt;"&amp;X123)+COUNTIFS($E$5:E122,"&gt;="&amp;MinBF,$X$5:X122,X123)+1))</f>
        <v/>
      </c>
    </row>
    <row r="124" spans="2:27" x14ac:dyDescent="0.2">
      <c r="B124" s="44" t="str">
        <f t="array" ref="B124">IFERROR(INDEX(pbp_Pitcher,MATCH(0,COUNTIF($B$5:B123,pbp_Pitcher)+(pbp_Pitcher=""),0)),"")</f>
        <v/>
      </c>
      <c r="C124" s="61" t="str">
        <f>IF($B124="","",IFERROR(INDEX(pbp_PitTeam,MATCH($B124,pbp_Pitcher,0)),""))</f>
        <v/>
      </c>
      <c r="D124" s="61" t="str">
        <f>IF($B124="","",IFERROR(INDEX(pbp_PitHand,MATCH($B124,pbp_Pitcher,0)),""))</f>
        <v/>
      </c>
      <c r="E124" s="42" t="str">
        <f>IF($B124="","",SUMPRODUCT(COUNTIFS(pbp_PlayType,EM_Type,pbp_Pitcher,$B124)*EM_PA))</f>
        <v/>
      </c>
      <c r="F124" s="42" t="str">
        <f>IF($B124="","",SUMIFS(pbp_Outs,pbp_Pitcher,$B124))</f>
        <v/>
      </c>
      <c r="G124" s="70" t="str">
        <f t="shared" si="9"/>
        <v/>
      </c>
      <c r="H124" s="42" t="str">
        <f>IF($B124="","",SUMPRODUCT(COUNTIFS(pbp_PlayType,EM_Type,pbp_Pitcher,$B124)*EM_H))</f>
        <v/>
      </c>
      <c r="I124" s="42" t="str">
        <f>IF($B124="","",SUMPRODUCT(COUNTIFS(pbp_PlayType,EM_Type,pbp_Pitcher,$B124)*EM_HR))</f>
        <v/>
      </c>
      <c r="J124" s="42" t="str">
        <f>IF($B124="","",SUMPRODUCT(COUNTIFS(pbp_PlayType,EM_Type,pbp_Pitcher,$B124)*EM_BB))</f>
        <v/>
      </c>
      <c r="K124" s="42" t="str">
        <f>IF($B124="","",SUMPRODUCT(COUNTIFS(pbp_PlayType,EM_Type,pbp_Pitcher,$B124)*EM_HBP))</f>
        <v/>
      </c>
      <c r="L124" s="42" t="str">
        <f>IF($B124="","",COUNTIFS(pbp_PlayType,"?*",pbp_Desc,"*struck out*",pbp_Pitcher,$B124))</f>
        <v/>
      </c>
      <c r="M124" s="42" t="str">
        <f>IF($B124="","",SUMIFS(pbp_Runs,pbp_Pitcher,$B124))</f>
        <v/>
      </c>
      <c r="N124" s="42" t="str">
        <f>IF($B124="","",SUMPRODUCT(COUNTIFS(pbp_PlayType,EM_Type,pbp_Pitcher,$B124)*EM_AB))</f>
        <v/>
      </c>
      <c r="O124" s="42" t="str">
        <f>IF($B124="","",SUMPRODUCT(COUNTIFS(pbp_PlayType,EM_Type,pbp_Pitcher,$B124)*EM_SF))</f>
        <v/>
      </c>
      <c r="P124" s="42" t="str">
        <f>IF($B124="","",SUMIFS(pbp_Pitches,pbp_Pitcher,$B124,pbp_PlayType,"?*"))</f>
        <v/>
      </c>
      <c r="Q124" s="60" t="str">
        <f t="shared" si="10"/>
        <v/>
      </c>
      <c r="R124" s="59" t="str">
        <f>IF($B124="","",IF(E124=0,"",1-SUMPRODUCT((pbp_Pitcher=$B124)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124)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24" s="59" t="str">
        <f>IF($B124="","",IF((SUMPRODUCT((pbp_Pitcher=$B124)*(LEN(pbp_PlayType)&gt;0)))=0,"",(SUMPRODUCT((pbp_Pitcher=$B124)*(LEN(pbp_PlayType)&gt;0)*ISNUMBER(MATCH(LEFT(TRIM(pbp_Seq)&amp;"/",FIND("/",TRIM(pbp_Seq)&amp;"/")-1),{"S","F","FT","FB","IN","MB","POS"},0))))/(SUMPRODUCT((pbp_Pitcher=$B124)*(LEN(pbp_PlayType)&gt;0)))))</f>
        <v/>
      </c>
      <c r="T124" s="59" t="str">
        <f t="shared" si="11"/>
        <v/>
      </c>
      <c r="U124" s="59" t="str">
        <f t="shared" si="12"/>
        <v/>
      </c>
      <c r="V124" s="59" t="str">
        <f t="shared" si="13"/>
        <v/>
      </c>
      <c r="W124" s="60" t="str">
        <f t="shared" si="14"/>
        <v/>
      </c>
      <c r="X124" s="60" t="str">
        <f t="shared" si="15"/>
        <v/>
      </c>
      <c r="Y124" s="58" t="str">
        <f t="shared" si="16"/>
        <v/>
      </c>
      <c r="Z124" s="58" t="str">
        <f t="shared" si="17"/>
        <v/>
      </c>
      <c r="AA124" s="62" t="str">
        <f>IF($B124="","",IF(OR(E124&lt;MinBF,X124=""),"",COUNTIFS($E$6:$E$255,"&gt;="&amp;MinBF,$X$6:$X$255,"&lt;"&amp;X124)+COUNTIFS($E$5:E123,"&gt;="&amp;MinBF,$X$5:X123,X124)+1))</f>
        <v/>
      </c>
    </row>
    <row r="125" spans="2:27" x14ac:dyDescent="0.2">
      <c r="B125" s="44" t="str">
        <f t="array" ref="B125">IFERROR(INDEX(pbp_Pitcher,MATCH(0,COUNTIF($B$5:B124,pbp_Pitcher)+(pbp_Pitcher=""),0)),"")</f>
        <v/>
      </c>
      <c r="C125" s="61" t="str">
        <f>IF($B125="","",IFERROR(INDEX(pbp_PitTeam,MATCH($B125,pbp_Pitcher,0)),""))</f>
        <v/>
      </c>
      <c r="D125" s="61" t="str">
        <f>IF($B125="","",IFERROR(INDEX(pbp_PitHand,MATCH($B125,pbp_Pitcher,0)),""))</f>
        <v/>
      </c>
      <c r="E125" s="42" t="str">
        <f>IF($B125="","",SUMPRODUCT(COUNTIFS(pbp_PlayType,EM_Type,pbp_Pitcher,$B125)*EM_PA))</f>
        <v/>
      </c>
      <c r="F125" s="42" t="str">
        <f>IF($B125="","",SUMIFS(pbp_Outs,pbp_Pitcher,$B125))</f>
        <v/>
      </c>
      <c r="G125" s="70" t="str">
        <f t="shared" si="9"/>
        <v/>
      </c>
      <c r="H125" s="42" t="str">
        <f>IF($B125="","",SUMPRODUCT(COUNTIFS(pbp_PlayType,EM_Type,pbp_Pitcher,$B125)*EM_H))</f>
        <v/>
      </c>
      <c r="I125" s="42" t="str">
        <f>IF($B125="","",SUMPRODUCT(COUNTIFS(pbp_PlayType,EM_Type,pbp_Pitcher,$B125)*EM_HR))</f>
        <v/>
      </c>
      <c r="J125" s="42" t="str">
        <f>IF($B125="","",SUMPRODUCT(COUNTIFS(pbp_PlayType,EM_Type,pbp_Pitcher,$B125)*EM_BB))</f>
        <v/>
      </c>
      <c r="K125" s="42" t="str">
        <f>IF($B125="","",SUMPRODUCT(COUNTIFS(pbp_PlayType,EM_Type,pbp_Pitcher,$B125)*EM_HBP))</f>
        <v/>
      </c>
      <c r="L125" s="42" t="str">
        <f>IF($B125="","",COUNTIFS(pbp_PlayType,"?*",pbp_Desc,"*struck out*",pbp_Pitcher,$B125))</f>
        <v/>
      </c>
      <c r="M125" s="42" t="str">
        <f>IF($B125="","",SUMIFS(pbp_Runs,pbp_Pitcher,$B125))</f>
        <v/>
      </c>
      <c r="N125" s="42" t="str">
        <f>IF($B125="","",SUMPRODUCT(COUNTIFS(pbp_PlayType,EM_Type,pbp_Pitcher,$B125)*EM_AB))</f>
        <v/>
      </c>
      <c r="O125" s="42" t="str">
        <f>IF($B125="","",SUMPRODUCT(COUNTIFS(pbp_PlayType,EM_Type,pbp_Pitcher,$B125)*EM_SF))</f>
        <v/>
      </c>
      <c r="P125" s="42" t="str">
        <f>IF($B125="","",SUMIFS(pbp_Pitches,pbp_Pitcher,$B125,pbp_PlayType,"?*"))</f>
        <v/>
      </c>
      <c r="Q125" s="60" t="str">
        <f t="shared" si="10"/>
        <v/>
      </c>
      <c r="R125" s="59" t="str">
        <f>IF($B125="","",IF(E125=0,"",1-SUMPRODUCT((pbp_Pitcher=$B125)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125)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25" s="59" t="str">
        <f>IF($B125="","",IF((SUMPRODUCT((pbp_Pitcher=$B125)*(LEN(pbp_PlayType)&gt;0)))=0,"",(SUMPRODUCT((pbp_Pitcher=$B125)*(LEN(pbp_PlayType)&gt;0)*ISNUMBER(MATCH(LEFT(TRIM(pbp_Seq)&amp;"/",FIND("/",TRIM(pbp_Seq)&amp;"/")-1),{"S","F","FT","FB","IN","MB","POS"},0))))/(SUMPRODUCT((pbp_Pitcher=$B125)*(LEN(pbp_PlayType)&gt;0)))))</f>
        <v/>
      </c>
      <c r="T125" s="59" t="str">
        <f t="shared" si="11"/>
        <v/>
      </c>
      <c r="U125" s="59" t="str">
        <f t="shared" si="12"/>
        <v/>
      </c>
      <c r="V125" s="59" t="str">
        <f t="shared" si="13"/>
        <v/>
      </c>
      <c r="W125" s="60" t="str">
        <f t="shared" si="14"/>
        <v/>
      </c>
      <c r="X125" s="60" t="str">
        <f t="shared" si="15"/>
        <v/>
      </c>
      <c r="Y125" s="58" t="str">
        <f t="shared" si="16"/>
        <v/>
      </c>
      <c r="Z125" s="58" t="str">
        <f t="shared" si="17"/>
        <v/>
      </c>
      <c r="AA125" s="62" t="str">
        <f>IF($B125="","",IF(OR(E125&lt;MinBF,X125=""),"",COUNTIFS($E$6:$E$255,"&gt;="&amp;MinBF,$X$6:$X$255,"&lt;"&amp;X125)+COUNTIFS($E$5:E124,"&gt;="&amp;MinBF,$X$5:X124,X125)+1))</f>
        <v/>
      </c>
    </row>
    <row r="126" spans="2:27" x14ac:dyDescent="0.2">
      <c r="B126" s="44" t="str">
        <f t="array" ref="B126">IFERROR(INDEX(pbp_Pitcher,MATCH(0,COUNTIF($B$5:B125,pbp_Pitcher)+(pbp_Pitcher=""),0)),"")</f>
        <v/>
      </c>
      <c r="C126" s="61" t="str">
        <f>IF($B126="","",IFERROR(INDEX(pbp_PitTeam,MATCH($B126,pbp_Pitcher,0)),""))</f>
        <v/>
      </c>
      <c r="D126" s="61" t="str">
        <f>IF($B126="","",IFERROR(INDEX(pbp_PitHand,MATCH($B126,pbp_Pitcher,0)),""))</f>
        <v/>
      </c>
      <c r="E126" s="42" t="str">
        <f>IF($B126="","",SUMPRODUCT(COUNTIFS(pbp_PlayType,EM_Type,pbp_Pitcher,$B126)*EM_PA))</f>
        <v/>
      </c>
      <c r="F126" s="42" t="str">
        <f>IF($B126="","",SUMIFS(pbp_Outs,pbp_Pitcher,$B126))</f>
        <v/>
      </c>
      <c r="G126" s="70" t="str">
        <f t="shared" si="9"/>
        <v/>
      </c>
      <c r="H126" s="42" t="str">
        <f>IF($B126="","",SUMPRODUCT(COUNTIFS(pbp_PlayType,EM_Type,pbp_Pitcher,$B126)*EM_H))</f>
        <v/>
      </c>
      <c r="I126" s="42" t="str">
        <f>IF($B126="","",SUMPRODUCT(COUNTIFS(pbp_PlayType,EM_Type,pbp_Pitcher,$B126)*EM_HR))</f>
        <v/>
      </c>
      <c r="J126" s="42" t="str">
        <f>IF($B126="","",SUMPRODUCT(COUNTIFS(pbp_PlayType,EM_Type,pbp_Pitcher,$B126)*EM_BB))</f>
        <v/>
      </c>
      <c r="K126" s="42" t="str">
        <f>IF($B126="","",SUMPRODUCT(COUNTIFS(pbp_PlayType,EM_Type,pbp_Pitcher,$B126)*EM_HBP))</f>
        <v/>
      </c>
      <c r="L126" s="42" t="str">
        <f>IF($B126="","",COUNTIFS(pbp_PlayType,"?*",pbp_Desc,"*struck out*",pbp_Pitcher,$B126))</f>
        <v/>
      </c>
      <c r="M126" s="42" t="str">
        <f>IF($B126="","",SUMIFS(pbp_Runs,pbp_Pitcher,$B126))</f>
        <v/>
      </c>
      <c r="N126" s="42" t="str">
        <f>IF($B126="","",SUMPRODUCT(COUNTIFS(pbp_PlayType,EM_Type,pbp_Pitcher,$B126)*EM_AB))</f>
        <v/>
      </c>
      <c r="O126" s="42" t="str">
        <f>IF($B126="","",SUMPRODUCT(COUNTIFS(pbp_PlayType,EM_Type,pbp_Pitcher,$B126)*EM_SF))</f>
        <v/>
      </c>
      <c r="P126" s="42" t="str">
        <f>IF($B126="","",SUMIFS(pbp_Pitches,pbp_Pitcher,$B126,pbp_PlayType,"?*"))</f>
        <v/>
      </c>
      <c r="Q126" s="60" t="str">
        <f t="shared" si="10"/>
        <v/>
      </c>
      <c r="R126" s="59" t="str">
        <f>IF($B126="","",IF(E126=0,"",1-SUMPRODUCT((pbp_Pitcher=$B126)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126)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26" s="59" t="str">
        <f>IF($B126="","",IF((SUMPRODUCT((pbp_Pitcher=$B126)*(LEN(pbp_PlayType)&gt;0)))=0,"",(SUMPRODUCT((pbp_Pitcher=$B126)*(LEN(pbp_PlayType)&gt;0)*ISNUMBER(MATCH(LEFT(TRIM(pbp_Seq)&amp;"/",FIND("/",TRIM(pbp_Seq)&amp;"/")-1),{"S","F","FT","FB","IN","MB","POS"},0))))/(SUMPRODUCT((pbp_Pitcher=$B126)*(LEN(pbp_PlayType)&gt;0)))))</f>
        <v/>
      </c>
      <c r="T126" s="59" t="str">
        <f t="shared" si="11"/>
        <v/>
      </c>
      <c r="U126" s="59" t="str">
        <f t="shared" si="12"/>
        <v/>
      </c>
      <c r="V126" s="59" t="str">
        <f t="shared" si="13"/>
        <v/>
      </c>
      <c r="W126" s="60" t="str">
        <f t="shared" si="14"/>
        <v/>
      </c>
      <c r="X126" s="60" t="str">
        <f t="shared" si="15"/>
        <v/>
      </c>
      <c r="Y126" s="58" t="str">
        <f t="shared" si="16"/>
        <v/>
      </c>
      <c r="Z126" s="58" t="str">
        <f t="shared" si="17"/>
        <v/>
      </c>
      <c r="AA126" s="62" t="str">
        <f>IF($B126="","",IF(OR(E126&lt;MinBF,X126=""),"",COUNTIFS($E$6:$E$255,"&gt;="&amp;MinBF,$X$6:$X$255,"&lt;"&amp;X126)+COUNTIFS($E$5:E125,"&gt;="&amp;MinBF,$X$5:X125,X126)+1))</f>
        <v/>
      </c>
    </row>
    <row r="127" spans="2:27" x14ac:dyDescent="0.2">
      <c r="B127" s="44" t="str">
        <f t="array" ref="B127">IFERROR(INDEX(pbp_Pitcher,MATCH(0,COUNTIF($B$5:B126,pbp_Pitcher)+(pbp_Pitcher=""),0)),"")</f>
        <v/>
      </c>
      <c r="C127" s="61" t="str">
        <f>IF($B127="","",IFERROR(INDEX(pbp_PitTeam,MATCH($B127,pbp_Pitcher,0)),""))</f>
        <v/>
      </c>
      <c r="D127" s="61" t="str">
        <f>IF($B127="","",IFERROR(INDEX(pbp_PitHand,MATCH($B127,pbp_Pitcher,0)),""))</f>
        <v/>
      </c>
      <c r="E127" s="42" t="str">
        <f>IF($B127="","",SUMPRODUCT(COUNTIFS(pbp_PlayType,EM_Type,pbp_Pitcher,$B127)*EM_PA))</f>
        <v/>
      </c>
      <c r="F127" s="42" t="str">
        <f>IF($B127="","",SUMIFS(pbp_Outs,pbp_Pitcher,$B127))</f>
        <v/>
      </c>
      <c r="G127" s="70" t="str">
        <f t="shared" si="9"/>
        <v/>
      </c>
      <c r="H127" s="42" t="str">
        <f>IF($B127="","",SUMPRODUCT(COUNTIFS(pbp_PlayType,EM_Type,pbp_Pitcher,$B127)*EM_H))</f>
        <v/>
      </c>
      <c r="I127" s="42" t="str">
        <f>IF($B127="","",SUMPRODUCT(COUNTIFS(pbp_PlayType,EM_Type,pbp_Pitcher,$B127)*EM_HR))</f>
        <v/>
      </c>
      <c r="J127" s="42" t="str">
        <f>IF($B127="","",SUMPRODUCT(COUNTIFS(pbp_PlayType,EM_Type,pbp_Pitcher,$B127)*EM_BB))</f>
        <v/>
      </c>
      <c r="K127" s="42" t="str">
        <f>IF($B127="","",SUMPRODUCT(COUNTIFS(pbp_PlayType,EM_Type,pbp_Pitcher,$B127)*EM_HBP))</f>
        <v/>
      </c>
      <c r="L127" s="42" t="str">
        <f>IF($B127="","",COUNTIFS(pbp_PlayType,"?*",pbp_Desc,"*struck out*",pbp_Pitcher,$B127))</f>
        <v/>
      </c>
      <c r="M127" s="42" t="str">
        <f>IF($B127="","",SUMIFS(pbp_Runs,pbp_Pitcher,$B127))</f>
        <v/>
      </c>
      <c r="N127" s="42" t="str">
        <f>IF($B127="","",SUMPRODUCT(COUNTIFS(pbp_PlayType,EM_Type,pbp_Pitcher,$B127)*EM_AB))</f>
        <v/>
      </c>
      <c r="O127" s="42" t="str">
        <f>IF($B127="","",SUMPRODUCT(COUNTIFS(pbp_PlayType,EM_Type,pbp_Pitcher,$B127)*EM_SF))</f>
        <v/>
      </c>
      <c r="P127" s="42" t="str">
        <f>IF($B127="","",SUMIFS(pbp_Pitches,pbp_Pitcher,$B127,pbp_PlayType,"?*"))</f>
        <v/>
      </c>
      <c r="Q127" s="60" t="str">
        <f t="shared" si="10"/>
        <v/>
      </c>
      <c r="R127" s="59" t="str">
        <f>IF($B127="","",IF(E127=0,"",1-SUMPRODUCT((pbp_Pitcher=$B127)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127)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27" s="59" t="str">
        <f>IF($B127="","",IF((SUMPRODUCT((pbp_Pitcher=$B127)*(LEN(pbp_PlayType)&gt;0)))=0,"",(SUMPRODUCT((pbp_Pitcher=$B127)*(LEN(pbp_PlayType)&gt;0)*ISNUMBER(MATCH(LEFT(TRIM(pbp_Seq)&amp;"/",FIND("/",TRIM(pbp_Seq)&amp;"/")-1),{"S","F","FT","FB","IN","MB","POS"},0))))/(SUMPRODUCT((pbp_Pitcher=$B127)*(LEN(pbp_PlayType)&gt;0)))))</f>
        <v/>
      </c>
      <c r="T127" s="59" t="str">
        <f t="shared" si="11"/>
        <v/>
      </c>
      <c r="U127" s="59" t="str">
        <f t="shared" si="12"/>
        <v/>
      </c>
      <c r="V127" s="59" t="str">
        <f t="shared" si="13"/>
        <v/>
      </c>
      <c r="W127" s="60" t="str">
        <f t="shared" si="14"/>
        <v/>
      </c>
      <c r="X127" s="60" t="str">
        <f t="shared" si="15"/>
        <v/>
      </c>
      <c r="Y127" s="58" t="str">
        <f t="shared" si="16"/>
        <v/>
      </c>
      <c r="Z127" s="58" t="str">
        <f t="shared" si="17"/>
        <v/>
      </c>
      <c r="AA127" s="62" t="str">
        <f>IF($B127="","",IF(OR(E127&lt;MinBF,X127=""),"",COUNTIFS($E$6:$E$255,"&gt;="&amp;MinBF,$X$6:$X$255,"&lt;"&amp;X127)+COUNTIFS($E$5:E126,"&gt;="&amp;MinBF,$X$5:X126,X127)+1))</f>
        <v/>
      </c>
    </row>
    <row r="128" spans="2:27" x14ac:dyDescent="0.2">
      <c r="B128" s="44" t="str">
        <f t="array" ref="B128">IFERROR(INDEX(pbp_Pitcher,MATCH(0,COUNTIF($B$5:B127,pbp_Pitcher)+(pbp_Pitcher=""),0)),"")</f>
        <v/>
      </c>
      <c r="C128" s="61" t="str">
        <f>IF($B128="","",IFERROR(INDEX(pbp_PitTeam,MATCH($B128,pbp_Pitcher,0)),""))</f>
        <v/>
      </c>
      <c r="D128" s="61" t="str">
        <f>IF($B128="","",IFERROR(INDEX(pbp_PitHand,MATCH($B128,pbp_Pitcher,0)),""))</f>
        <v/>
      </c>
      <c r="E128" s="42" t="str">
        <f>IF($B128="","",SUMPRODUCT(COUNTIFS(pbp_PlayType,EM_Type,pbp_Pitcher,$B128)*EM_PA))</f>
        <v/>
      </c>
      <c r="F128" s="42" t="str">
        <f>IF($B128="","",SUMIFS(pbp_Outs,pbp_Pitcher,$B128))</f>
        <v/>
      </c>
      <c r="G128" s="70" t="str">
        <f t="shared" si="9"/>
        <v/>
      </c>
      <c r="H128" s="42" t="str">
        <f>IF($B128="","",SUMPRODUCT(COUNTIFS(pbp_PlayType,EM_Type,pbp_Pitcher,$B128)*EM_H))</f>
        <v/>
      </c>
      <c r="I128" s="42" t="str">
        <f>IF($B128="","",SUMPRODUCT(COUNTIFS(pbp_PlayType,EM_Type,pbp_Pitcher,$B128)*EM_HR))</f>
        <v/>
      </c>
      <c r="J128" s="42" t="str">
        <f>IF($B128="","",SUMPRODUCT(COUNTIFS(pbp_PlayType,EM_Type,pbp_Pitcher,$B128)*EM_BB))</f>
        <v/>
      </c>
      <c r="K128" s="42" t="str">
        <f>IF($B128="","",SUMPRODUCT(COUNTIFS(pbp_PlayType,EM_Type,pbp_Pitcher,$B128)*EM_HBP))</f>
        <v/>
      </c>
      <c r="L128" s="42" t="str">
        <f>IF($B128="","",COUNTIFS(pbp_PlayType,"?*",pbp_Desc,"*struck out*",pbp_Pitcher,$B128))</f>
        <v/>
      </c>
      <c r="M128" s="42" t="str">
        <f>IF($B128="","",SUMIFS(pbp_Runs,pbp_Pitcher,$B128))</f>
        <v/>
      </c>
      <c r="N128" s="42" t="str">
        <f>IF($B128="","",SUMPRODUCT(COUNTIFS(pbp_PlayType,EM_Type,pbp_Pitcher,$B128)*EM_AB))</f>
        <v/>
      </c>
      <c r="O128" s="42" t="str">
        <f>IF($B128="","",SUMPRODUCT(COUNTIFS(pbp_PlayType,EM_Type,pbp_Pitcher,$B128)*EM_SF))</f>
        <v/>
      </c>
      <c r="P128" s="42" t="str">
        <f>IF($B128="","",SUMIFS(pbp_Pitches,pbp_Pitcher,$B128,pbp_PlayType,"?*"))</f>
        <v/>
      </c>
      <c r="Q128" s="60" t="str">
        <f t="shared" si="10"/>
        <v/>
      </c>
      <c r="R128" s="59" t="str">
        <f>IF($B128="","",IF(E128=0,"",1-SUMPRODUCT((pbp_Pitcher=$B128)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128)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28" s="59" t="str">
        <f>IF($B128="","",IF((SUMPRODUCT((pbp_Pitcher=$B128)*(LEN(pbp_PlayType)&gt;0)))=0,"",(SUMPRODUCT((pbp_Pitcher=$B128)*(LEN(pbp_PlayType)&gt;0)*ISNUMBER(MATCH(LEFT(TRIM(pbp_Seq)&amp;"/",FIND("/",TRIM(pbp_Seq)&amp;"/")-1),{"S","F","FT","FB","IN","MB","POS"},0))))/(SUMPRODUCT((pbp_Pitcher=$B128)*(LEN(pbp_PlayType)&gt;0)))))</f>
        <v/>
      </c>
      <c r="T128" s="59" t="str">
        <f t="shared" si="11"/>
        <v/>
      </c>
      <c r="U128" s="59" t="str">
        <f t="shared" si="12"/>
        <v/>
      </c>
      <c r="V128" s="59" t="str">
        <f t="shared" si="13"/>
        <v/>
      </c>
      <c r="W128" s="60" t="str">
        <f t="shared" si="14"/>
        <v/>
      </c>
      <c r="X128" s="60" t="str">
        <f t="shared" si="15"/>
        <v/>
      </c>
      <c r="Y128" s="58" t="str">
        <f t="shared" si="16"/>
        <v/>
      </c>
      <c r="Z128" s="58" t="str">
        <f t="shared" si="17"/>
        <v/>
      </c>
      <c r="AA128" s="62" t="str">
        <f>IF($B128="","",IF(OR(E128&lt;MinBF,X128=""),"",COUNTIFS($E$6:$E$255,"&gt;="&amp;MinBF,$X$6:$X$255,"&lt;"&amp;X128)+COUNTIFS($E$5:E127,"&gt;="&amp;MinBF,$X$5:X127,X128)+1))</f>
        <v/>
      </c>
    </row>
    <row r="129" spans="2:27" x14ac:dyDescent="0.2">
      <c r="B129" s="44" t="str">
        <f t="array" ref="B129">IFERROR(INDEX(pbp_Pitcher,MATCH(0,COUNTIF($B$5:B128,pbp_Pitcher)+(pbp_Pitcher=""),0)),"")</f>
        <v/>
      </c>
      <c r="C129" s="61" t="str">
        <f>IF($B129="","",IFERROR(INDEX(pbp_PitTeam,MATCH($B129,pbp_Pitcher,0)),""))</f>
        <v/>
      </c>
      <c r="D129" s="61" t="str">
        <f>IF($B129="","",IFERROR(INDEX(pbp_PitHand,MATCH($B129,pbp_Pitcher,0)),""))</f>
        <v/>
      </c>
      <c r="E129" s="42" t="str">
        <f>IF($B129="","",SUMPRODUCT(COUNTIFS(pbp_PlayType,EM_Type,pbp_Pitcher,$B129)*EM_PA))</f>
        <v/>
      </c>
      <c r="F129" s="42" t="str">
        <f>IF($B129="","",SUMIFS(pbp_Outs,pbp_Pitcher,$B129))</f>
        <v/>
      </c>
      <c r="G129" s="70" t="str">
        <f t="shared" si="9"/>
        <v/>
      </c>
      <c r="H129" s="42" t="str">
        <f>IF($B129="","",SUMPRODUCT(COUNTIFS(pbp_PlayType,EM_Type,pbp_Pitcher,$B129)*EM_H))</f>
        <v/>
      </c>
      <c r="I129" s="42" t="str">
        <f>IF($B129="","",SUMPRODUCT(COUNTIFS(pbp_PlayType,EM_Type,pbp_Pitcher,$B129)*EM_HR))</f>
        <v/>
      </c>
      <c r="J129" s="42" t="str">
        <f>IF($B129="","",SUMPRODUCT(COUNTIFS(pbp_PlayType,EM_Type,pbp_Pitcher,$B129)*EM_BB))</f>
        <v/>
      </c>
      <c r="K129" s="42" t="str">
        <f>IF($B129="","",SUMPRODUCT(COUNTIFS(pbp_PlayType,EM_Type,pbp_Pitcher,$B129)*EM_HBP))</f>
        <v/>
      </c>
      <c r="L129" s="42" t="str">
        <f>IF($B129="","",COUNTIFS(pbp_PlayType,"?*",pbp_Desc,"*struck out*",pbp_Pitcher,$B129))</f>
        <v/>
      </c>
      <c r="M129" s="42" t="str">
        <f>IF($B129="","",SUMIFS(pbp_Runs,pbp_Pitcher,$B129))</f>
        <v/>
      </c>
      <c r="N129" s="42" t="str">
        <f>IF($B129="","",SUMPRODUCT(COUNTIFS(pbp_PlayType,EM_Type,pbp_Pitcher,$B129)*EM_AB))</f>
        <v/>
      </c>
      <c r="O129" s="42" t="str">
        <f>IF($B129="","",SUMPRODUCT(COUNTIFS(pbp_PlayType,EM_Type,pbp_Pitcher,$B129)*EM_SF))</f>
        <v/>
      </c>
      <c r="P129" s="42" t="str">
        <f>IF($B129="","",SUMIFS(pbp_Pitches,pbp_Pitcher,$B129,pbp_PlayType,"?*"))</f>
        <v/>
      </c>
      <c r="Q129" s="60" t="str">
        <f t="shared" si="10"/>
        <v/>
      </c>
      <c r="R129" s="59" t="str">
        <f>IF($B129="","",IF(E129=0,"",1-SUMPRODUCT((pbp_Pitcher=$B129)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129)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29" s="59" t="str">
        <f>IF($B129="","",IF((SUMPRODUCT((pbp_Pitcher=$B129)*(LEN(pbp_PlayType)&gt;0)))=0,"",(SUMPRODUCT((pbp_Pitcher=$B129)*(LEN(pbp_PlayType)&gt;0)*ISNUMBER(MATCH(LEFT(TRIM(pbp_Seq)&amp;"/",FIND("/",TRIM(pbp_Seq)&amp;"/")-1),{"S","F","FT","FB","IN","MB","POS"},0))))/(SUMPRODUCT((pbp_Pitcher=$B129)*(LEN(pbp_PlayType)&gt;0)))))</f>
        <v/>
      </c>
      <c r="T129" s="59" t="str">
        <f t="shared" si="11"/>
        <v/>
      </c>
      <c r="U129" s="59" t="str">
        <f t="shared" si="12"/>
        <v/>
      </c>
      <c r="V129" s="59" t="str">
        <f t="shared" si="13"/>
        <v/>
      </c>
      <c r="W129" s="60" t="str">
        <f t="shared" si="14"/>
        <v/>
      </c>
      <c r="X129" s="60" t="str">
        <f t="shared" si="15"/>
        <v/>
      </c>
      <c r="Y129" s="58" t="str">
        <f t="shared" si="16"/>
        <v/>
      </c>
      <c r="Z129" s="58" t="str">
        <f t="shared" si="17"/>
        <v/>
      </c>
      <c r="AA129" s="62" t="str">
        <f>IF($B129="","",IF(OR(E129&lt;MinBF,X129=""),"",COUNTIFS($E$6:$E$255,"&gt;="&amp;MinBF,$X$6:$X$255,"&lt;"&amp;X129)+COUNTIFS($E$5:E128,"&gt;="&amp;MinBF,$X$5:X128,X129)+1))</f>
        <v/>
      </c>
    </row>
    <row r="130" spans="2:27" x14ac:dyDescent="0.2">
      <c r="B130" s="44" t="str">
        <f t="array" ref="B130">IFERROR(INDEX(pbp_Pitcher,MATCH(0,COUNTIF($B$5:B129,pbp_Pitcher)+(pbp_Pitcher=""),0)),"")</f>
        <v/>
      </c>
      <c r="C130" s="61" t="str">
        <f>IF($B130="","",IFERROR(INDEX(pbp_PitTeam,MATCH($B130,pbp_Pitcher,0)),""))</f>
        <v/>
      </c>
      <c r="D130" s="61" t="str">
        <f>IF($B130="","",IFERROR(INDEX(pbp_PitHand,MATCH($B130,pbp_Pitcher,0)),""))</f>
        <v/>
      </c>
      <c r="E130" s="42" t="str">
        <f>IF($B130="","",SUMPRODUCT(COUNTIFS(pbp_PlayType,EM_Type,pbp_Pitcher,$B130)*EM_PA))</f>
        <v/>
      </c>
      <c r="F130" s="42" t="str">
        <f>IF($B130="","",SUMIFS(pbp_Outs,pbp_Pitcher,$B130))</f>
        <v/>
      </c>
      <c r="G130" s="70" t="str">
        <f t="shared" si="9"/>
        <v/>
      </c>
      <c r="H130" s="42" t="str">
        <f>IF($B130="","",SUMPRODUCT(COUNTIFS(pbp_PlayType,EM_Type,pbp_Pitcher,$B130)*EM_H))</f>
        <v/>
      </c>
      <c r="I130" s="42" t="str">
        <f>IF($B130="","",SUMPRODUCT(COUNTIFS(pbp_PlayType,EM_Type,pbp_Pitcher,$B130)*EM_HR))</f>
        <v/>
      </c>
      <c r="J130" s="42" t="str">
        <f>IF($B130="","",SUMPRODUCT(COUNTIFS(pbp_PlayType,EM_Type,pbp_Pitcher,$B130)*EM_BB))</f>
        <v/>
      </c>
      <c r="K130" s="42" t="str">
        <f>IF($B130="","",SUMPRODUCT(COUNTIFS(pbp_PlayType,EM_Type,pbp_Pitcher,$B130)*EM_HBP))</f>
        <v/>
      </c>
      <c r="L130" s="42" t="str">
        <f>IF($B130="","",COUNTIFS(pbp_PlayType,"?*",pbp_Desc,"*struck out*",pbp_Pitcher,$B130))</f>
        <v/>
      </c>
      <c r="M130" s="42" t="str">
        <f>IF($B130="","",SUMIFS(pbp_Runs,pbp_Pitcher,$B130))</f>
        <v/>
      </c>
      <c r="N130" s="42" t="str">
        <f>IF($B130="","",SUMPRODUCT(COUNTIFS(pbp_PlayType,EM_Type,pbp_Pitcher,$B130)*EM_AB))</f>
        <v/>
      </c>
      <c r="O130" s="42" t="str">
        <f>IF($B130="","",SUMPRODUCT(COUNTIFS(pbp_PlayType,EM_Type,pbp_Pitcher,$B130)*EM_SF))</f>
        <v/>
      </c>
      <c r="P130" s="42" t="str">
        <f>IF($B130="","",SUMIFS(pbp_Pitches,pbp_Pitcher,$B130,pbp_PlayType,"?*"))</f>
        <v/>
      </c>
      <c r="Q130" s="60" t="str">
        <f t="shared" si="10"/>
        <v/>
      </c>
      <c r="R130" s="59" t="str">
        <f>IF($B130="","",IF(E130=0,"",1-SUMPRODUCT((pbp_Pitcher=$B130)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130)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30" s="59" t="str">
        <f>IF($B130="","",IF((SUMPRODUCT((pbp_Pitcher=$B130)*(LEN(pbp_PlayType)&gt;0)))=0,"",(SUMPRODUCT((pbp_Pitcher=$B130)*(LEN(pbp_PlayType)&gt;0)*ISNUMBER(MATCH(LEFT(TRIM(pbp_Seq)&amp;"/",FIND("/",TRIM(pbp_Seq)&amp;"/")-1),{"S","F","FT","FB","IN","MB","POS"},0))))/(SUMPRODUCT((pbp_Pitcher=$B130)*(LEN(pbp_PlayType)&gt;0)))))</f>
        <v/>
      </c>
      <c r="T130" s="59" t="str">
        <f t="shared" si="11"/>
        <v/>
      </c>
      <c r="U130" s="59" t="str">
        <f t="shared" si="12"/>
        <v/>
      </c>
      <c r="V130" s="59" t="str">
        <f t="shared" si="13"/>
        <v/>
      </c>
      <c r="W130" s="60" t="str">
        <f t="shared" si="14"/>
        <v/>
      </c>
      <c r="X130" s="60" t="str">
        <f t="shared" si="15"/>
        <v/>
      </c>
      <c r="Y130" s="58" t="str">
        <f t="shared" si="16"/>
        <v/>
      </c>
      <c r="Z130" s="58" t="str">
        <f t="shared" si="17"/>
        <v/>
      </c>
      <c r="AA130" s="62" t="str">
        <f>IF($B130="","",IF(OR(E130&lt;MinBF,X130=""),"",COUNTIFS($E$6:$E$255,"&gt;="&amp;MinBF,$X$6:$X$255,"&lt;"&amp;X130)+COUNTIFS($E$5:E129,"&gt;="&amp;MinBF,$X$5:X129,X130)+1))</f>
        <v/>
      </c>
    </row>
    <row r="131" spans="2:27" x14ac:dyDescent="0.2">
      <c r="B131" s="44" t="str">
        <f t="array" ref="B131">IFERROR(INDEX(pbp_Pitcher,MATCH(0,COUNTIF($B$5:B130,pbp_Pitcher)+(pbp_Pitcher=""),0)),"")</f>
        <v/>
      </c>
      <c r="C131" s="61" t="str">
        <f>IF($B131="","",IFERROR(INDEX(pbp_PitTeam,MATCH($B131,pbp_Pitcher,0)),""))</f>
        <v/>
      </c>
      <c r="D131" s="61" t="str">
        <f>IF($B131="","",IFERROR(INDEX(pbp_PitHand,MATCH($B131,pbp_Pitcher,0)),""))</f>
        <v/>
      </c>
      <c r="E131" s="42" t="str">
        <f>IF($B131="","",SUMPRODUCT(COUNTIFS(pbp_PlayType,EM_Type,pbp_Pitcher,$B131)*EM_PA))</f>
        <v/>
      </c>
      <c r="F131" s="42" t="str">
        <f>IF($B131="","",SUMIFS(pbp_Outs,pbp_Pitcher,$B131))</f>
        <v/>
      </c>
      <c r="G131" s="70" t="str">
        <f t="shared" si="9"/>
        <v/>
      </c>
      <c r="H131" s="42" t="str">
        <f>IF($B131="","",SUMPRODUCT(COUNTIFS(pbp_PlayType,EM_Type,pbp_Pitcher,$B131)*EM_H))</f>
        <v/>
      </c>
      <c r="I131" s="42" t="str">
        <f>IF($B131="","",SUMPRODUCT(COUNTIFS(pbp_PlayType,EM_Type,pbp_Pitcher,$B131)*EM_HR))</f>
        <v/>
      </c>
      <c r="J131" s="42" t="str">
        <f>IF($B131="","",SUMPRODUCT(COUNTIFS(pbp_PlayType,EM_Type,pbp_Pitcher,$B131)*EM_BB))</f>
        <v/>
      </c>
      <c r="K131" s="42" t="str">
        <f>IF($B131="","",SUMPRODUCT(COUNTIFS(pbp_PlayType,EM_Type,pbp_Pitcher,$B131)*EM_HBP))</f>
        <v/>
      </c>
      <c r="L131" s="42" t="str">
        <f>IF($B131="","",COUNTIFS(pbp_PlayType,"?*",pbp_Desc,"*struck out*",pbp_Pitcher,$B131))</f>
        <v/>
      </c>
      <c r="M131" s="42" t="str">
        <f>IF($B131="","",SUMIFS(pbp_Runs,pbp_Pitcher,$B131))</f>
        <v/>
      </c>
      <c r="N131" s="42" t="str">
        <f>IF($B131="","",SUMPRODUCT(COUNTIFS(pbp_PlayType,EM_Type,pbp_Pitcher,$B131)*EM_AB))</f>
        <v/>
      </c>
      <c r="O131" s="42" t="str">
        <f>IF($B131="","",SUMPRODUCT(COUNTIFS(pbp_PlayType,EM_Type,pbp_Pitcher,$B131)*EM_SF))</f>
        <v/>
      </c>
      <c r="P131" s="42" t="str">
        <f>IF($B131="","",SUMIFS(pbp_Pitches,pbp_Pitcher,$B131,pbp_PlayType,"?*"))</f>
        <v/>
      </c>
      <c r="Q131" s="60" t="str">
        <f t="shared" si="10"/>
        <v/>
      </c>
      <c r="R131" s="59" t="str">
        <f>IF($B131="","",IF(E131=0,"",1-SUMPRODUCT((pbp_Pitcher=$B131)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131)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31" s="59" t="str">
        <f>IF($B131="","",IF((SUMPRODUCT((pbp_Pitcher=$B131)*(LEN(pbp_PlayType)&gt;0)))=0,"",(SUMPRODUCT((pbp_Pitcher=$B131)*(LEN(pbp_PlayType)&gt;0)*ISNUMBER(MATCH(LEFT(TRIM(pbp_Seq)&amp;"/",FIND("/",TRIM(pbp_Seq)&amp;"/")-1),{"S","F","FT","FB","IN","MB","POS"},0))))/(SUMPRODUCT((pbp_Pitcher=$B131)*(LEN(pbp_PlayType)&gt;0)))))</f>
        <v/>
      </c>
      <c r="T131" s="59" t="str">
        <f t="shared" si="11"/>
        <v/>
      </c>
      <c r="U131" s="59" t="str">
        <f t="shared" si="12"/>
        <v/>
      </c>
      <c r="V131" s="59" t="str">
        <f t="shared" si="13"/>
        <v/>
      </c>
      <c r="W131" s="60" t="str">
        <f t="shared" si="14"/>
        <v/>
      </c>
      <c r="X131" s="60" t="str">
        <f t="shared" si="15"/>
        <v/>
      </c>
      <c r="Y131" s="58" t="str">
        <f t="shared" si="16"/>
        <v/>
      </c>
      <c r="Z131" s="58" t="str">
        <f t="shared" si="17"/>
        <v/>
      </c>
      <c r="AA131" s="62" t="str">
        <f>IF($B131="","",IF(OR(E131&lt;MinBF,X131=""),"",COUNTIFS($E$6:$E$255,"&gt;="&amp;MinBF,$X$6:$X$255,"&lt;"&amp;X131)+COUNTIFS($E$5:E130,"&gt;="&amp;MinBF,$X$5:X130,X131)+1))</f>
        <v/>
      </c>
    </row>
    <row r="132" spans="2:27" x14ac:dyDescent="0.2">
      <c r="B132" s="44" t="str">
        <f t="array" ref="B132">IFERROR(INDEX(pbp_Pitcher,MATCH(0,COUNTIF($B$5:B131,pbp_Pitcher)+(pbp_Pitcher=""),0)),"")</f>
        <v/>
      </c>
      <c r="C132" s="61" t="str">
        <f>IF($B132="","",IFERROR(INDEX(pbp_PitTeam,MATCH($B132,pbp_Pitcher,0)),""))</f>
        <v/>
      </c>
      <c r="D132" s="61" t="str">
        <f>IF($B132="","",IFERROR(INDEX(pbp_PitHand,MATCH($B132,pbp_Pitcher,0)),""))</f>
        <v/>
      </c>
      <c r="E132" s="42" t="str">
        <f>IF($B132="","",SUMPRODUCT(COUNTIFS(pbp_PlayType,EM_Type,pbp_Pitcher,$B132)*EM_PA))</f>
        <v/>
      </c>
      <c r="F132" s="42" t="str">
        <f>IF($B132="","",SUMIFS(pbp_Outs,pbp_Pitcher,$B132))</f>
        <v/>
      </c>
      <c r="G132" s="70" t="str">
        <f t="shared" si="9"/>
        <v/>
      </c>
      <c r="H132" s="42" t="str">
        <f>IF($B132="","",SUMPRODUCT(COUNTIFS(pbp_PlayType,EM_Type,pbp_Pitcher,$B132)*EM_H))</f>
        <v/>
      </c>
      <c r="I132" s="42" t="str">
        <f>IF($B132="","",SUMPRODUCT(COUNTIFS(pbp_PlayType,EM_Type,pbp_Pitcher,$B132)*EM_HR))</f>
        <v/>
      </c>
      <c r="J132" s="42" t="str">
        <f>IF($B132="","",SUMPRODUCT(COUNTIFS(pbp_PlayType,EM_Type,pbp_Pitcher,$B132)*EM_BB))</f>
        <v/>
      </c>
      <c r="K132" s="42" t="str">
        <f>IF($B132="","",SUMPRODUCT(COUNTIFS(pbp_PlayType,EM_Type,pbp_Pitcher,$B132)*EM_HBP))</f>
        <v/>
      </c>
      <c r="L132" s="42" t="str">
        <f>IF($B132="","",COUNTIFS(pbp_PlayType,"?*",pbp_Desc,"*struck out*",pbp_Pitcher,$B132))</f>
        <v/>
      </c>
      <c r="M132" s="42" t="str">
        <f>IF($B132="","",SUMIFS(pbp_Runs,pbp_Pitcher,$B132))</f>
        <v/>
      </c>
      <c r="N132" s="42" t="str">
        <f>IF($B132="","",SUMPRODUCT(COUNTIFS(pbp_PlayType,EM_Type,pbp_Pitcher,$B132)*EM_AB))</f>
        <v/>
      </c>
      <c r="O132" s="42" t="str">
        <f>IF($B132="","",SUMPRODUCT(COUNTIFS(pbp_PlayType,EM_Type,pbp_Pitcher,$B132)*EM_SF))</f>
        <v/>
      </c>
      <c r="P132" s="42" t="str">
        <f>IF($B132="","",SUMIFS(pbp_Pitches,pbp_Pitcher,$B132,pbp_PlayType,"?*"))</f>
        <v/>
      </c>
      <c r="Q132" s="60" t="str">
        <f t="shared" si="10"/>
        <v/>
      </c>
      <c r="R132" s="59" t="str">
        <f>IF($B132="","",IF(E132=0,"",1-SUMPRODUCT((pbp_Pitcher=$B132)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132)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32" s="59" t="str">
        <f>IF($B132="","",IF((SUMPRODUCT((pbp_Pitcher=$B132)*(LEN(pbp_PlayType)&gt;0)))=0,"",(SUMPRODUCT((pbp_Pitcher=$B132)*(LEN(pbp_PlayType)&gt;0)*ISNUMBER(MATCH(LEFT(TRIM(pbp_Seq)&amp;"/",FIND("/",TRIM(pbp_Seq)&amp;"/")-1),{"S","F","FT","FB","IN","MB","POS"},0))))/(SUMPRODUCT((pbp_Pitcher=$B132)*(LEN(pbp_PlayType)&gt;0)))))</f>
        <v/>
      </c>
      <c r="T132" s="59" t="str">
        <f t="shared" si="11"/>
        <v/>
      </c>
      <c r="U132" s="59" t="str">
        <f t="shared" si="12"/>
        <v/>
      </c>
      <c r="V132" s="59" t="str">
        <f t="shared" si="13"/>
        <v/>
      </c>
      <c r="W132" s="60" t="str">
        <f t="shared" si="14"/>
        <v/>
      </c>
      <c r="X132" s="60" t="str">
        <f t="shared" si="15"/>
        <v/>
      </c>
      <c r="Y132" s="58" t="str">
        <f t="shared" si="16"/>
        <v/>
      </c>
      <c r="Z132" s="58" t="str">
        <f t="shared" si="17"/>
        <v/>
      </c>
      <c r="AA132" s="62" t="str">
        <f>IF($B132="","",IF(OR(E132&lt;MinBF,X132=""),"",COUNTIFS($E$6:$E$255,"&gt;="&amp;MinBF,$X$6:$X$255,"&lt;"&amp;X132)+COUNTIFS($E$5:E131,"&gt;="&amp;MinBF,$X$5:X131,X132)+1))</f>
        <v/>
      </c>
    </row>
    <row r="133" spans="2:27" x14ac:dyDescent="0.2">
      <c r="B133" s="44" t="str">
        <f t="array" ref="B133">IFERROR(INDEX(pbp_Pitcher,MATCH(0,COUNTIF($B$5:B132,pbp_Pitcher)+(pbp_Pitcher=""),0)),"")</f>
        <v/>
      </c>
      <c r="C133" s="61" t="str">
        <f>IF($B133="","",IFERROR(INDEX(pbp_PitTeam,MATCH($B133,pbp_Pitcher,0)),""))</f>
        <v/>
      </c>
      <c r="D133" s="61" t="str">
        <f>IF($B133="","",IFERROR(INDEX(pbp_PitHand,MATCH($B133,pbp_Pitcher,0)),""))</f>
        <v/>
      </c>
      <c r="E133" s="42" t="str">
        <f>IF($B133="","",SUMPRODUCT(COUNTIFS(pbp_PlayType,EM_Type,pbp_Pitcher,$B133)*EM_PA))</f>
        <v/>
      </c>
      <c r="F133" s="42" t="str">
        <f>IF($B133="","",SUMIFS(pbp_Outs,pbp_Pitcher,$B133))</f>
        <v/>
      </c>
      <c r="G133" s="70" t="str">
        <f t="shared" si="9"/>
        <v/>
      </c>
      <c r="H133" s="42" t="str">
        <f>IF($B133="","",SUMPRODUCT(COUNTIFS(pbp_PlayType,EM_Type,pbp_Pitcher,$B133)*EM_H))</f>
        <v/>
      </c>
      <c r="I133" s="42" t="str">
        <f>IF($B133="","",SUMPRODUCT(COUNTIFS(pbp_PlayType,EM_Type,pbp_Pitcher,$B133)*EM_HR))</f>
        <v/>
      </c>
      <c r="J133" s="42" t="str">
        <f>IF($B133="","",SUMPRODUCT(COUNTIFS(pbp_PlayType,EM_Type,pbp_Pitcher,$B133)*EM_BB))</f>
        <v/>
      </c>
      <c r="K133" s="42" t="str">
        <f>IF($B133="","",SUMPRODUCT(COUNTIFS(pbp_PlayType,EM_Type,pbp_Pitcher,$B133)*EM_HBP))</f>
        <v/>
      </c>
      <c r="L133" s="42" t="str">
        <f>IF($B133="","",COUNTIFS(pbp_PlayType,"?*",pbp_Desc,"*struck out*",pbp_Pitcher,$B133))</f>
        <v/>
      </c>
      <c r="M133" s="42" t="str">
        <f>IF($B133="","",SUMIFS(pbp_Runs,pbp_Pitcher,$B133))</f>
        <v/>
      </c>
      <c r="N133" s="42" t="str">
        <f>IF($B133="","",SUMPRODUCT(COUNTIFS(pbp_PlayType,EM_Type,pbp_Pitcher,$B133)*EM_AB))</f>
        <v/>
      </c>
      <c r="O133" s="42" t="str">
        <f>IF($B133="","",SUMPRODUCT(COUNTIFS(pbp_PlayType,EM_Type,pbp_Pitcher,$B133)*EM_SF))</f>
        <v/>
      </c>
      <c r="P133" s="42" t="str">
        <f>IF($B133="","",SUMIFS(pbp_Pitches,pbp_Pitcher,$B133,pbp_PlayType,"?*"))</f>
        <v/>
      </c>
      <c r="Q133" s="60" t="str">
        <f t="shared" si="10"/>
        <v/>
      </c>
      <c r="R133" s="59" t="str">
        <f>IF($B133="","",IF(E133=0,"",1-SUMPRODUCT((pbp_Pitcher=$B133)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133)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33" s="59" t="str">
        <f>IF($B133="","",IF((SUMPRODUCT((pbp_Pitcher=$B133)*(LEN(pbp_PlayType)&gt;0)))=0,"",(SUMPRODUCT((pbp_Pitcher=$B133)*(LEN(pbp_PlayType)&gt;0)*ISNUMBER(MATCH(LEFT(TRIM(pbp_Seq)&amp;"/",FIND("/",TRIM(pbp_Seq)&amp;"/")-1),{"S","F","FT","FB","IN","MB","POS"},0))))/(SUMPRODUCT((pbp_Pitcher=$B133)*(LEN(pbp_PlayType)&gt;0)))))</f>
        <v/>
      </c>
      <c r="T133" s="59" t="str">
        <f t="shared" si="11"/>
        <v/>
      </c>
      <c r="U133" s="59" t="str">
        <f t="shared" si="12"/>
        <v/>
      </c>
      <c r="V133" s="59" t="str">
        <f t="shared" si="13"/>
        <v/>
      </c>
      <c r="W133" s="60" t="str">
        <f t="shared" si="14"/>
        <v/>
      </c>
      <c r="X133" s="60" t="str">
        <f t="shared" si="15"/>
        <v/>
      </c>
      <c r="Y133" s="58" t="str">
        <f t="shared" si="16"/>
        <v/>
      </c>
      <c r="Z133" s="58" t="str">
        <f t="shared" si="17"/>
        <v/>
      </c>
      <c r="AA133" s="62" t="str">
        <f>IF($B133="","",IF(OR(E133&lt;MinBF,X133=""),"",COUNTIFS($E$6:$E$255,"&gt;="&amp;MinBF,$X$6:$X$255,"&lt;"&amp;X133)+COUNTIFS($E$5:E132,"&gt;="&amp;MinBF,$X$5:X132,X133)+1))</f>
        <v/>
      </c>
    </row>
    <row r="134" spans="2:27" x14ac:dyDescent="0.2">
      <c r="B134" s="44" t="str">
        <f t="array" ref="B134">IFERROR(INDEX(pbp_Pitcher,MATCH(0,COUNTIF($B$5:B133,pbp_Pitcher)+(pbp_Pitcher=""),0)),"")</f>
        <v/>
      </c>
      <c r="C134" s="61" t="str">
        <f>IF($B134="","",IFERROR(INDEX(pbp_PitTeam,MATCH($B134,pbp_Pitcher,0)),""))</f>
        <v/>
      </c>
      <c r="D134" s="61" t="str">
        <f>IF($B134="","",IFERROR(INDEX(pbp_PitHand,MATCH($B134,pbp_Pitcher,0)),""))</f>
        <v/>
      </c>
      <c r="E134" s="42" t="str">
        <f>IF($B134="","",SUMPRODUCT(COUNTIFS(pbp_PlayType,EM_Type,pbp_Pitcher,$B134)*EM_PA))</f>
        <v/>
      </c>
      <c r="F134" s="42" t="str">
        <f>IF($B134="","",SUMIFS(pbp_Outs,pbp_Pitcher,$B134))</f>
        <v/>
      </c>
      <c r="G134" s="70" t="str">
        <f t="shared" ref="G134:G197" si="18">IF($B134="","",INT(F134/3)+MOD(F134,3)/10)</f>
        <v/>
      </c>
      <c r="H134" s="42" t="str">
        <f>IF($B134="","",SUMPRODUCT(COUNTIFS(pbp_PlayType,EM_Type,pbp_Pitcher,$B134)*EM_H))</f>
        <v/>
      </c>
      <c r="I134" s="42" t="str">
        <f>IF($B134="","",SUMPRODUCT(COUNTIFS(pbp_PlayType,EM_Type,pbp_Pitcher,$B134)*EM_HR))</f>
        <v/>
      </c>
      <c r="J134" s="42" t="str">
        <f>IF($B134="","",SUMPRODUCT(COUNTIFS(pbp_PlayType,EM_Type,pbp_Pitcher,$B134)*EM_BB))</f>
        <v/>
      </c>
      <c r="K134" s="42" t="str">
        <f>IF($B134="","",SUMPRODUCT(COUNTIFS(pbp_PlayType,EM_Type,pbp_Pitcher,$B134)*EM_HBP))</f>
        <v/>
      </c>
      <c r="L134" s="42" t="str">
        <f>IF($B134="","",COUNTIFS(pbp_PlayType,"?*",pbp_Desc,"*struck out*",pbp_Pitcher,$B134))</f>
        <v/>
      </c>
      <c r="M134" s="42" t="str">
        <f>IF($B134="","",SUMIFS(pbp_Runs,pbp_Pitcher,$B134))</f>
        <v/>
      </c>
      <c r="N134" s="42" t="str">
        <f>IF($B134="","",SUMPRODUCT(COUNTIFS(pbp_PlayType,EM_Type,pbp_Pitcher,$B134)*EM_AB))</f>
        <v/>
      </c>
      <c r="O134" s="42" t="str">
        <f>IF($B134="","",SUMPRODUCT(COUNTIFS(pbp_PlayType,EM_Type,pbp_Pitcher,$B134)*EM_SF))</f>
        <v/>
      </c>
      <c r="P134" s="42" t="str">
        <f>IF($B134="","",SUMIFS(pbp_Pitches,pbp_Pitcher,$B134,pbp_PlayType,"?*"))</f>
        <v/>
      </c>
      <c r="Q134" s="60" t="str">
        <f t="shared" ref="Q134:Q197" si="19">IF($B134="","",IF((E134)=0,"",(P134)/(E134)))</f>
        <v/>
      </c>
      <c r="R134" s="59" t="str">
        <f>IF($B134="","",IF(E134=0,"",1-SUMPRODUCT((pbp_Pitcher=$B134)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134)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34" s="59" t="str">
        <f>IF($B134="","",IF((SUMPRODUCT((pbp_Pitcher=$B134)*(LEN(pbp_PlayType)&gt;0)))=0,"",(SUMPRODUCT((pbp_Pitcher=$B134)*(LEN(pbp_PlayType)&gt;0)*ISNUMBER(MATCH(LEFT(TRIM(pbp_Seq)&amp;"/",FIND("/",TRIM(pbp_Seq)&amp;"/")-1),{"S","F","FT","FB","IN","MB","POS"},0))))/(SUMPRODUCT((pbp_Pitcher=$B134)*(LEN(pbp_PlayType)&gt;0)))))</f>
        <v/>
      </c>
      <c r="T134" s="59" t="str">
        <f t="shared" ref="T134:T197" si="20">IF($B134="","",IF((E134)=0,"",(L134)/(E134)))</f>
        <v/>
      </c>
      <c r="U134" s="59" t="str">
        <f t="shared" ref="U134:U197" si="21">IF($B134="","",IF((E134)=0,"",(J134)/(E134)))</f>
        <v/>
      </c>
      <c r="V134" s="59" t="str">
        <f t="shared" ref="V134:V197" si="22">IF($B134="","",IF(E134=0,"",T134-U134))</f>
        <v/>
      </c>
      <c r="W134" s="60" t="str">
        <f t="shared" ref="W134:W197" si="23">IF($B134="","",IF((F134)=0,"",(3*(H134+J134))/(F134)))</f>
        <v/>
      </c>
      <c r="X134" s="60" t="str">
        <f t="shared" ref="X134:X197" si="24">IF($B134="","",IF(F134=0,"",(13*I134+3*(J134+K134)-2*L134)/(F134/3)+FIP_C))</f>
        <v/>
      </c>
      <c r="Y134" s="58" t="str">
        <f t="shared" ref="Y134:Y197" si="25">IF($B134="","",IF((N134)=0,"",(H134)/(N134)))</f>
        <v/>
      </c>
      <c r="Z134" s="58" t="str">
        <f t="shared" ref="Z134:Z197" si="26">IF($B134="","",IF(((N134-L134-I134+O134))=0,"",((H134-I134))/((N134-L134-I134+O134))))</f>
        <v/>
      </c>
      <c r="AA134" s="62" t="str">
        <f>IF($B134="","",IF(OR(E134&lt;MinBF,X134=""),"",COUNTIFS($E$6:$E$255,"&gt;="&amp;MinBF,$X$6:$X$255,"&lt;"&amp;X134)+COUNTIFS($E$5:E133,"&gt;="&amp;MinBF,$X$5:X133,X134)+1))</f>
        <v/>
      </c>
    </row>
    <row r="135" spans="2:27" x14ac:dyDescent="0.2">
      <c r="B135" s="44" t="str">
        <f t="array" ref="B135">IFERROR(INDEX(pbp_Pitcher,MATCH(0,COUNTIF($B$5:B134,pbp_Pitcher)+(pbp_Pitcher=""),0)),"")</f>
        <v/>
      </c>
      <c r="C135" s="61" t="str">
        <f>IF($B135="","",IFERROR(INDEX(pbp_PitTeam,MATCH($B135,pbp_Pitcher,0)),""))</f>
        <v/>
      </c>
      <c r="D135" s="61" t="str">
        <f>IF($B135="","",IFERROR(INDEX(pbp_PitHand,MATCH($B135,pbp_Pitcher,0)),""))</f>
        <v/>
      </c>
      <c r="E135" s="42" t="str">
        <f>IF($B135="","",SUMPRODUCT(COUNTIFS(pbp_PlayType,EM_Type,pbp_Pitcher,$B135)*EM_PA))</f>
        <v/>
      </c>
      <c r="F135" s="42" t="str">
        <f>IF($B135="","",SUMIFS(pbp_Outs,pbp_Pitcher,$B135))</f>
        <v/>
      </c>
      <c r="G135" s="70" t="str">
        <f t="shared" si="18"/>
        <v/>
      </c>
      <c r="H135" s="42" t="str">
        <f>IF($B135="","",SUMPRODUCT(COUNTIFS(pbp_PlayType,EM_Type,pbp_Pitcher,$B135)*EM_H))</f>
        <v/>
      </c>
      <c r="I135" s="42" t="str">
        <f>IF($B135="","",SUMPRODUCT(COUNTIFS(pbp_PlayType,EM_Type,pbp_Pitcher,$B135)*EM_HR))</f>
        <v/>
      </c>
      <c r="J135" s="42" t="str">
        <f>IF($B135="","",SUMPRODUCT(COUNTIFS(pbp_PlayType,EM_Type,pbp_Pitcher,$B135)*EM_BB))</f>
        <v/>
      </c>
      <c r="K135" s="42" t="str">
        <f>IF($B135="","",SUMPRODUCT(COUNTIFS(pbp_PlayType,EM_Type,pbp_Pitcher,$B135)*EM_HBP))</f>
        <v/>
      </c>
      <c r="L135" s="42" t="str">
        <f>IF($B135="","",COUNTIFS(pbp_PlayType,"?*",pbp_Desc,"*struck out*",pbp_Pitcher,$B135))</f>
        <v/>
      </c>
      <c r="M135" s="42" t="str">
        <f>IF($B135="","",SUMIFS(pbp_Runs,pbp_Pitcher,$B135))</f>
        <v/>
      </c>
      <c r="N135" s="42" t="str">
        <f>IF($B135="","",SUMPRODUCT(COUNTIFS(pbp_PlayType,EM_Type,pbp_Pitcher,$B135)*EM_AB))</f>
        <v/>
      </c>
      <c r="O135" s="42" t="str">
        <f>IF($B135="","",SUMPRODUCT(COUNTIFS(pbp_PlayType,EM_Type,pbp_Pitcher,$B135)*EM_SF))</f>
        <v/>
      </c>
      <c r="P135" s="42" t="str">
        <f>IF($B135="","",SUMIFS(pbp_Pitches,pbp_Pitcher,$B135,pbp_PlayType,"?*"))</f>
        <v/>
      </c>
      <c r="Q135" s="60" t="str">
        <f t="shared" si="19"/>
        <v/>
      </c>
      <c r="R135" s="59" t="str">
        <f>IF($B135="","",IF(E135=0,"",1-SUMPRODUCT((pbp_Pitcher=$B135)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135)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35" s="59" t="str">
        <f>IF($B135="","",IF((SUMPRODUCT((pbp_Pitcher=$B135)*(LEN(pbp_PlayType)&gt;0)))=0,"",(SUMPRODUCT((pbp_Pitcher=$B135)*(LEN(pbp_PlayType)&gt;0)*ISNUMBER(MATCH(LEFT(TRIM(pbp_Seq)&amp;"/",FIND("/",TRIM(pbp_Seq)&amp;"/")-1),{"S","F","FT","FB","IN","MB","POS"},0))))/(SUMPRODUCT((pbp_Pitcher=$B135)*(LEN(pbp_PlayType)&gt;0)))))</f>
        <v/>
      </c>
      <c r="T135" s="59" t="str">
        <f t="shared" si="20"/>
        <v/>
      </c>
      <c r="U135" s="59" t="str">
        <f t="shared" si="21"/>
        <v/>
      </c>
      <c r="V135" s="59" t="str">
        <f t="shared" si="22"/>
        <v/>
      </c>
      <c r="W135" s="60" t="str">
        <f t="shared" si="23"/>
        <v/>
      </c>
      <c r="X135" s="60" t="str">
        <f t="shared" si="24"/>
        <v/>
      </c>
      <c r="Y135" s="58" t="str">
        <f t="shared" si="25"/>
        <v/>
      </c>
      <c r="Z135" s="58" t="str">
        <f t="shared" si="26"/>
        <v/>
      </c>
      <c r="AA135" s="62" t="str">
        <f>IF($B135="","",IF(OR(E135&lt;MinBF,X135=""),"",COUNTIFS($E$6:$E$255,"&gt;="&amp;MinBF,$X$6:$X$255,"&lt;"&amp;X135)+COUNTIFS($E$5:E134,"&gt;="&amp;MinBF,$X$5:X134,X135)+1))</f>
        <v/>
      </c>
    </row>
    <row r="136" spans="2:27" x14ac:dyDescent="0.2">
      <c r="B136" s="44" t="str">
        <f t="array" ref="B136">IFERROR(INDEX(pbp_Pitcher,MATCH(0,COUNTIF($B$5:B135,pbp_Pitcher)+(pbp_Pitcher=""),0)),"")</f>
        <v/>
      </c>
      <c r="C136" s="61" t="str">
        <f>IF($B136="","",IFERROR(INDEX(pbp_PitTeam,MATCH($B136,pbp_Pitcher,0)),""))</f>
        <v/>
      </c>
      <c r="D136" s="61" t="str">
        <f>IF($B136="","",IFERROR(INDEX(pbp_PitHand,MATCH($B136,pbp_Pitcher,0)),""))</f>
        <v/>
      </c>
      <c r="E136" s="42" t="str">
        <f>IF($B136="","",SUMPRODUCT(COUNTIFS(pbp_PlayType,EM_Type,pbp_Pitcher,$B136)*EM_PA))</f>
        <v/>
      </c>
      <c r="F136" s="42" t="str">
        <f>IF($B136="","",SUMIFS(pbp_Outs,pbp_Pitcher,$B136))</f>
        <v/>
      </c>
      <c r="G136" s="70" t="str">
        <f t="shared" si="18"/>
        <v/>
      </c>
      <c r="H136" s="42" t="str">
        <f>IF($B136="","",SUMPRODUCT(COUNTIFS(pbp_PlayType,EM_Type,pbp_Pitcher,$B136)*EM_H))</f>
        <v/>
      </c>
      <c r="I136" s="42" t="str">
        <f>IF($B136="","",SUMPRODUCT(COUNTIFS(pbp_PlayType,EM_Type,pbp_Pitcher,$B136)*EM_HR))</f>
        <v/>
      </c>
      <c r="J136" s="42" t="str">
        <f>IF($B136="","",SUMPRODUCT(COUNTIFS(pbp_PlayType,EM_Type,pbp_Pitcher,$B136)*EM_BB))</f>
        <v/>
      </c>
      <c r="K136" s="42" t="str">
        <f>IF($B136="","",SUMPRODUCT(COUNTIFS(pbp_PlayType,EM_Type,pbp_Pitcher,$B136)*EM_HBP))</f>
        <v/>
      </c>
      <c r="L136" s="42" t="str">
        <f>IF($B136="","",COUNTIFS(pbp_PlayType,"?*",pbp_Desc,"*struck out*",pbp_Pitcher,$B136))</f>
        <v/>
      </c>
      <c r="M136" s="42" t="str">
        <f>IF($B136="","",SUMIFS(pbp_Runs,pbp_Pitcher,$B136))</f>
        <v/>
      </c>
      <c r="N136" s="42" t="str">
        <f>IF($B136="","",SUMPRODUCT(COUNTIFS(pbp_PlayType,EM_Type,pbp_Pitcher,$B136)*EM_AB))</f>
        <v/>
      </c>
      <c r="O136" s="42" t="str">
        <f>IF($B136="","",SUMPRODUCT(COUNTIFS(pbp_PlayType,EM_Type,pbp_Pitcher,$B136)*EM_SF))</f>
        <v/>
      </c>
      <c r="P136" s="42" t="str">
        <f>IF($B136="","",SUMIFS(pbp_Pitches,pbp_Pitcher,$B136,pbp_PlayType,"?*"))</f>
        <v/>
      </c>
      <c r="Q136" s="60" t="str">
        <f t="shared" si="19"/>
        <v/>
      </c>
      <c r="R136" s="59" t="str">
        <f>IF($B136="","",IF(E136=0,"",1-SUMPRODUCT((pbp_Pitcher=$B136)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136)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36" s="59" t="str">
        <f>IF($B136="","",IF((SUMPRODUCT((pbp_Pitcher=$B136)*(LEN(pbp_PlayType)&gt;0)))=0,"",(SUMPRODUCT((pbp_Pitcher=$B136)*(LEN(pbp_PlayType)&gt;0)*ISNUMBER(MATCH(LEFT(TRIM(pbp_Seq)&amp;"/",FIND("/",TRIM(pbp_Seq)&amp;"/")-1),{"S","F","FT","FB","IN","MB","POS"},0))))/(SUMPRODUCT((pbp_Pitcher=$B136)*(LEN(pbp_PlayType)&gt;0)))))</f>
        <v/>
      </c>
      <c r="T136" s="59" t="str">
        <f t="shared" si="20"/>
        <v/>
      </c>
      <c r="U136" s="59" t="str">
        <f t="shared" si="21"/>
        <v/>
      </c>
      <c r="V136" s="59" t="str">
        <f t="shared" si="22"/>
        <v/>
      </c>
      <c r="W136" s="60" t="str">
        <f t="shared" si="23"/>
        <v/>
      </c>
      <c r="X136" s="60" t="str">
        <f t="shared" si="24"/>
        <v/>
      </c>
      <c r="Y136" s="58" t="str">
        <f t="shared" si="25"/>
        <v/>
      </c>
      <c r="Z136" s="58" t="str">
        <f t="shared" si="26"/>
        <v/>
      </c>
      <c r="AA136" s="62" t="str">
        <f>IF($B136="","",IF(OR(E136&lt;MinBF,X136=""),"",COUNTIFS($E$6:$E$255,"&gt;="&amp;MinBF,$X$6:$X$255,"&lt;"&amp;X136)+COUNTIFS($E$5:E135,"&gt;="&amp;MinBF,$X$5:X135,X136)+1))</f>
        <v/>
      </c>
    </row>
    <row r="137" spans="2:27" x14ac:dyDescent="0.2">
      <c r="B137" s="44" t="str">
        <f t="array" ref="B137">IFERROR(INDEX(pbp_Pitcher,MATCH(0,COUNTIF($B$5:B136,pbp_Pitcher)+(pbp_Pitcher=""),0)),"")</f>
        <v/>
      </c>
      <c r="C137" s="61" t="str">
        <f>IF($B137="","",IFERROR(INDEX(pbp_PitTeam,MATCH($B137,pbp_Pitcher,0)),""))</f>
        <v/>
      </c>
      <c r="D137" s="61" t="str">
        <f>IF($B137="","",IFERROR(INDEX(pbp_PitHand,MATCH($B137,pbp_Pitcher,0)),""))</f>
        <v/>
      </c>
      <c r="E137" s="42" t="str">
        <f>IF($B137="","",SUMPRODUCT(COUNTIFS(pbp_PlayType,EM_Type,pbp_Pitcher,$B137)*EM_PA))</f>
        <v/>
      </c>
      <c r="F137" s="42" t="str">
        <f>IF($B137="","",SUMIFS(pbp_Outs,pbp_Pitcher,$B137))</f>
        <v/>
      </c>
      <c r="G137" s="70" t="str">
        <f t="shared" si="18"/>
        <v/>
      </c>
      <c r="H137" s="42" t="str">
        <f>IF($B137="","",SUMPRODUCT(COUNTIFS(pbp_PlayType,EM_Type,pbp_Pitcher,$B137)*EM_H))</f>
        <v/>
      </c>
      <c r="I137" s="42" t="str">
        <f>IF($B137="","",SUMPRODUCT(COUNTIFS(pbp_PlayType,EM_Type,pbp_Pitcher,$B137)*EM_HR))</f>
        <v/>
      </c>
      <c r="J137" s="42" t="str">
        <f>IF($B137="","",SUMPRODUCT(COUNTIFS(pbp_PlayType,EM_Type,pbp_Pitcher,$B137)*EM_BB))</f>
        <v/>
      </c>
      <c r="K137" s="42" t="str">
        <f>IF($B137="","",SUMPRODUCT(COUNTIFS(pbp_PlayType,EM_Type,pbp_Pitcher,$B137)*EM_HBP))</f>
        <v/>
      </c>
      <c r="L137" s="42" t="str">
        <f>IF($B137="","",COUNTIFS(pbp_PlayType,"?*",pbp_Desc,"*struck out*",pbp_Pitcher,$B137))</f>
        <v/>
      </c>
      <c r="M137" s="42" t="str">
        <f>IF($B137="","",SUMIFS(pbp_Runs,pbp_Pitcher,$B137))</f>
        <v/>
      </c>
      <c r="N137" s="42" t="str">
        <f>IF($B137="","",SUMPRODUCT(COUNTIFS(pbp_PlayType,EM_Type,pbp_Pitcher,$B137)*EM_AB))</f>
        <v/>
      </c>
      <c r="O137" s="42" t="str">
        <f>IF($B137="","",SUMPRODUCT(COUNTIFS(pbp_PlayType,EM_Type,pbp_Pitcher,$B137)*EM_SF))</f>
        <v/>
      </c>
      <c r="P137" s="42" t="str">
        <f>IF($B137="","",SUMIFS(pbp_Pitches,pbp_Pitcher,$B137,pbp_PlayType,"?*"))</f>
        <v/>
      </c>
      <c r="Q137" s="60" t="str">
        <f t="shared" si="19"/>
        <v/>
      </c>
      <c r="R137" s="59" t="str">
        <f>IF($B137="","",IF(E137=0,"",1-SUMPRODUCT((pbp_Pitcher=$B137)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137)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37" s="59" t="str">
        <f>IF($B137="","",IF((SUMPRODUCT((pbp_Pitcher=$B137)*(LEN(pbp_PlayType)&gt;0)))=0,"",(SUMPRODUCT((pbp_Pitcher=$B137)*(LEN(pbp_PlayType)&gt;0)*ISNUMBER(MATCH(LEFT(TRIM(pbp_Seq)&amp;"/",FIND("/",TRIM(pbp_Seq)&amp;"/")-1),{"S","F","FT","FB","IN","MB","POS"},0))))/(SUMPRODUCT((pbp_Pitcher=$B137)*(LEN(pbp_PlayType)&gt;0)))))</f>
        <v/>
      </c>
      <c r="T137" s="59" t="str">
        <f t="shared" si="20"/>
        <v/>
      </c>
      <c r="U137" s="59" t="str">
        <f t="shared" si="21"/>
        <v/>
      </c>
      <c r="V137" s="59" t="str">
        <f t="shared" si="22"/>
        <v/>
      </c>
      <c r="W137" s="60" t="str">
        <f t="shared" si="23"/>
        <v/>
      </c>
      <c r="X137" s="60" t="str">
        <f t="shared" si="24"/>
        <v/>
      </c>
      <c r="Y137" s="58" t="str">
        <f t="shared" si="25"/>
        <v/>
      </c>
      <c r="Z137" s="58" t="str">
        <f t="shared" si="26"/>
        <v/>
      </c>
      <c r="AA137" s="62" t="str">
        <f>IF($B137="","",IF(OR(E137&lt;MinBF,X137=""),"",COUNTIFS($E$6:$E$255,"&gt;="&amp;MinBF,$X$6:$X$255,"&lt;"&amp;X137)+COUNTIFS($E$5:E136,"&gt;="&amp;MinBF,$X$5:X136,X137)+1))</f>
        <v/>
      </c>
    </row>
    <row r="138" spans="2:27" x14ac:dyDescent="0.2">
      <c r="B138" s="44" t="str">
        <f t="array" ref="B138">IFERROR(INDEX(pbp_Pitcher,MATCH(0,COUNTIF($B$5:B137,pbp_Pitcher)+(pbp_Pitcher=""),0)),"")</f>
        <v/>
      </c>
      <c r="C138" s="61" t="str">
        <f>IF($B138="","",IFERROR(INDEX(pbp_PitTeam,MATCH($B138,pbp_Pitcher,0)),""))</f>
        <v/>
      </c>
      <c r="D138" s="61" t="str">
        <f>IF($B138="","",IFERROR(INDEX(pbp_PitHand,MATCH($B138,pbp_Pitcher,0)),""))</f>
        <v/>
      </c>
      <c r="E138" s="42" t="str">
        <f>IF($B138="","",SUMPRODUCT(COUNTIFS(pbp_PlayType,EM_Type,pbp_Pitcher,$B138)*EM_PA))</f>
        <v/>
      </c>
      <c r="F138" s="42" t="str">
        <f>IF($B138="","",SUMIFS(pbp_Outs,pbp_Pitcher,$B138))</f>
        <v/>
      </c>
      <c r="G138" s="70" t="str">
        <f t="shared" si="18"/>
        <v/>
      </c>
      <c r="H138" s="42" t="str">
        <f>IF($B138="","",SUMPRODUCT(COUNTIFS(pbp_PlayType,EM_Type,pbp_Pitcher,$B138)*EM_H))</f>
        <v/>
      </c>
      <c r="I138" s="42" t="str">
        <f>IF($B138="","",SUMPRODUCT(COUNTIFS(pbp_PlayType,EM_Type,pbp_Pitcher,$B138)*EM_HR))</f>
        <v/>
      </c>
      <c r="J138" s="42" t="str">
        <f>IF($B138="","",SUMPRODUCT(COUNTIFS(pbp_PlayType,EM_Type,pbp_Pitcher,$B138)*EM_BB))</f>
        <v/>
      </c>
      <c r="K138" s="42" t="str">
        <f>IF($B138="","",SUMPRODUCT(COUNTIFS(pbp_PlayType,EM_Type,pbp_Pitcher,$B138)*EM_HBP))</f>
        <v/>
      </c>
      <c r="L138" s="42" t="str">
        <f>IF($B138="","",COUNTIFS(pbp_PlayType,"?*",pbp_Desc,"*struck out*",pbp_Pitcher,$B138))</f>
        <v/>
      </c>
      <c r="M138" s="42" t="str">
        <f>IF($B138="","",SUMIFS(pbp_Runs,pbp_Pitcher,$B138))</f>
        <v/>
      </c>
      <c r="N138" s="42" t="str">
        <f>IF($B138="","",SUMPRODUCT(COUNTIFS(pbp_PlayType,EM_Type,pbp_Pitcher,$B138)*EM_AB))</f>
        <v/>
      </c>
      <c r="O138" s="42" t="str">
        <f>IF($B138="","",SUMPRODUCT(COUNTIFS(pbp_PlayType,EM_Type,pbp_Pitcher,$B138)*EM_SF))</f>
        <v/>
      </c>
      <c r="P138" s="42" t="str">
        <f>IF($B138="","",SUMIFS(pbp_Pitches,pbp_Pitcher,$B138,pbp_PlayType,"?*"))</f>
        <v/>
      </c>
      <c r="Q138" s="60" t="str">
        <f t="shared" si="19"/>
        <v/>
      </c>
      <c r="R138" s="59" t="str">
        <f>IF($B138="","",IF(E138=0,"",1-SUMPRODUCT((pbp_Pitcher=$B138)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138)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38" s="59" t="str">
        <f>IF($B138="","",IF((SUMPRODUCT((pbp_Pitcher=$B138)*(LEN(pbp_PlayType)&gt;0)))=0,"",(SUMPRODUCT((pbp_Pitcher=$B138)*(LEN(pbp_PlayType)&gt;0)*ISNUMBER(MATCH(LEFT(TRIM(pbp_Seq)&amp;"/",FIND("/",TRIM(pbp_Seq)&amp;"/")-1),{"S","F","FT","FB","IN","MB","POS"},0))))/(SUMPRODUCT((pbp_Pitcher=$B138)*(LEN(pbp_PlayType)&gt;0)))))</f>
        <v/>
      </c>
      <c r="T138" s="59" t="str">
        <f t="shared" si="20"/>
        <v/>
      </c>
      <c r="U138" s="59" t="str">
        <f t="shared" si="21"/>
        <v/>
      </c>
      <c r="V138" s="59" t="str">
        <f t="shared" si="22"/>
        <v/>
      </c>
      <c r="W138" s="60" t="str">
        <f t="shared" si="23"/>
        <v/>
      </c>
      <c r="X138" s="60" t="str">
        <f t="shared" si="24"/>
        <v/>
      </c>
      <c r="Y138" s="58" t="str">
        <f t="shared" si="25"/>
        <v/>
      </c>
      <c r="Z138" s="58" t="str">
        <f t="shared" si="26"/>
        <v/>
      </c>
      <c r="AA138" s="62" t="str">
        <f>IF($B138="","",IF(OR(E138&lt;MinBF,X138=""),"",COUNTIFS($E$6:$E$255,"&gt;="&amp;MinBF,$X$6:$X$255,"&lt;"&amp;X138)+COUNTIFS($E$5:E137,"&gt;="&amp;MinBF,$X$5:X137,X138)+1))</f>
        <v/>
      </c>
    </row>
    <row r="139" spans="2:27" x14ac:dyDescent="0.2">
      <c r="B139" s="44" t="str">
        <f t="array" ref="B139">IFERROR(INDEX(pbp_Pitcher,MATCH(0,COUNTIF($B$5:B138,pbp_Pitcher)+(pbp_Pitcher=""),0)),"")</f>
        <v/>
      </c>
      <c r="C139" s="61" t="str">
        <f>IF($B139="","",IFERROR(INDEX(pbp_PitTeam,MATCH($B139,pbp_Pitcher,0)),""))</f>
        <v/>
      </c>
      <c r="D139" s="61" t="str">
        <f>IF($B139="","",IFERROR(INDEX(pbp_PitHand,MATCH($B139,pbp_Pitcher,0)),""))</f>
        <v/>
      </c>
      <c r="E139" s="42" t="str">
        <f>IF($B139="","",SUMPRODUCT(COUNTIFS(pbp_PlayType,EM_Type,pbp_Pitcher,$B139)*EM_PA))</f>
        <v/>
      </c>
      <c r="F139" s="42" t="str">
        <f>IF($B139="","",SUMIFS(pbp_Outs,pbp_Pitcher,$B139))</f>
        <v/>
      </c>
      <c r="G139" s="70" t="str">
        <f t="shared" si="18"/>
        <v/>
      </c>
      <c r="H139" s="42" t="str">
        <f>IF($B139="","",SUMPRODUCT(COUNTIFS(pbp_PlayType,EM_Type,pbp_Pitcher,$B139)*EM_H))</f>
        <v/>
      </c>
      <c r="I139" s="42" t="str">
        <f>IF($B139="","",SUMPRODUCT(COUNTIFS(pbp_PlayType,EM_Type,pbp_Pitcher,$B139)*EM_HR))</f>
        <v/>
      </c>
      <c r="J139" s="42" t="str">
        <f>IF($B139="","",SUMPRODUCT(COUNTIFS(pbp_PlayType,EM_Type,pbp_Pitcher,$B139)*EM_BB))</f>
        <v/>
      </c>
      <c r="K139" s="42" t="str">
        <f>IF($B139="","",SUMPRODUCT(COUNTIFS(pbp_PlayType,EM_Type,pbp_Pitcher,$B139)*EM_HBP))</f>
        <v/>
      </c>
      <c r="L139" s="42" t="str">
        <f>IF($B139="","",COUNTIFS(pbp_PlayType,"?*",pbp_Desc,"*struck out*",pbp_Pitcher,$B139))</f>
        <v/>
      </c>
      <c r="M139" s="42" t="str">
        <f>IF($B139="","",SUMIFS(pbp_Runs,pbp_Pitcher,$B139))</f>
        <v/>
      </c>
      <c r="N139" s="42" t="str">
        <f>IF($B139="","",SUMPRODUCT(COUNTIFS(pbp_PlayType,EM_Type,pbp_Pitcher,$B139)*EM_AB))</f>
        <v/>
      </c>
      <c r="O139" s="42" t="str">
        <f>IF($B139="","",SUMPRODUCT(COUNTIFS(pbp_PlayType,EM_Type,pbp_Pitcher,$B139)*EM_SF))</f>
        <v/>
      </c>
      <c r="P139" s="42" t="str">
        <f>IF($B139="","",SUMIFS(pbp_Pitches,pbp_Pitcher,$B139,pbp_PlayType,"?*"))</f>
        <v/>
      </c>
      <c r="Q139" s="60" t="str">
        <f t="shared" si="19"/>
        <v/>
      </c>
      <c r="R139" s="59" t="str">
        <f>IF($B139="","",IF(E139=0,"",1-SUMPRODUCT((pbp_Pitcher=$B139)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139)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39" s="59" t="str">
        <f>IF($B139="","",IF((SUMPRODUCT((pbp_Pitcher=$B139)*(LEN(pbp_PlayType)&gt;0)))=0,"",(SUMPRODUCT((pbp_Pitcher=$B139)*(LEN(pbp_PlayType)&gt;0)*ISNUMBER(MATCH(LEFT(TRIM(pbp_Seq)&amp;"/",FIND("/",TRIM(pbp_Seq)&amp;"/")-1),{"S","F","FT","FB","IN","MB","POS"},0))))/(SUMPRODUCT((pbp_Pitcher=$B139)*(LEN(pbp_PlayType)&gt;0)))))</f>
        <v/>
      </c>
      <c r="T139" s="59" t="str">
        <f t="shared" si="20"/>
        <v/>
      </c>
      <c r="U139" s="59" t="str">
        <f t="shared" si="21"/>
        <v/>
      </c>
      <c r="V139" s="59" t="str">
        <f t="shared" si="22"/>
        <v/>
      </c>
      <c r="W139" s="60" t="str">
        <f t="shared" si="23"/>
        <v/>
      </c>
      <c r="X139" s="60" t="str">
        <f t="shared" si="24"/>
        <v/>
      </c>
      <c r="Y139" s="58" t="str">
        <f t="shared" si="25"/>
        <v/>
      </c>
      <c r="Z139" s="58" t="str">
        <f t="shared" si="26"/>
        <v/>
      </c>
      <c r="AA139" s="62" t="str">
        <f>IF($B139="","",IF(OR(E139&lt;MinBF,X139=""),"",COUNTIFS($E$6:$E$255,"&gt;="&amp;MinBF,$X$6:$X$255,"&lt;"&amp;X139)+COUNTIFS($E$5:E138,"&gt;="&amp;MinBF,$X$5:X138,X139)+1))</f>
        <v/>
      </c>
    </row>
    <row r="140" spans="2:27" x14ac:dyDescent="0.2">
      <c r="B140" s="44" t="str">
        <f t="array" ref="B140">IFERROR(INDEX(pbp_Pitcher,MATCH(0,COUNTIF($B$5:B139,pbp_Pitcher)+(pbp_Pitcher=""),0)),"")</f>
        <v/>
      </c>
      <c r="C140" s="61" t="str">
        <f>IF($B140="","",IFERROR(INDEX(pbp_PitTeam,MATCH($B140,pbp_Pitcher,0)),""))</f>
        <v/>
      </c>
      <c r="D140" s="61" t="str">
        <f>IF($B140="","",IFERROR(INDEX(pbp_PitHand,MATCH($B140,pbp_Pitcher,0)),""))</f>
        <v/>
      </c>
      <c r="E140" s="42" t="str">
        <f>IF($B140="","",SUMPRODUCT(COUNTIFS(pbp_PlayType,EM_Type,pbp_Pitcher,$B140)*EM_PA))</f>
        <v/>
      </c>
      <c r="F140" s="42" t="str">
        <f>IF($B140="","",SUMIFS(pbp_Outs,pbp_Pitcher,$B140))</f>
        <v/>
      </c>
      <c r="G140" s="70" t="str">
        <f t="shared" si="18"/>
        <v/>
      </c>
      <c r="H140" s="42" t="str">
        <f>IF($B140="","",SUMPRODUCT(COUNTIFS(pbp_PlayType,EM_Type,pbp_Pitcher,$B140)*EM_H))</f>
        <v/>
      </c>
      <c r="I140" s="42" t="str">
        <f>IF($B140="","",SUMPRODUCT(COUNTIFS(pbp_PlayType,EM_Type,pbp_Pitcher,$B140)*EM_HR))</f>
        <v/>
      </c>
      <c r="J140" s="42" t="str">
        <f>IF($B140="","",SUMPRODUCT(COUNTIFS(pbp_PlayType,EM_Type,pbp_Pitcher,$B140)*EM_BB))</f>
        <v/>
      </c>
      <c r="K140" s="42" t="str">
        <f>IF($B140="","",SUMPRODUCT(COUNTIFS(pbp_PlayType,EM_Type,pbp_Pitcher,$B140)*EM_HBP))</f>
        <v/>
      </c>
      <c r="L140" s="42" t="str">
        <f>IF($B140="","",COUNTIFS(pbp_PlayType,"?*",pbp_Desc,"*struck out*",pbp_Pitcher,$B140))</f>
        <v/>
      </c>
      <c r="M140" s="42" t="str">
        <f>IF($B140="","",SUMIFS(pbp_Runs,pbp_Pitcher,$B140))</f>
        <v/>
      </c>
      <c r="N140" s="42" t="str">
        <f>IF($B140="","",SUMPRODUCT(COUNTIFS(pbp_PlayType,EM_Type,pbp_Pitcher,$B140)*EM_AB))</f>
        <v/>
      </c>
      <c r="O140" s="42" t="str">
        <f>IF($B140="","",SUMPRODUCT(COUNTIFS(pbp_PlayType,EM_Type,pbp_Pitcher,$B140)*EM_SF))</f>
        <v/>
      </c>
      <c r="P140" s="42" t="str">
        <f>IF($B140="","",SUMIFS(pbp_Pitches,pbp_Pitcher,$B140,pbp_PlayType,"?*"))</f>
        <v/>
      </c>
      <c r="Q140" s="60" t="str">
        <f t="shared" si="19"/>
        <v/>
      </c>
      <c r="R140" s="59" t="str">
        <f>IF($B140="","",IF(E140=0,"",1-SUMPRODUCT((pbp_Pitcher=$B140)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140)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40" s="59" t="str">
        <f>IF($B140="","",IF((SUMPRODUCT((pbp_Pitcher=$B140)*(LEN(pbp_PlayType)&gt;0)))=0,"",(SUMPRODUCT((pbp_Pitcher=$B140)*(LEN(pbp_PlayType)&gt;0)*ISNUMBER(MATCH(LEFT(TRIM(pbp_Seq)&amp;"/",FIND("/",TRIM(pbp_Seq)&amp;"/")-1),{"S","F","FT","FB","IN","MB","POS"},0))))/(SUMPRODUCT((pbp_Pitcher=$B140)*(LEN(pbp_PlayType)&gt;0)))))</f>
        <v/>
      </c>
      <c r="T140" s="59" t="str">
        <f t="shared" si="20"/>
        <v/>
      </c>
      <c r="U140" s="59" t="str">
        <f t="shared" si="21"/>
        <v/>
      </c>
      <c r="V140" s="59" t="str">
        <f t="shared" si="22"/>
        <v/>
      </c>
      <c r="W140" s="60" t="str">
        <f t="shared" si="23"/>
        <v/>
      </c>
      <c r="X140" s="60" t="str">
        <f t="shared" si="24"/>
        <v/>
      </c>
      <c r="Y140" s="58" t="str">
        <f t="shared" si="25"/>
        <v/>
      </c>
      <c r="Z140" s="58" t="str">
        <f t="shared" si="26"/>
        <v/>
      </c>
      <c r="AA140" s="62" t="str">
        <f>IF($B140="","",IF(OR(E140&lt;MinBF,X140=""),"",COUNTIFS($E$6:$E$255,"&gt;="&amp;MinBF,$X$6:$X$255,"&lt;"&amp;X140)+COUNTIFS($E$5:E139,"&gt;="&amp;MinBF,$X$5:X139,X140)+1))</f>
        <v/>
      </c>
    </row>
    <row r="141" spans="2:27" x14ac:dyDescent="0.2">
      <c r="B141" s="44" t="str">
        <f t="array" ref="B141">IFERROR(INDEX(pbp_Pitcher,MATCH(0,COUNTIF($B$5:B140,pbp_Pitcher)+(pbp_Pitcher=""),0)),"")</f>
        <v/>
      </c>
      <c r="C141" s="61" t="str">
        <f>IF($B141="","",IFERROR(INDEX(pbp_PitTeam,MATCH($B141,pbp_Pitcher,0)),""))</f>
        <v/>
      </c>
      <c r="D141" s="61" t="str">
        <f>IF($B141="","",IFERROR(INDEX(pbp_PitHand,MATCH($B141,pbp_Pitcher,0)),""))</f>
        <v/>
      </c>
      <c r="E141" s="42" t="str">
        <f>IF($B141="","",SUMPRODUCT(COUNTIFS(pbp_PlayType,EM_Type,pbp_Pitcher,$B141)*EM_PA))</f>
        <v/>
      </c>
      <c r="F141" s="42" t="str">
        <f>IF($B141="","",SUMIFS(pbp_Outs,pbp_Pitcher,$B141))</f>
        <v/>
      </c>
      <c r="G141" s="70" t="str">
        <f t="shared" si="18"/>
        <v/>
      </c>
      <c r="H141" s="42" t="str">
        <f>IF($B141="","",SUMPRODUCT(COUNTIFS(pbp_PlayType,EM_Type,pbp_Pitcher,$B141)*EM_H))</f>
        <v/>
      </c>
      <c r="I141" s="42" t="str">
        <f>IF($B141="","",SUMPRODUCT(COUNTIFS(pbp_PlayType,EM_Type,pbp_Pitcher,$B141)*EM_HR))</f>
        <v/>
      </c>
      <c r="J141" s="42" t="str">
        <f>IF($B141="","",SUMPRODUCT(COUNTIFS(pbp_PlayType,EM_Type,pbp_Pitcher,$B141)*EM_BB))</f>
        <v/>
      </c>
      <c r="K141" s="42" t="str">
        <f>IF($B141="","",SUMPRODUCT(COUNTIFS(pbp_PlayType,EM_Type,pbp_Pitcher,$B141)*EM_HBP))</f>
        <v/>
      </c>
      <c r="L141" s="42" t="str">
        <f>IF($B141="","",COUNTIFS(pbp_PlayType,"?*",pbp_Desc,"*struck out*",pbp_Pitcher,$B141))</f>
        <v/>
      </c>
      <c r="M141" s="42" t="str">
        <f>IF($B141="","",SUMIFS(pbp_Runs,pbp_Pitcher,$B141))</f>
        <v/>
      </c>
      <c r="N141" s="42" t="str">
        <f>IF($B141="","",SUMPRODUCT(COUNTIFS(pbp_PlayType,EM_Type,pbp_Pitcher,$B141)*EM_AB))</f>
        <v/>
      </c>
      <c r="O141" s="42" t="str">
        <f>IF($B141="","",SUMPRODUCT(COUNTIFS(pbp_PlayType,EM_Type,pbp_Pitcher,$B141)*EM_SF))</f>
        <v/>
      </c>
      <c r="P141" s="42" t="str">
        <f>IF($B141="","",SUMIFS(pbp_Pitches,pbp_Pitcher,$B141,pbp_PlayType,"?*"))</f>
        <v/>
      </c>
      <c r="Q141" s="60" t="str">
        <f t="shared" si="19"/>
        <v/>
      </c>
      <c r="R141" s="59" t="str">
        <f>IF($B141="","",IF(E141=0,"",1-SUMPRODUCT((pbp_Pitcher=$B141)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141)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41" s="59" t="str">
        <f>IF($B141="","",IF((SUMPRODUCT((pbp_Pitcher=$B141)*(LEN(pbp_PlayType)&gt;0)))=0,"",(SUMPRODUCT((pbp_Pitcher=$B141)*(LEN(pbp_PlayType)&gt;0)*ISNUMBER(MATCH(LEFT(TRIM(pbp_Seq)&amp;"/",FIND("/",TRIM(pbp_Seq)&amp;"/")-1),{"S","F","FT","FB","IN","MB","POS"},0))))/(SUMPRODUCT((pbp_Pitcher=$B141)*(LEN(pbp_PlayType)&gt;0)))))</f>
        <v/>
      </c>
      <c r="T141" s="59" t="str">
        <f t="shared" si="20"/>
        <v/>
      </c>
      <c r="U141" s="59" t="str">
        <f t="shared" si="21"/>
        <v/>
      </c>
      <c r="V141" s="59" t="str">
        <f t="shared" si="22"/>
        <v/>
      </c>
      <c r="W141" s="60" t="str">
        <f t="shared" si="23"/>
        <v/>
      </c>
      <c r="X141" s="60" t="str">
        <f t="shared" si="24"/>
        <v/>
      </c>
      <c r="Y141" s="58" t="str">
        <f t="shared" si="25"/>
        <v/>
      </c>
      <c r="Z141" s="58" t="str">
        <f t="shared" si="26"/>
        <v/>
      </c>
      <c r="AA141" s="62" t="str">
        <f>IF($B141="","",IF(OR(E141&lt;MinBF,X141=""),"",COUNTIFS($E$6:$E$255,"&gt;="&amp;MinBF,$X$6:$X$255,"&lt;"&amp;X141)+COUNTIFS($E$5:E140,"&gt;="&amp;MinBF,$X$5:X140,X141)+1))</f>
        <v/>
      </c>
    </row>
    <row r="142" spans="2:27" x14ac:dyDescent="0.2">
      <c r="B142" s="44" t="str">
        <f t="array" ref="B142">IFERROR(INDEX(pbp_Pitcher,MATCH(0,COUNTIF($B$5:B141,pbp_Pitcher)+(pbp_Pitcher=""),0)),"")</f>
        <v/>
      </c>
      <c r="C142" s="61" t="str">
        <f>IF($B142="","",IFERROR(INDEX(pbp_PitTeam,MATCH($B142,pbp_Pitcher,0)),""))</f>
        <v/>
      </c>
      <c r="D142" s="61" t="str">
        <f>IF($B142="","",IFERROR(INDEX(pbp_PitHand,MATCH($B142,pbp_Pitcher,0)),""))</f>
        <v/>
      </c>
      <c r="E142" s="42" t="str">
        <f>IF($B142="","",SUMPRODUCT(COUNTIFS(pbp_PlayType,EM_Type,pbp_Pitcher,$B142)*EM_PA))</f>
        <v/>
      </c>
      <c r="F142" s="42" t="str">
        <f>IF($B142="","",SUMIFS(pbp_Outs,pbp_Pitcher,$B142))</f>
        <v/>
      </c>
      <c r="G142" s="70" t="str">
        <f t="shared" si="18"/>
        <v/>
      </c>
      <c r="H142" s="42" t="str">
        <f>IF($B142="","",SUMPRODUCT(COUNTIFS(pbp_PlayType,EM_Type,pbp_Pitcher,$B142)*EM_H))</f>
        <v/>
      </c>
      <c r="I142" s="42" t="str">
        <f>IF($B142="","",SUMPRODUCT(COUNTIFS(pbp_PlayType,EM_Type,pbp_Pitcher,$B142)*EM_HR))</f>
        <v/>
      </c>
      <c r="J142" s="42" t="str">
        <f>IF($B142="","",SUMPRODUCT(COUNTIFS(pbp_PlayType,EM_Type,pbp_Pitcher,$B142)*EM_BB))</f>
        <v/>
      </c>
      <c r="K142" s="42" t="str">
        <f>IF($B142="","",SUMPRODUCT(COUNTIFS(pbp_PlayType,EM_Type,pbp_Pitcher,$B142)*EM_HBP))</f>
        <v/>
      </c>
      <c r="L142" s="42" t="str">
        <f>IF($B142="","",COUNTIFS(pbp_PlayType,"?*",pbp_Desc,"*struck out*",pbp_Pitcher,$B142))</f>
        <v/>
      </c>
      <c r="M142" s="42" t="str">
        <f>IF($B142="","",SUMIFS(pbp_Runs,pbp_Pitcher,$B142))</f>
        <v/>
      </c>
      <c r="N142" s="42" t="str">
        <f>IF($B142="","",SUMPRODUCT(COUNTIFS(pbp_PlayType,EM_Type,pbp_Pitcher,$B142)*EM_AB))</f>
        <v/>
      </c>
      <c r="O142" s="42" t="str">
        <f>IF($B142="","",SUMPRODUCT(COUNTIFS(pbp_PlayType,EM_Type,pbp_Pitcher,$B142)*EM_SF))</f>
        <v/>
      </c>
      <c r="P142" s="42" t="str">
        <f>IF($B142="","",SUMIFS(pbp_Pitches,pbp_Pitcher,$B142,pbp_PlayType,"?*"))</f>
        <v/>
      </c>
      <c r="Q142" s="60" t="str">
        <f t="shared" si="19"/>
        <v/>
      </c>
      <c r="R142" s="59" t="str">
        <f>IF($B142="","",IF(E142=0,"",1-SUMPRODUCT((pbp_Pitcher=$B142)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142)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42" s="59" t="str">
        <f>IF($B142="","",IF((SUMPRODUCT((pbp_Pitcher=$B142)*(LEN(pbp_PlayType)&gt;0)))=0,"",(SUMPRODUCT((pbp_Pitcher=$B142)*(LEN(pbp_PlayType)&gt;0)*ISNUMBER(MATCH(LEFT(TRIM(pbp_Seq)&amp;"/",FIND("/",TRIM(pbp_Seq)&amp;"/")-1),{"S","F","FT","FB","IN","MB","POS"},0))))/(SUMPRODUCT((pbp_Pitcher=$B142)*(LEN(pbp_PlayType)&gt;0)))))</f>
        <v/>
      </c>
      <c r="T142" s="59" t="str">
        <f t="shared" si="20"/>
        <v/>
      </c>
      <c r="U142" s="59" t="str">
        <f t="shared" si="21"/>
        <v/>
      </c>
      <c r="V142" s="59" t="str">
        <f t="shared" si="22"/>
        <v/>
      </c>
      <c r="W142" s="60" t="str">
        <f t="shared" si="23"/>
        <v/>
      </c>
      <c r="X142" s="60" t="str">
        <f t="shared" si="24"/>
        <v/>
      </c>
      <c r="Y142" s="58" t="str">
        <f t="shared" si="25"/>
        <v/>
      </c>
      <c r="Z142" s="58" t="str">
        <f t="shared" si="26"/>
        <v/>
      </c>
      <c r="AA142" s="62" t="str">
        <f>IF($B142="","",IF(OR(E142&lt;MinBF,X142=""),"",COUNTIFS($E$6:$E$255,"&gt;="&amp;MinBF,$X$6:$X$255,"&lt;"&amp;X142)+COUNTIFS($E$5:E141,"&gt;="&amp;MinBF,$X$5:X141,X142)+1))</f>
        <v/>
      </c>
    </row>
    <row r="143" spans="2:27" x14ac:dyDescent="0.2">
      <c r="B143" s="44" t="str">
        <f t="array" ref="B143">IFERROR(INDEX(pbp_Pitcher,MATCH(0,COUNTIF($B$5:B142,pbp_Pitcher)+(pbp_Pitcher=""),0)),"")</f>
        <v/>
      </c>
      <c r="C143" s="61" t="str">
        <f>IF($B143="","",IFERROR(INDEX(pbp_PitTeam,MATCH($B143,pbp_Pitcher,0)),""))</f>
        <v/>
      </c>
      <c r="D143" s="61" t="str">
        <f>IF($B143="","",IFERROR(INDEX(pbp_PitHand,MATCH($B143,pbp_Pitcher,0)),""))</f>
        <v/>
      </c>
      <c r="E143" s="42" t="str">
        <f>IF($B143="","",SUMPRODUCT(COUNTIFS(pbp_PlayType,EM_Type,pbp_Pitcher,$B143)*EM_PA))</f>
        <v/>
      </c>
      <c r="F143" s="42" t="str">
        <f>IF($B143="","",SUMIFS(pbp_Outs,pbp_Pitcher,$B143))</f>
        <v/>
      </c>
      <c r="G143" s="70" t="str">
        <f t="shared" si="18"/>
        <v/>
      </c>
      <c r="H143" s="42" t="str">
        <f>IF($B143="","",SUMPRODUCT(COUNTIFS(pbp_PlayType,EM_Type,pbp_Pitcher,$B143)*EM_H))</f>
        <v/>
      </c>
      <c r="I143" s="42" t="str">
        <f>IF($B143="","",SUMPRODUCT(COUNTIFS(pbp_PlayType,EM_Type,pbp_Pitcher,$B143)*EM_HR))</f>
        <v/>
      </c>
      <c r="J143" s="42" t="str">
        <f>IF($B143="","",SUMPRODUCT(COUNTIFS(pbp_PlayType,EM_Type,pbp_Pitcher,$B143)*EM_BB))</f>
        <v/>
      </c>
      <c r="K143" s="42" t="str">
        <f>IF($B143="","",SUMPRODUCT(COUNTIFS(pbp_PlayType,EM_Type,pbp_Pitcher,$B143)*EM_HBP))</f>
        <v/>
      </c>
      <c r="L143" s="42" t="str">
        <f>IF($B143="","",COUNTIFS(pbp_PlayType,"?*",pbp_Desc,"*struck out*",pbp_Pitcher,$B143))</f>
        <v/>
      </c>
      <c r="M143" s="42" t="str">
        <f>IF($B143="","",SUMIFS(pbp_Runs,pbp_Pitcher,$B143))</f>
        <v/>
      </c>
      <c r="N143" s="42" t="str">
        <f>IF($B143="","",SUMPRODUCT(COUNTIFS(pbp_PlayType,EM_Type,pbp_Pitcher,$B143)*EM_AB))</f>
        <v/>
      </c>
      <c r="O143" s="42" t="str">
        <f>IF($B143="","",SUMPRODUCT(COUNTIFS(pbp_PlayType,EM_Type,pbp_Pitcher,$B143)*EM_SF))</f>
        <v/>
      </c>
      <c r="P143" s="42" t="str">
        <f>IF($B143="","",SUMIFS(pbp_Pitches,pbp_Pitcher,$B143,pbp_PlayType,"?*"))</f>
        <v/>
      </c>
      <c r="Q143" s="60" t="str">
        <f t="shared" si="19"/>
        <v/>
      </c>
      <c r="R143" s="59" t="str">
        <f>IF($B143="","",IF(E143=0,"",1-SUMPRODUCT((pbp_Pitcher=$B143)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143)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43" s="59" t="str">
        <f>IF($B143="","",IF((SUMPRODUCT((pbp_Pitcher=$B143)*(LEN(pbp_PlayType)&gt;0)))=0,"",(SUMPRODUCT((pbp_Pitcher=$B143)*(LEN(pbp_PlayType)&gt;0)*ISNUMBER(MATCH(LEFT(TRIM(pbp_Seq)&amp;"/",FIND("/",TRIM(pbp_Seq)&amp;"/")-1),{"S","F","FT","FB","IN","MB","POS"},0))))/(SUMPRODUCT((pbp_Pitcher=$B143)*(LEN(pbp_PlayType)&gt;0)))))</f>
        <v/>
      </c>
      <c r="T143" s="59" t="str">
        <f t="shared" si="20"/>
        <v/>
      </c>
      <c r="U143" s="59" t="str">
        <f t="shared" si="21"/>
        <v/>
      </c>
      <c r="V143" s="59" t="str">
        <f t="shared" si="22"/>
        <v/>
      </c>
      <c r="W143" s="60" t="str">
        <f t="shared" si="23"/>
        <v/>
      </c>
      <c r="X143" s="60" t="str">
        <f t="shared" si="24"/>
        <v/>
      </c>
      <c r="Y143" s="58" t="str">
        <f t="shared" si="25"/>
        <v/>
      </c>
      <c r="Z143" s="58" t="str">
        <f t="shared" si="26"/>
        <v/>
      </c>
      <c r="AA143" s="62" t="str">
        <f>IF($B143="","",IF(OR(E143&lt;MinBF,X143=""),"",COUNTIFS($E$6:$E$255,"&gt;="&amp;MinBF,$X$6:$X$255,"&lt;"&amp;X143)+COUNTIFS($E$5:E142,"&gt;="&amp;MinBF,$X$5:X142,X143)+1))</f>
        <v/>
      </c>
    </row>
    <row r="144" spans="2:27" x14ac:dyDescent="0.2">
      <c r="B144" s="44" t="str">
        <f t="array" ref="B144">IFERROR(INDEX(pbp_Pitcher,MATCH(0,COUNTIF($B$5:B143,pbp_Pitcher)+(pbp_Pitcher=""),0)),"")</f>
        <v/>
      </c>
      <c r="C144" s="61" t="str">
        <f>IF($B144="","",IFERROR(INDEX(pbp_PitTeam,MATCH($B144,pbp_Pitcher,0)),""))</f>
        <v/>
      </c>
      <c r="D144" s="61" t="str">
        <f>IF($B144="","",IFERROR(INDEX(pbp_PitHand,MATCH($B144,pbp_Pitcher,0)),""))</f>
        <v/>
      </c>
      <c r="E144" s="42" t="str">
        <f>IF($B144="","",SUMPRODUCT(COUNTIFS(pbp_PlayType,EM_Type,pbp_Pitcher,$B144)*EM_PA))</f>
        <v/>
      </c>
      <c r="F144" s="42" t="str">
        <f>IF($B144="","",SUMIFS(pbp_Outs,pbp_Pitcher,$B144))</f>
        <v/>
      </c>
      <c r="G144" s="70" t="str">
        <f t="shared" si="18"/>
        <v/>
      </c>
      <c r="H144" s="42" t="str">
        <f>IF($B144="","",SUMPRODUCT(COUNTIFS(pbp_PlayType,EM_Type,pbp_Pitcher,$B144)*EM_H))</f>
        <v/>
      </c>
      <c r="I144" s="42" t="str">
        <f>IF($B144="","",SUMPRODUCT(COUNTIFS(pbp_PlayType,EM_Type,pbp_Pitcher,$B144)*EM_HR))</f>
        <v/>
      </c>
      <c r="J144" s="42" t="str">
        <f>IF($B144="","",SUMPRODUCT(COUNTIFS(pbp_PlayType,EM_Type,pbp_Pitcher,$B144)*EM_BB))</f>
        <v/>
      </c>
      <c r="K144" s="42" t="str">
        <f>IF($B144="","",SUMPRODUCT(COUNTIFS(pbp_PlayType,EM_Type,pbp_Pitcher,$B144)*EM_HBP))</f>
        <v/>
      </c>
      <c r="L144" s="42" t="str">
        <f>IF($B144="","",COUNTIFS(pbp_PlayType,"?*",pbp_Desc,"*struck out*",pbp_Pitcher,$B144))</f>
        <v/>
      </c>
      <c r="M144" s="42" t="str">
        <f>IF($B144="","",SUMIFS(pbp_Runs,pbp_Pitcher,$B144))</f>
        <v/>
      </c>
      <c r="N144" s="42" t="str">
        <f>IF($B144="","",SUMPRODUCT(COUNTIFS(pbp_PlayType,EM_Type,pbp_Pitcher,$B144)*EM_AB))</f>
        <v/>
      </c>
      <c r="O144" s="42" t="str">
        <f>IF($B144="","",SUMPRODUCT(COUNTIFS(pbp_PlayType,EM_Type,pbp_Pitcher,$B144)*EM_SF))</f>
        <v/>
      </c>
      <c r="P144" s="42" t="str">
        <f>IF($B144="","",SUMIFS(pbp_Pitches,pbp_Pitcher,$B144,pbp_PlayType,"?*"))</f>
        <v/>
      </c>
      <c r="Q144" s="60" t="str">
        <f t="shared" si="19"/>
        <v/>
      </c>
      <c r="R144" s="59" t="str">
        <f>IF($B144="","",IF(E144=0,"",1-SUMPRODUCT((pbp_Pitcher=$B144)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144)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44" s="59" t="str">
        <f>IF($B144="","",IF((SUMPRODUCT((pbp_Pitcher=$B144)*(LEN(pbp_PlayType)&gt;0)))=0,"",(SUMPRODUCT((pbp_Pitcher=$B144)*(LEN(pbp_PlayType)&gt;0)*ISNUMBER(MATCH(LEFT(TRIM(pbp_Seq)&amp;"/",FIND("/",TRIM(pbp_Seq)&amp;"/")-1),{"S","F","FT","FB","IN","MB","POS"},0))))/(SUMPRODUCT((pbp_Pitcher=$B144)*(LEN(pbp_PlayType)&gt;0)))))</f>
        <v/>
      </c>
      <c r="T144" s="59" t="str">
        <f t="shared" si="20"/>
        <v/>
      </c>
      <c r="U144" s="59" t="str">
        <f t="shared" si="21"/>
        <v/>
      </c>
      <c r="V144" s="59" t="str">
        <f t="shared" si="22"/>
        <v/>
      </c>
      <c r="W144" s="60" t="str">
        <f t="shared" si="23"/>
        <v/>
      </c>
      <c r="X144" s="60" t="str">
        <f t="shared" si="24"/>
        <v/>
      </c>
      <c r="Y144" s="58" t="str">
        <f t="shared" si="25"/>
        <v/>
      </c>
      <c r="Z144" s="58" t="str">
        <f t="shared" si="26"/>
        <v/>
      </c>
      <c r="AA144" s="62" t="str">
        <f>IF($B144="","",IF(OR(E144&lt;MinBF,X144=""),"",COUNTIFS($E$6:$E$255,"&gt;="&amp;MinBF,$X$6:$X$255,"&lt;"&amp;X144)+COUNTIFS($E$5:E143,"&gt;="&amp;MinBF,$X$5:X143,X144)+1))</f>
        <v/>
      </c>
    </row>
    <row r="145" spans="2:27" x14ac:dyDescent="0.2">
      <c r="B145" s="44" t="str">
        <f t="array" ref="B145">IFERROR(INDEX(pbp_Pitcher,MATCH(0,COUNTIF($B$5:B144,pbp_Pitcher)+(pbp_Pitcher=""),0)),"")</f>
        <v/>
      </c>
      <c r="C145" s="61" t="str">
        <f>IF($B145="","",IFERROR(INDEX(pbp_PitTeam,MATCH($B145,pbp_Pitcher,0)),""))</f>
        <v/>
      </c>
      <c r="D145" s="61" t="str">
        <f>IF($B145="","",IFERROR(INDEX(pbp_PitHand,MATCH($B145,pbp_Pitcher,0)),""))</f>
        <v/>
      </c>
      <c r="E145" s="42" t="str">
        <f>IF($B145="","",SUMPRODUCT(COUNTIFS(pbp_PlayType,EM_Type,pbp_Pitcher,$B145)*EM_PA))</f>
        <v/>
      </c>
      <c r="F145" s="42" t="str">
        <f>IF($B145="","",SUMIFS(pbp_Outs,pbp_Pitcher,$B145))</f>
        <v/>
      </c>
      <c r="G145" s="70" t="str">
        <f t="shared" si="18"/>
        <v/>
      </c>
      <c r="H145" s="42" t="str">
        <f>IF($B145="","",SUMPRODUCT(COUNTIFS(pbp_PlayType,EM_Type,pbp_Pitcher,$B145)*EM_H))</f>
        <v/>
      </c>
      <c r="I145" s="42" t="str">
        <f>IF($B145="","",SUMPRODUCT(COUNTIFS(pbp_PlayType,EM_Type,pbp_Pitcher,$B145)*EM_HR))</f>
        <v/>
      </c>
      <c r="J145" s="42" t="str">
        <f>IF($B145="","",SUMPRODUCT(COUNTIFS(pbp_PlayType,EM_Type,pbp_Pitcher,$B145)*EM_BB))</f>
        <v/>
      </c>
      <c r="K145" s="42" t="str">
        <f>IF($B145="","",SUMPRODUCT(COUNTIFS(pbp_PlayType,EM_Type,pbp_Pitcher,$B145)*EM_HBP))</f>
        <v/>
      </c>
      <c r="L145" s="42" t="str">
        <f>IF($B145="","",COUNTIFS(pbp_PlayType,"?*",pbp_Desc,"*struck out*",pbp_Pitcher,$B145))</f>
        <v/>
      </c>
      <c r="M145" s="42" t="str">
        <f>IF($B145="","",SUMIFS(pbp_Runs,pbp_Pitcher,$B145))</f>
        <v/>
      </c>
      <c r="N145" s="42" t="str">
        <f>IF($B145="","",SUMPRODUCT(COUNTIFS(pbp_PlayType,EM_Type,pbp_Pitcher,$B145)*EM_AB))</f>
        <v/>
      </c>
      <c r="O145" s="42" t="str">
        <f>IF($B145="","",SUMPRODUCT(COUNTIFS(pbp_PlayType,EM_Type,pbp_Pitcher,$B145)*EM_SF))</f>
        <v/>
      </c>
      <c r="P145" s="42" t="str">
        <f>IF($B145="","",SUMIFS(pbp_Pitches,pbp_Pitcher,$B145,pbp_PlayType,"?*"))</f>
        <v/>
      </c>
      <c r="Q145" s="60" t="str">
        <f t="shared" si="19"/>
        <v/>
      </c>
      <c r="R145" s="59" t="str">
        <f>IF($B145="","",IF(E145=0,"",1-SUMPRODUCT((pbp_Pitcher=$B145)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145)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45" s="59" t="str">
        <f>IF($B145="","",IF((SUMPRODUCT((pbp_Pitcher=$B145)*(LEN(pbp_PlayType)&gt;0)))=0,"",(SUMPRODUCT((pbp_Pitcher=$B145)*(LEN(pbp_PlayType)&gt;0)*ISNUMBER(MATCH(LEFT(TRIM(pbp_Seq)&amp;"/",FIND("/",TRIM(pbp_Seq)&amp;"/")-1),{"S","F","FT","FB","IN","MB","POS"},0))))/(SUMPRODUCT((pbp_Pitcher=$B145)*(LEN(pbp_PlayType)&gt;0)))))</f>
        <v/>
      </c>
      <c r="T145" s="59" t="str">
        <f t="shared" si="20"/>
        <v/>
      </c>
      <c r="U145" s="59" t="str">
        <f t="shared" si="21"/>
        <v/>
      </c>
      <c r="V145" s="59" t="str">
        <f t="shared" si="22"/>
        <v/>
      </c>
      <c r="W145" s="60" t="str">
        <f t="shared" si="23"/>
        <v/>
      </c>
      <c r="X145" s="60" t="str">
        <f t="shared" si="24"/>
        <v/>
      </c>
      <c r="Y145" s="58" t="str">
        <f t="shared" si="25"/>
        <v/>
      </c>
      <c r="Z145" s="58" t="str">
        <f t="shared" si="26"/>
        <v/>
      </c>
      <c r="AA145" s="62" t="str">
        <f>IF($B145="","",IF(OR(E145&lt;MinBF,X145=""),"",COUNTIFS($E$6:$E$255,"&gt;="&amp;MinBF,$X$6:$X$255,"&lt;"&amp;X145)+COUNTIFS($E$5:E144,"&gt;="&amp;MinBF,$X$5:X144,X145)+1))</f>
        <v/>
      </c>
    </row>
    <row r="146" spans="2:27" x14ac:dyDescent="0.2">
      <c r="B146" s="44" t="str">
        <f t="array" ref="B146">IFERROR(INDEX(pbp_Pitcher,MATCH(0,COUNTIF($B$5:B145,pbp_Pitcher)+(pbp_Pitcher=""),0)),"")</f>
        <v/>
      </c>
      <c r="C146" s="61" t="str">
        <f>IF($B146="","",IFERROR(INDEX(pbp_PitTeam,MATCH($B146,pbp_Pitcher,0)),""))</f>
        <v/>
      </c>
      <c r="D146" s="61" t="str">
        <f>IF($B146="","",IFERROR(INDEX(pbp_PitHand,MATCH($B146,pbp_Pitcher,0)),""))</f>
        <v/>
      </c>
      <c r="E146" s="42" t="str">
        <f>IF($B146="","",SUMPRODUCT(COUNTIFS(pbp_PlayType,EM_Type,pbp_Pitcher,$B146)*EM_PA))</f>
        <v/>
      </c>
      <c r="F146" s="42" t="str">
        <f>IF($B146="","",SUMIFS(pbp_Outs,pbp_Pitcher,$B146))</f>
        <v/>
      </c>
      <c r="G146" s="70" t="str">
        <f t="shared" si="18"/>
        <v/>
      </c>
      <c r="H146" s="42" t="str">
        <f>IF($B146="","",SUMPRODUCT(COUNTIFS(pbp_PlayType,EM_Type,pbp_Pitcher,$B146)*EM_H))</f>
        <v/>
      </c>
      <c r="I146" s="42" t="str">
        <f>IF($B146="","",SUMPRODUCT(COUNTIFS(pbp_PlayType,EM_Type,pbp_Pitcher,$B146)*EM_HR))</f>
        <v/>
      </c>
      <c r="J146" s="42" t="str">
        <f>IF($B146="","",SUMPRODUCT(COUNTIFS(pbp_PlayType,EM_Type,pbp_Pitcher,$B146)*EM_BB))</f>
        <v/>
      </c>
      <c r="K146" s="42" t="str">
        <f>IF($B146="","",SUMPRODUCT(COUNTIFS(pbp_PlayType,EM_Type,pbp_Pitcher,$B146)*EM_HBP))</f>
        <v/>
      </c>
      <c r="L146" s="42" t="str">
        <f>IF($B146="","",COUNTIFS(pbp_PlayType,"?*",pbp_Desc,"*struck out*",pbp_Pitcher,$B146))</f>
        <v/>
      </c>
      <c r="M146" s="42" t="str">
        <f>IF($B146="","",SUMIFS(pbp_Runs,pbp_Pitcher,$B146))</f>
        <v/>
      </c>
      <c r="N146" s="42" t="str">
        <f>IF($B146="","",SUMPRODUCT(COUNTIFS(pbp_PlayType,EM_Type,pbp_Pitcher,$B146)*EM_AB))</f>
        <v/>
      </c>
      <c r="O146" s="42" t="str">
        <f>IF($B146="","",SUMPRODUCT(COUNTIFS(pbp_PlayType,EM_Type,pbp_Pitcher,$B146)*EM_SF))</f>
        <v/>
      </c>
      <c r="P146" s="42" t="str">
        <f>IF($B146="","",SUMIFS(pbp_Pitches,pbp_Pitcher,$B146,pbp_PlayType,"?*"))</f>
        <v/>
      </c>
      <c r="Q146" s="60" t="str">
        <f t="shared" si="19"/>
        <v/>
      </c>
      <c r="R146" s="59" t="str">
        <f>IF($B146="","",IF(E146=0,"",1-SUMPRODUCT((pbp_Pitcher=$B146)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146)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46" s="59" t="str">
        <f>IF($B146="","",IF((SUMPRODUCT((pbp_Pitcher=$B146)*(LEN(pbp_PlayType)&gt;0)))=0,"",(SUMPRODUCT((pbp_Pitcher=$B146)*(LEN(pbp_PlayType)&gt;0)*ISNUMBER(MATCH(LEFT(TRIM(pbp_Seq)&amp;"/",FIND("/",TRIM(pbp_Seq)&amp;"/")-1),{"S","F","FT","FB","IN","MB","POS"},0))))/(SUMPRODUCT((pbp_Pitcher=$B146)*(LEN(pbp_PlayType)&gt;0)))))</f>
        <v/>
      </c>
      <c r="T146" s="59" t="str">
        <f t="shared" si="20"/>
        <v/>
      </c>
      <c r="U146" s="59" t="str">
        <f t="shared" si="21"/>
        <v/>
      </c>
      <c r="V146" s="59" t="str">
        <f t="shared" si="22"/>
        <v/>
      </c>
      <c r="W146" s="60" t="str">
        <f t="shared" si="23"/>
        <v/>
      </c>
      <c r="X146" s="60" t="str">
        <f t="shared" si="24"/>
        <v/>
      </c>
      <c r="Y146" s="58" t="str">
        <f t="shared" si="25"/>
        <v/>
      </c>
      <c r="Z146" s="58" t="str">
        <f t="shared" si="26"/>
        <v/>
      </c>
      <c r="AA146" s="62" t="str">
        <f>IF($B146="","",IF(OR(E146&lt;MinBF,X146=""),"",COUNTIFS($E$6:$E$255,"&gt;="&amp;MinBF,$X$6:$X$255,"&lt;"&amp;X146)+COUNTIFS($E$5:E145,"&gt;="&amp;MinBF,$X$5:X145,X146)+1))</f>
        <v/>
      </c>
    </row>
    <row r="147" spans="2:27" x14ac:dyDescent="0.2">
      <c r="B147" s="44" t="str">
        <f t="array" ref="B147">IFERROR(INDEX(pbp_Pitcher,MATCH(0,COUNTIF($B$5:B146,pbp_Pitcher)+(pbp_Pitcher=""),0)),"")</f>
        <v/>
      </c>
      <c r="C147" s="61" t="str">
        <f>IF($B147="","",IFERROR(INDEX(pbp_PitTeam,MATCH($B147,pbp_Pitcher,0)),""))</f>
        <v/>
      </c>
      <c r="D147" s="61" t="str">
        <f>IF($B147="","",IFERROR(INDEX(pbp_PitHand,MATCH($B147,pbp_Pitcher,0)),""))</f>
        <v/>
      </c>
      <c r="E147" s="42" t="str">
        <f>IF($B147="","",SUMPRODUCT(COUNTIFS(pbp_PlayType,EM_Type,pbp_Pitcher,$B147)*EM_PA))</f>
        <v/>
      </c>
      <c r="F147" s="42" t="str">
        <f>IF($B147="","",SUMIFS(pbp_Outs,pbp_Pitcher,$B147))</f>
        <v/>
      </c>
      <c r="G147" s="70" t="str">
        <f t="shared" si="18"/>
        <v/>
      </c>
      <c r="H147" s="42" t="str">
        <f>IF($B147="","",SUMPRODUCT(COUNTIFS(pbp_PlayType,EM_Type,pbp_Pitcher,$B147)*EM_H))</f>
        <v/>
      </c>
      <c r="I147" s="42" t="str">
        <f>IF($B147="","",SUMPRODUCT(COUNTIFS(pbp_PlayType,EM_Type,pbp_Pitcher,$B147)*EM_HR))</f>
        <v/>
      </c>
      <c r="J147" s="42" t="str">
        <f>IF($B147="","",SUMPRODUCT(COUNTIFS(pbp_PlayType,EM_Type,pbp_Pitcher,$B147)*EM_BB))</f>
        <v/>
      </c>
      <c r="K147" s="42" t="str">
        <f>IF($B147="","",SUMPRODUCT(COUNTIFS(pbp_PlayType,EM_Type,pbp_Pitcher,$B147)*EM_HBP))</f>
        <v/>
      </c>
      <c r="L147" s="42" t="str">
        <f>IF($B147="","",COUNTIFS(pbp_PlayType,"?*",pbp_Desc,"*struck out*",pbp_Pitcher,$B147))</f>
        <v/>
      </c>
      <c r="M147" s="42" t="str">
        <f>IF($B147="","",SUMIFS(pbp_Runs,pbp_Pitcher,$B147))</f>
        <v/>
      </c>
      <c r="N147" s="42" t="str">
        <f>IF($B147="","",SUMPRODUCT(COUNTIFS(pbp_PlayType,EM_Type,pbp_Pitcher,$B147)*EM_AB))</f>
        <v/>
      </c>
      <c r="O147" s="42" t="str">
        <f>IF($B147="","",SUMPRODUCT(COUNTIFS(pbp_PlayType,EM_Type,pbp_Pitcher,$B147)*EM_SF))</f>
        <v/>
      </c>
      <c r="P147" s="42" t="str">
        <f>IF($B147="","",SUMIFS(pbp_Pitches,pbp_Pitcher,$B147,pbp_PlayType,"?*"))</f>
        <v/>
      </c>
      <c r="Q147" s="60" t="str">
        <f t="shared" si="19"/>
        <v/>
      </c>
      <c r="R147" s="59" t="str">
        <f>IF($B147="","",IF(E147=0,"",1-SUMPRODUCT((pbp_Pitcher=$B147)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147)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47" s="59" t="str">
        <f>IF($B147="","",IF((SUMPRODUCT((pbp_Pitcher=$B147)*(LEN(pbp_PlayType)&gt;0)))=0,"",(SUMPRODUCT((pbp_Pitcher=$B147)*(LEN(pbp_PlayType)&gt;0)*ISNUMBER(MATCH(LEFT(TRIM(pbp_Seq)&amp;"/",FIND("/",TRIM(pbp_Seq)&amp;"/")-1),{"S","F","FT","FB","IN","MB","POS"},0))))/(SUMPRODUCT((pbp_Pitcher=$B147)*(LEN(pbp_PlayType)&gt;0)))))</f>
        <v/>
      </c>
      <c r="T147" s="59" t="str">
        <f t="shared" si="20"/>
        <v/>
      </c>
      <c r="U147" s="59" t="str">
        <f t="shared" si="21"/>
        <v/>
      </c>
      <c r="V147" s="59" t="str">
        <f t="shared" si="22"/>
        <v/>
      </c>
      <c r="W147" s="60" t="str">
        <f t="shared" si="23"/>
        <v/>
      </c>
      <c r="X147" s="60" t="str">
        <f t="shared" si="24"/>
        <v/>
      </c>
      <c r="Y147" s="58" t="str">
        <f t="shared" si="25"/>
        <v/>
      </c>
      <c r="Z147" s="58" t="str">
        <f t="shared" si="26"/>
        <v/>
      </c>
      <c r="AA147" s="62" t="str">
        <f>IF($B147="","",IF(OR(E147&lt;MinBF,X147=""),"",COUNTIFS($E$6:$E$255,"&gt;="&amp;MinBF,$X$6:$X$255,"&lt;"&amp;X147)+COUNTIFS($E$5:E146,"&gt;="&amp;MinBF,$X$5:X146,X147)+1))</f>
        <v/>
      </c>
    </row>
    <row r="148" spans="2:27" x14ac:dyDescent="0.2">
      <c r="B148" s="44" t="str">
        <f t="array" ref="B148">IFERROR(INDEX(pbp_Pitcher,MATCH(0,COUNTIF($B$5:B147,pbp_Pitcher)+(pbp_Pitcher=""),0)),"")</f>
        <v/>
      </c>
      <c r="C148" s="61" t="str">
        <f>IF($B148="","",IFERROR(INDEX(pbp_PitTeam,MATCH($B148,pbp_Pitcher,0)),""))</f>
        <v/>
      </c>
      <c r="D148" s="61" t="str">
        <f>IF($B148="","",IFERROR(INDEX(pbp_PitHand,MATCH($B148,pbp_Pitcher,0)),""))</f>
        <v/>
      </c>
      <c r="E148" s="42" t="str">
        <f>IF($B148="","",SUMPRODUCT(COUNTIFS(pbp_PlayType,EM_Type,pbp_Pitcher,$B148)*EM_PA))</f>
        <v/>
      </c>
      <c r="F148" s="42" t="str">
        <f>IF($B148="","",SUMIFS(pbp_Outs,pbp_Pitcher,$B148))</f>
        <v/>
      </c>
      <c r="G148" s="70" t="str">
        <f t="shared" si="18"/>
        <v/>
      </c>
      <c r="H148" s="42" t="str">
        <f>IF($B148="","",SUMPRODUCT(COUNTIFS(pbp_PlayType,EM_Type,pbp_Pitcher,$B148)*EM_H))</f>
        <v/>
      </c>
      <c r="I148" s="42" t="str">
        <f>IF($B148="","",SUMPRODUCT(COUNTIFS(pbp_PlayType,EM_Type,pbp_Pitcher,$B148)*EM_HR))</f>
        <v/>
      </c>
      <c r="J148" s="42" t="str">
        <f>IF($B148="","",SUMPRODUCT(COUNTIFS(pbp_PlayType,EM_Type,pbp_Pitcher,$B148)*EM_BB))</f>
        <v/>
      </c>
      <c r="K148" s="42" t="str">
        <f>IF($B148="","",SUMPRODUCT(COUNTIFS(pbp_PlayType,EM_Type,pbp_Pitcher,$B148)*EM_HBP))</f>
        <v/>
      </c>
      <c r="L148" s="42" t="str">
        <f>IF($B148="","",COUNTIFS(pbp_PlayType,"?*",pbp_Desc,"*struck out*",pbp_Pitcher,$B148))</f>
        <v/>
      </c>
      <c r="M148" s="42" t="str">
        <f>IF($B148="","",SUMIFS(pbp_Runs,pbp_Pitcher,$B148))</f>
        <v/>
      </c>
      <c r="N148" s="42" t="str">
        <f>IF($B148="","",SUMPRODUCT(COUNTIFS(pbp_PlayType,EM_Type,pbp_Pitcher,$B148)*EM_AB))</f>
        <v/>
      </c>
      <c r="O148" s="42" t="str">
        <f>IF($B148="","",SUMPRODUCT(COUNTIFS(pbp_PlayType,EM_Type,pbp_Pitcher,$B148)*EM_SF))</f>
        <v/>
      </c>
      <c r="P148" s="42" t="str">
        <f>IF($B148="","",SUMIFS(pbp_Pitches,pbp_Pitcher,$B148,pbp_PlayType,"?*"))</f>
        <v/>
      </c>
      <c r="Q148" s="60" t="str">
        <f t="shared" si="19"/>
        <v/>
      </c>
      <c r="R148" s="59" t="str">
        <f>IF($B148="","",IF(E148=0,"",1-SUMPRODUCT((pbp_Pitcher=$B148)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148)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48" s="59" t="str">
        <f>IF($B148="","",IF((SUMPRODUCT((pbp_Pitcher=$B148)*(LEN(pbp_PlayType)&gt;0)))=0,"",(SUMPRODUCT((pbp_Pitcher=$B148)*(LEN(pbp_PlayType)&gt;0)*ISNUMBER(MATCH(LEFT(TRIM(pbp_Seq)&amp;"/",FIND("/",TRIM(pbp_Seq)&amp;"/")-1),{"S","F","FT","FB","IN","MB","POS"},0))))/(SUMPRODUCT((pbp_Pitcher=$B148)*(LEN(pbp_PlayType)&gt;0)))))</f>
        <v/>
      </c>
      <c r="T148" s="59" t="str">
        <f t="shared" si="20"/>
        <v/>
      </c>
      <c r="U148" s="59" t="str">
        <f t="shared" si="21"/>
        <v/>
      </c>
      <c r="V148" s="59" t="str">
        <f t="shared" si="22"/>
        <v/>
      </c>
      <c r="W148" s="60" t="str">
        <f t="shared" si="23"/>
        <v/>
      </c>
      <c r="X148" s="60" t="str">
        <f t="shared" si="24"/>
        <v/>
      </c>
      <c r="Y148" s="58" t="str">
        <f t="shared" si="25"/>
        <v/>
      </c>
      <c r="Z148" s="58" t="str">
        <f t="shared" si="26"/>
        <v/>
      </c>
      <c r="AA148" s="62" t="str">
        <f>IF($B148="","",IF(OR(E148&lt;MinBF,X148=""),"",COUNTIFS($E$6:$E$255,"&gt;="&amp;MinBF,$X$6:$X$255,"&lt;"&amp;X148)+COUNTIFS($E$5:E147,"&gt;="&amp;MinBF,$X$5:X147,X148)+1))</f>
        <v/>
      </c>
    </row>
    <row r="149" spans="2:27" x14ac:dyDescent="0.2">
      <c r="B149" s="44" t="str">
        <f t="array" ref="B149">IFERROR(INDEX(pbp_Pitcher,MATCH(0,COUNTIF($B$5:B148,pbp_Pitcher)+(pbp_Pitcher=""),0)),"")</f>
        <v/>
      </c>
      <c r="C149" s="61" t="str">
        <f>IF($B149="","",IFERROR(INDEX(pbp_PitTeam,MATCH($B149,pbp_Pitcher,0)),""))</f>
        <v/>
      </c>
      <c r="D149" s="61" t="str">
        <f>IF($B149="","",IFERROR(INDEX(pbp_PitHand,MATCH($B149,pbp_Pitcher,0)),""))</f>
        <v/>
      </c>
      <c r="E149" s="42" t="str">
        <f>IF($B149="","",SUMPRODUCT(COUNTIFS(pbp_PlayType,EM_Type,pbp_Pitcher,$B149)*EM_PA))</f>
        <v/>
      </c>
      <c r="F149" s="42" t="str">
        <f>IF($B149="","",SUMIFS(pbp_Outs,pbp_Pitcher,$B149))</f>
        <v/>
      </c>
      <c r="G149" s="70" t="str">
        <f t="shared" si="18"/>
        <v/>
      </c>
      <c r="H149" s="42" t="str">
        <f>IF($B149="","",SUMPRODUCT(COUNTIFS(pbp_PlayType,EM_Type,pbp_Pitcher,$B149)*EM_H))</f>
        <v/>
      </c>
      <c r="I149" s="42" t="str">
        <f>IF($B149="","",SUMPRODUCT(COUNTIFS(pbp_PlayType,EM_Type,pbp_Pitcher,$B149)*EM_HR))</f>
        <v/>
      </c>
      <c r="J149" s="42" t="str">
        <f>IF($B149="","",SUMPRODUCT(COUNTIFS(pbp_PlayType,EM_Type,pbp_Pitcher,$B149)*EM_BB))</f>
        <v/>
      </c>
      <c r="K149" s="42" t="str">
        <f>IF($B149="","",SUMPRODUCT(COUNTIFS(pbp_PlayType,EM_Type,pbp_Pitcher,$B149)*EM_HBP))</f>
        <v/>
      </c>
      <c r="L149" s="42" t="str">
        <f>IF($B149="","",COUNTIFS(pbp_PlayType,"?*",pbp_Desc,"*struck out*",pbp_Pitcher,$B149))</f>
        <v/>
      </c>
      <c r="M149" s="42" t="str">
        <f>IF($B149="","",SUMIFS(pbp_Runs,pbp_Pitcher,$B149))</f>
        <v/>
      </c>
      <c r="N149" s="42" t="str">
        <f>IF($B149="","",SUMPRODUCT(COUNTIFS(pbp_PlayType,EM_Type,pbp_Pitcher,$B149)*EM_AB))</f>
        <v/>
      </c>
      <c r="O149" s="42" t="str">
        <f>IF($B149="","",SUMPRODUCT(COUNTIFS(pbp_PlayType,EM_Type,pbp_Pitcher,$B149)*EM_SF))</f>
        <v/>
      </c>
      <c r="P149" s="42" t="str">
        <f>IF($B149="","",SUMIFS(pbp_Pitches,pbp_Pitcher,$B149,pbp_PlayType,"?*"))</f>
        <v/>
      </c>
      <c r="Q149" s="60" t="str">
        <f t="shared" si="19"/>
        <v/>
      </c>
      <c r="R149" s="59" t="str">
        <f>IF($B149="","",IF(E149=0,"",1-SUMPRODUCT((pbp_Pitcher=$B149)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149)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49" s="59" t="str">
        <f>IF($B149="","",IF((SUMPRODUCT((pbp_Pitcher=$B149)*(LEN(pbp_PlayType)&gt;0)))=0,"",(SUMPRODUCT((pbp_Pitcher=$B149)*(LEN(pbp_PlayType)&gt;0)*ISNUMBER(MATCH(LEFT(TRIM(pbp_Seq)&amp;"/",FIND("/",TRIM(pbp_Seq)&amp;"/")-1),{"S","F","FT","FB","IN","MB","POS"},0))))/(SUMPRODUCT((pbp_Pitcher=$B149)*(LEN(pbp_PlayType)&gt;0)))))</f>
        <v/>
      </c>
      <c r="T149" s="59" t="str">
        <f t="shared" si="20"/>
        <v/>
      </c>
      <c r="U149" s="59" t="str">
        <f t="shared" si="21"/>
        <v/>
      </c>
      <c r="V149" s="59" t="str">
        <f t="shared" si="22"/>
        <v/>
      </c>
      <c r="W149" s="60" t="str">
        <f t="shared" si="23"/>
        <v/>
      </c>
      <c r="X149" s="60" t="str">
        <f t="shared" si="24"/>
        <v/>
      </c>
      <c r="Y149" s="58" t="str">
        <f t="shared" si="25"/>
        <v/>
      </c>
      <c r="Z149" s="58" t="str">
        <f t="shared" si="26"/>
        <v/>
      </c>
      <c r="AA149" s="62" t="str">
        <f>IF($B149="","",IF(OR(E149&lt;MinBF,X149=""),"",COUNTIFS($E$6:$E$255,"&gt;="&amp;MinBF,$X$6:$X$255,"&lt;"&amp;X149)+COUNTIFS($E$5:E148,"&gt;="&amp;MinBF,$X$5:X148,X149)+1))</f>
        <v/>
      </c>
    </row>
    <row r="150" spans="2:27" x14ac:dyDescent="0.2">
      <c r="B150" s="44" t="str">
        <f t="array" ref="B150">IFERROR(INDEX(pbp_Pitcher,MATCH(0,COUNTIF($B$5:B149,pbp_Pitcher)+(pbp_Pitcher=""),0)),"")</f>
        <v/>
      </c>
      <c r="C150" s="61" t="str">
        <f>IF($B150="","",IFERROR(INDEX(pbp_PitTeam,MATCH($B150,pbp_Pitcher,0)),""))</f>
        <v/>
      </c>
      <c r="D150" s="61" t="str">
        <f>IF($B150="","",IFERROR(INDEX(pbp_PitHand,MATCH($B150,pbp_Pitcher,0)),""))</f>
        <v/>
      </c>
      <c r="E150" s="42" t="str">
        <f>IF($B150="","",SUMPRODUCT(COUNTIFS(pbp_PlayType,EM_Type,pbp_Pitcher,$B150)*EM_PA))</f>
        <v/>
      </c>
      <c r="F150" s="42" t="str">
        <f>IF($B150="","",SUMIFS(pbp_Outs,pbp_Pitcher,$B150))</f>
        <v/>
      </c>
      <c r="G150" s="70" t="str">
        <f t="shared" si="18"/>
        <v/>
      </c>
      <c r="H150" s="42" t="str">
        <f>IF($B150="","",SUMPRODUCT(COUNTIFS(pbp_PlayType,EM_Type,pbp_Pitcher,$B150)*EM_H))</f>
        <v/>
      </c>
      <c r="I150" s="42" t="str">
        <f>IF($B150="","",SUMPRODUCT(COUNTIFS(pbp_PlayType,EM_Type,pbp_Pitcher,$B150)*EM_HR))</f>
        <v/>
      </c>
      <c r="J150" s="42" t="str">
        <f>IF($B150="","",SUMPRODUCT(COUNTIFS(pbp_PlayType,EM_Type,pbp_Pitcher,$B150)*EM_BB))</f>
        <v/>
      </c>
      <c r="K150" s="42" t="str">
        <f>IF($B150="","",SUMPRODUCT(COUNTIFS(pbp_PlayType,EM_Type,pbp_Pitcher,$B150)*EM_HBP))</f>
        <v/>
      </c>
      <c r="L150" s="42" t="str">
        <f>IF($B150="","",COUNTIFS(pbp_PlayType,"?*",pbp_Desc,"*struck out*",pbp_Pitcher,$B150))</f>
        <v/>
      </c>
      <c r="M150" s="42" t="str">
        <f>IF($B150="","",SUMIFS(pbp_Runs,pbp_Pitcher,$B150))</f>
        <v/>
      </c>
      <c r="N150" s="42" t="str">
        <f>IF($B150="","",SUMPRODUCT(COUNTIFS(pbp_PlayType,EM_Type,pbp_Pitcher,$B150)*EM_AB))</f>
        <v/>
      </c>
      <c r="O150" s="42" t="str">
        <f>IF($B150="","",SUMPRODUCT(COUNTIFS(pbp_PlayType,EM_Type,pbp_Pitcher,$B150)*EM_SF))</f>
        <v/>
      </c>
      <c r="P150" s="42" t="str">
        <f>IF($B150="","",SUMIFS(pbp_Pitches,pbp_Pitcher,$B150,pbp_PlayType,"?*"))</f>
        <v/>
      </c>
      <c r="Q150" s="60" t="str">
        <f t="shared" si="19"/>
        <v/>
      </c>
      <c r="R150" s="59" t="str">
        <f>IF($B150="","",IF(E150=0,"",1-SUMPRODUCT((pbp_Pitcher=$B150)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150)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50" s="59" t="str">
        <f>IF($B150="","",IF((SUMPRODUCT((pbp_Pitcher=$B150)*(LEN(pbp_PlayType)&gt;0)))=0,"",(SUMPRODUCT((pbp_Pitcher=$B150)*(LEN(pbp_PlayType)&gt;0)*ISNUMBER(MATCH(LEFT(TRIM(pbp_Seq)&amp;"/",FIND("/",TRIM(pbp_Seq)&amp;"/")-1),{"S","F","FT","FB","IN","MB","POS"},0))))/(SUMPRODUCT((pbp_Pitcher=$B150)*(LEN(pbp_PlayType)&gt;0)))))</f>
        <v/>
      </c>
      <c r="T150" s="59" t="str">
        <f t="shared" si="20"/>
        <v/>
      </c>
      <c r="U150" s="59" t="str">
        <f t="shared" si="21"/>
        <v/>
      </c>
      <c r="V150" s="59" t="str">
        <f t="shared" si="22"/>
        <v/>
      </c>
      <c r="W150" s="60" t="str">
        <f t="shared" si="23"/>
        <v/>
      </c>
      <c r="X150" s="60" t="str">
        <f t="shared" si="24"/>
        <v/>
      </c>
      <c r="Y150" s="58" t="str">
        <f t="shared" si="25"/>
        <v/>
      </c>
      <c r="Z150" s="58" t="str">
        <f t="shared" si="26"/>
        <v/>
      </c>
      <c r="AA150" s="62" t="str">
        <f>IF($B150="","",IF(OR(E150&lt;MinBF,X150=""),"",COUNTIFS($E$6:$E$255,"&gt;="&amp;MinBF,$X$6:$X$255,"&lt;"&amp;X150)+COUNTIFS($E$5:E149,"&gt;="&amp;MinBF,$X$5:X149,X150)+1))</f>
        <v/>
      </c>
    </row>
    <row r="151" spans="2:27" x14ac:dyDescent="0.2">
      <c r="B151" s="44" t="str">
        <f t="array" ref="B151">IFERROR(INDEX(pbp_Pitcher,MATCH(0,COUNTIF($B$5:B150,pbp_Pitcher)+(pbp_Pitcher=""),0)),"")</f>
        <v/>
      </c>
      <c r="C151" s="61" t="str">
        <f>IF($B151="","",IFERROR(INDEX(pbp_PitTeam,MATCH($B151,pbp_Pitcher,0)),""))</f>
        <v/>
      </c>
      <c r="D151" s="61" t="str">
        <f>IF($B151="","",IFERROR(INDEX(pbp_PitHand,MATCH($B151,pbp_Pitcher,0)),""))</f>
        <v/>
      </c>
      <c r="E151" s="42" t="str">
        <f>IF($B151="","",SUMPRODUCT(COUNTIFS(pbp_PlayType,EM_Type,pbp_Pitcher,$B151)*EM_PA))</f>
        <v/>
      </c>
      <c r="F151" s="42" t="str">
        <f>IF($B151="","",SUMIFS(pbp_Outs,pbp_Pitcher,$B151))</f>
        <v/>
      </c>
      <c r="G151" s="70" t="str">
        <f t="shared" si="18"/>
        <v/>
      </c>
      <c r="H151" s="42" t="str">
        <f>IF($B151="","",SUMPRODUCT(COUNTIFS(pbp_PlayType,EM_Type,pbp_Pitcher,$B151)*EM_H))</f>
        <v/>
      </c>
      <c r="I151" s="42" t="str">
        <f>IF($B151="","",SUMPRODUCT(COUNTIFS(pbp_PlayType,EM_Type,pbp_Pitcher,$B151)*EM_HR))</f>
        <v/>
      </c>
      <c r="J151" s="42" t="str">
        <f>IF($B151="","",SUMPRODUCT(COUNTIFS(pbp_PlayType,EM_Type,pbp_Pitcher,$B151)*EM_BB))</f>
        <v/>
      </c>
      <c r="K151" s="42" t="str">
        <f>IF($B151="","",SUMPRODUCT(COUNTIFS(pbp_PlayType,EM_Type,pbp_Pitcher,$B151)*EM_HBP))</f>
        <v/>
      </c>
      <c r="L151" s="42" t="str">
        <f>IF($B151="","",COUNTIFS(pbp_PlayType,"?*",pbp_Desc,"*struck out*",pbp_Pitcher,$B151))</f>
        <v/>
      </c>
      <c r="M151" s="42" t="str">
        <f>IF($B151="","",SUMIFS(pbp_Runs,pbp_Pitcher,$B151))</f>
        <v/>
      </c>
      <c r="N151" s="42" t="str">
        <f>IF($B151="","",SUMPRODUCT(COUNTIFS(pbp_PlayType,EM_Type,pbp_Pitcher,$B151)*EM_AB))</f>
        <v/>
      </c>
      <c r="O151" s="42" t="str">
        <f>IF($B151="","",SUMPRODUCT(COUNTIFS(pbp_PlayType,EM_Type,pbp_Pitcher,$B151)*EM_SF))</f>
        <v/>
      </c>
      <c r="P151" s="42" t="str">
        <f>IF($B151="","",SUMIFS(pbp_Pitches,pbp_Pitcher,$B151,pbp_PlayType,"?*"))</f>
        <v/>
      </c>
      <c r="Q151" s="60" t="str">
        <f t="shared" si="19"/>
        <v/>
      </c>
      <c r="R151" s="59" t="str">
        <f>IF($B151="","",IF(E151=0,"",1-SUMPRODUCT((pbp_Pitcher=$B151)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151)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51" s="59" t="str">
        <f>IF($B151="","",IF((SUMPRODUCT((pbp_Pitcher=$B151)*(LEN(pbp_PlayType)&gt;0)))=0,"",(SUMPRODUCT((pbp_Pitcher=$B151)*(LEN(pbp_PlayType)&gt;0)*ISNUMBER(MATCH(LEFT(TRIM(pbp_Seq)&amp;"/",FIND("/",TRIM(pbp_Seq)&amp;"/")-1),{"S","F","FT","FB","IN","MB","POS"},0))))/(SUMPRODUCT((pbp_Pitcher=$B151)*(LEN(pbp_PlayType)&gt;0)))))</f>
        <v/>
      </c>
      <c r="T151" s="59" t="str">
        <f t="shared" si="20"/>
        <v/>
      </c>
      <c r="U151" s="59" t="str">
        <f t="shared" si="21"/>
        <v/>
      </c>
      <c r="V151" s="59" t="str">
        <f t="shared" si="22"/>
        <v/>
      </c>
      <c r="W151" s="60" t="str">
        <f t="shared" si="23"/>
        <v/>
      </c>
      <c r="X151" s="60" t="str">
        <f t="shared" si="24"/>
        <v/>
      </c>
      <c r="Y151" s="58" t="str">
        <f t="shared" si="25"/>
        <v/>
      </c>
      <c r="Z151" s="58" t="str">
        <f t="shared" si="26"/>
        <v/>
      </c>
      <c r="AA151" s="62" t="str">
        <f>IF($B151="","",IF(OR(E151&lt;MinBF,X151=""),"",COUNTIFS($E$6:$E$255,"&gt;="&amp;MinBF,$X$6:$X$255,"&lt;"&amp;X151)+COUNTIFS($E$5:E150,"&gt;="&amp;MinBF,$X$5:X150,X151)+1))</f>
        <v/>
      </c>
    </row>
    <row r="152" spans="2:27" x14ac:dyDescent="0.2">
      <c r="B152" s="44" t="str">
        <f t="array" ref="B152">IFERROR(INDEX(pbp_Pitcher,MATCH(0,COUNTIF($B$5:B151,pbp_Pitcher)+(pbp_Pitcher=""),0)),"")</f>
        <v/>
      </c>
      <c r="C152" s="61" t="str">
        <f>IF($B152="","",IFERROR(INDEX(pbp_PitTeam,MATCH($B152,pbp_Pitcher,0)),""))</f>
        <v/>
      </c>
      <c r="D152" s="61" t="str">
        <f>IF($B152="","",IFERROR(INDEX(pbp_PitHand,MATCH($B152,pbp_Pitcher,0)),""))</f>
        <v/>
      </c>
      <c r="E152" s="42" t="str">
        <f>IF($B152="","",SUMPRODUCT(COUNTIFS(pbp_PlayType,EM_Type,pbp_Pitcher,$B152)*EM_PA))</f>
        <v/>
      </c>
      <c r="F152" s="42" t="str">
        <f>IF($B152="","",SUMIFS(pbp_Outs,pbp_Pitcher,$B152))</f>
        <v/>
      </c>
      <c r="G152" s="70" t="str">
        <f t="shared" si="18"/>
        <v/>
      </c>
      <c r="H152" s="42" t="str">
        <f>IF($B152="","",SUMPRODUCT(COUNTIFS(pbp_PlayType,EM_Type,pbp_Pitcher,$B152)*EM_H))</f>
        <v/>
      </c>
      <c r="I152" s="42" t="str">
        <f>IF($B152="","",SUMPRODUCT(COUNTIFS(pbp_PlayType,EM_Type,pbp_Pitcher,$B152)*EM_HR))</f>
        <v/>
      </c>
      <c r="J152" s="42" t="str">
        <f>IF($B152="","",SUMPRODUCT(COUNTIFS(pbp_PlayType,EM_Type,pbp_Pitcher,$B152)*EM_BB))</f>
        <v/>
      </c>
      <c r="K152" s="42" t="str">
        <f>IF($B152="","",SUMPRODUCT(COUNTIFS(pbp_PlayType,EM_Type,pbp_Pitcher,$B152)*EM_HBP))</f>
        <v/>
      </c>
      <c r="L152" s="42" t="str">
        <f>IF($B152="","",COUNTIFS(pbp_PlayType,"?*",pbp_Desc,"*struck out*",pbp_Pitcher,$B152))</f>
        <v/>
      </c>
      <c r="M152" s="42" t="str">
        <f>IF($B152="","",SUMIFS(pbp_Runs,pbp_Pitcher,$B152))</f>
        <v/>
      </c>
      <c r="N152" s="42" t="str">
        <f>IF($B152="","",SUMPRODUCT(COUNTIFS(pbp_PlayType,EM_Type,pbp_Pitcher,$B152)*EM_AB))</f>
        <v/>
      </c>
      <c r="O152" s="42" t="str">
        <f>IF($B152="","",SUMPRODUCT(COUNTIFS(pbp_PlayType,EM_Type,pbp_Pitcher,$B152)*EM_SF))</f>
        <v/>
      </c>
      <c r="P152" s="42" t="str">
        <f>IF($B152="","",SUMIFS(pbp_Pitches,pbp_Pitcher,$B152,pbp_PlayType,"?*"))</f>
        <v/>
      </c>
      <c r="Q152" s="60" t="str">
        <f t="shared" si="19"/>
        <v/>
      </c>
      <c r="R152" s="59" t="str">
        <f>IF($B152="","",IF(E152=0,"",1-SUMPRODUCT((pbp_Pitcher=$B152)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152)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52" s="59" t="str">
        <f>IF($B152="","",IF((SUMPRODUCT((pbp_Pitcher=$B152)*(LEN(pbp_PlayType)&gt;0)))=0,"",(SUMPRODUCT((pbp_Pitcher=$B152)*(LEN(pbp_PlayType)&gt;0)*ISNUMBER(MATCH(LEFT(TRIM(pbp_Seq)&amp;"/",FIND("/",TRIM(pbp_Seq)&amp;"/")-1),{"S","F","FT","FB","IN","MB","POS"},0))))/(SUMPRODUCT((pbp_Pitcher=$B152)*(LEN(pbp_PlayType)&gt;0)))))</f>
        <v/>
      </c>
      <c r="T152" s="59" t="str">
        <f t="shared" si="20"/>
        <v/>
      </c>
      <c r="U152" s="59" t="str">
        <f t="shared" si="21"/>
        <v/>
      </c>
      <c r="V152" s="59" t="str">
        <f t="shared" si="22"/>
        <v/>
      </c>
      <c r="W152" s="60" t="str">
        <f t="shared" si="23"/>
        <v/>
      </c>
      <c r="X152" s="60" t="str">
        <f t="shared" si="24"/>
        <v/>
      </c>
      <c r="Y152" s="58" t="str">
        <f t="shared" si="25"/>
        <v/>
      </c>
      <c r="Z152" s="58" t="str">
        <f t="shared" si="26"/>
        <v/>
      </c>
      <c r="AA152" s="62" t="str">
        <f>IF($B152="","",IF(OR(E152&lt;MinBF,X152=""),"",COUNTIFS($E$6:$E$255,"&gt;="&amp;MinBF,$X$6:$X$255,"&lt;"&amp;X152)+COUNTIFS($E$5:E151,"&gt;="&amp;MinBF,$X$5:X151,X152)+1))</f>
        <v/>
      </c>
    </row>
    <row r="153" spans="2:27" x14ac:dyDescent="0.2">
      <c r="B153" s="44" t="str">
        <f t="array" ref="B153">IFERROR(INDEX(pbp_Pitcher,MATCH(0,COUNTIF($B$5:B152,pbp_Pitcher)+(pbp_Pitcher=""),0)),"")</f>
        <v/>
      </c>
      <c r="C153" s="61" t="str">
        <f>IF($B153="","",IFERROR(INDEX(pbp_PitTeam,MATCH($B153,pbp_Pitcher,0)),""))</f>
        <v/>
      </c>
      <c r="D153" s="61" t="str">
        <f>IF($B153="","",IFERROR(INDEX(pbp_PitHand,MATCH($B153,pbp_Pitcher,0)),""))</f>
        <v/>
      </c>
      <c r="E153" s="42" t="str">
        <f>IF($B153="","",SUMPRODUCT(COUNTIFS(pbp_PlayType,EM_Type,pbp_Pitcher,$B153)*EM_PA))</f>
        <v/>
      </c>
      <c r="F153" s="42" t="str">
        <f>IF($B153="","",SUMIFS(pbp_Outs,pbp_Pitcher,$B153))</f>
        <v/>
      </c>
      <c r="G153" s="70" t="str">
        <f t="shared" si="18"/>
        <v/>
      </c>
      <c r="H153" s="42" t="str">
        <f>IF($B153="","",SUMPRODUCT(COUNTIFS(pbp_PlayType,EM_Type,pbp_Pitcher,$B153)*EM_H))</f>
        <v/>
      </c>
      <c r="I153" s="42" t="str">
        <f>IF($B153="","",SUMPRODUCT(COUNTIFS(pbp_PlayType,EM_Type,pbp_Pitcher,$B153)*EM_HR))</f>
        <v/>
      </c>
      <c r="J153" s="42" t="str">
        <f>IF($B153="","",SUMPRODUCT(COUNTIFS(pbp_PlayType,EM_Type,pbp_Pitcher,$B153)*EM_BB))</f>
        <v/>
      </c>
      <c r="K153" s="42" t="str">
        <f>IF($B153="","",SUMPRODUCT(COUNTIFS(pbp_PlayType,EM_Type,pbp_Pitcher,$B153)*EM_HBP))</f>
        <v/>
      </c>
      <c r="L153" s="42" t="str">
        <f>IF($B153="","",COUNTIFS(pbp_PlayType,"?*",pbp_Desc,"*struck out*",pbp_Pitcher,$B153))</f>
        <v/>
      </c>
      <c r="M153" s="42" t="str">
        <f>IF($B153="","",SUMIFS(pbp_Runs,pbp_Pitcher,$B153))</f>
        <v/>
      </c>
      <c r="N153" s="42" t="str">
        <f>IF($B153="","",SUMPRODUCT(COUNTIFS(pbp_PlayType,EM_Type,pbp_Pitcher,$B153)*EM_AB))</f>
        <v/>
      </c>
      <c r="O153" s="42" t="str">
        <f>IF($B153="","",SUMPRODUCT(COUNTIFS(pbp_PlayType,EM_Type,pbp_Pitcher,$B153)*EM_SF))</f>
        <v/>
      </c>
      <c r="P153" s="42" t="str">
        <f>IF($B153="","",SUMIFS(pbp_Pitches,pbp_Pitcher,$B153,pbp_PlayType,"?*"))</f>
        <v/>
      </c>
      <c r="Q153" s="60" t="str">
        <f t="shared" si="19"/>
        <v/>
      </c>
      <c r="R153" s="59" t="str">
        <f>IF($B153="","",IF(E153=0,"",1-SUMPRODUCT((pbp_Pitcher=$B153)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153)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53" s="59" t="str">
        <f>IF($B153="","",IF((SUMPRODUCT((pbp_Pitcher=$B153)*(LEN(pbp_PlayType)&gt;0)))=0,"",(SUMPRODUCT((pbp_Pitcher=$B153)*(LEN(pbp_PlayType)&gt;0)*ISNUMBER(MATCH(LEFT(TRIM(pbp_Seq)&amp;"/",FIND("/",TRIM(pbp_Seq)&amp;"/")-1),{"S","F","FT","FB","IN","MB","POS"},0))))/(SUMPRODUCT((pbp_Pitcher=$B153)*(LEN(pbp_PlayType)&gt;0)))))</f>
        <v/>
      </c>
      <c r="T153" s="59" t="str">
        <f t="shared" si="20"/>
        <v/>
      </c>
      <c r="U153" s="59" t="str">
        <f t="shared" si="21"/>
        <v/>
      </c>
      <c r="V153" s="59" t="str">
        <f t="shared" si="22"/>
        <v/>
      </c>
      <c r="W153" s="60" t="str">
        <f t="shared" si="23"/>
        <v/>
      </c>
      <c r="X153" s="60" t="str">
        <f t="shared" si="24"/>
        <v/>
      </c>
      <c r="Y153" s="58" t="str">
        <f t="shared" si="25"/>
        <v/>
      </c>
      <c r="Z153" s="58" t="str">
        <f t="shared" si="26"/>
        <v/>
      </c>
      <c r="AA153" s="62" t="str">
        <f>IF($B153="","",IF(OR(E153&lt;MinBF,X153=""),"",COUNTIFS($E$6:$E$255,"&gt;="&amp;MinBF,$X$6:$X$255,"&lt;"&amp;X153)+COUNTIFS($E$5:E152,"&gt;="&amp;MinBF,$X$5:X152,X153)+1))</f>
        <v/>
      </c>
    </row>
    <row r="154" spans="2:27" x14ac:dyDescent="0.2">
      <c r="B154" s="44" t="str">
        <f t="array" ref="B154">IFERROR(INDEX(pbp_Pitcher,MATCH(0,COUNTIF($B$5:B153,pbp_Pitcher)+(pbp_Pitcher=""),0)),"")</f>
        <v/>
      </c>
      <c r="C154" s="61" t="str">
        <f>IF($B154="","",IFERROR(INDEX(pbp_PitTeam,MATCH($B154,pbp_Pitcher,0)),""))</f>
        <v/>
      </c>
      <c r="D154" s="61" t="str">
        <f>IF($B154="","",IFERROR(INDEX(pbp_PitHand,MATCH($B154,pbp_Pitcher,0)),""))</f>
        <v/>
      </c>
      <c r="E154" s="42" t="str">
        <f>IF($B154="","",SUMPRODUCT(COUNTIFS(pbp_PlayType,EM_Type,pbp_Pitcher,$B154)*EM_PA))</f>
        <v/>
      </c>
      <c r="F154" s="42" t="str">
        <f>IF($B154="","",SUMIFS(pbp_Outs,pbp_Pitcher,$B154))</f>
        <v/>
      </c>
      <c r="G154" s="70" t="str">
        <f t="shared" si="18"/>
        <v/>
      </c>
      <c r="H154" s="42" t="str">
        <f>IF($B154="","",SUMPRODUCT(COUNTIFS(pbp_PlayType,EM_Type,pbp_Pitcher,$B154)*EM_H))</f>
        <v/>
      </c>
      <c r="I154" s="42" t="str">
        <f>IF($B154="","",SUMPRODUCT(COUNTIFS(pbp_PlayType,EM_Type,pbp_Pitcher,$B154)*EM_HR))</f>
        <v/>
      </c>
      <c r="J154" s="42" t="str">
        <f>IF($B154="","",SUMPRODUCT(COUNTIFS(pbp_PlayType,EM_Type,pbp_Pitcher,$B154)*EM_BB))</f>
        <v/>
      </c>
      <c r="K154" s="42" t="str">
        <f>IF($B154="","",SUMPRODUCT(COUNTIFS(pbp_PlayType,EM_Type,pbp_Pitcher,$B154)*EM_HBP))</f>
        <v/>
      </c>
      <c r="L154" s="42" t="str">
        <f>IF($B154="","",COUNTIFS(pbp_PlayType,"?*",pbp_Desc,"*struck out*",pbp_Pitcher,$B154))</f>
        <v/>
      </c>
      <c r="M154" s="42" t="str">
        <f>IF($B154="","",SUMIFS(pbp_Runs,pbp_Pitcher,$B154))</f>
        <v/>
      </c>
      <c r="N154" s="42" t="str">
        <f>IF($B154="","",SUMPRODUCT(COUNTIFS(pbp_PlayType,EM_Type,pbp_Pitcher,$B154)*EM_AB))</f>
        <v/>
      </c>
      <c r="O154" s="42" t="str">
        <f>IF($B154="","",SUMPRODUCT(COUNTIFS(pbp_PlayType,EM_Type,pbp_Pitcher,$B154)*EM_SF))</f>
        <v/>
      </c>
      <c r="P154" s="42" t="str">
        <f>IF($B154="","",SUMIFS(pbp_Pitches,pbp_Pitcher,$B154,pbp_PlayType,"?*"))</f>
        <v/>
      </c>
      <c r="Q154" s="60" t="str">
        <f t="shared" si="19"/>
        <v/>
      </c>
      <c r="R154" s="59" t="str">
        <f>IF($B154="","",IF(E154=0,"",1-SUMPRODUCT((pbp_Pitcher=$B154)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154)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54" s="59" t="str">
        <f>IF($B154="","",IF((SUMPRODUCT((pbp_Pitcher=$B154)*(LEN(pbp_PlayType)&gt;0)))=0,"",(SUMPRODUCT((pbp_Pitcher=$B154)*(LEN(pbp_PlayType)&gt;0)*ISNUMBER(MATCH(LEFT(TRIM(pbp_Seq)&amp;"/",FIND("/",TRIM(pbp_Seq)&amp;"/")-1),{"S","F","FT","FB","IN","MB","POS"},0))))/(SUMPRODUCT((pbp_Pitcher=$B154)*(LEN(pbp_PlayType)&gt;0)))))</f>
        <v/>
      </c>
      <c r="T154" s="59" t="str">
        <f t="shared" si="20"/>
        <v/>
      </c>
      <c r="U154" s="59" t="str">
        <f t="shared" si="21"/>
        <v/>
      </c>
      <c r="V154" s="59" t="str">
        <f t="shared" si="22"/>
        <v/>
      </c>
      <c r="W154" s="60" t="str">
        <f t="shared" si="23"/>
        <v/>
      </c>
      <c r="X154" s="60" t="str">
        <f t="shared" si="24"/>
        <v/>
      </c>
      <c r="Y154" s="58" t="str">
        <f t="shared" si="25"/>
        <v/>
      </c>
      <c r="Z154" s="58" t="str">
        <f t="shared" si="26"/>
        <v/>
      </c>
      <c r="AA154" s="62" t="str">
        <f>IF($B154="","",IF(OR(E154&lt;MinBF,X154=""),"",COUNTIFS($E$6:$E$255,"&gt;="&amp;MinBF,$X$6:$X$255,"&lt;"&amp;X154)+COUNTIFS($E$5:E153,"&gt;="&amp;MinBF,$X$5:X153,X154)+1))</f>
        <v/>
      </c>
    </row>
    <row r="155" spans="2:27" x14ac:dyDescent="0.2">
      <c r="B155" s="44" t="str">
        <f t="array" ref="B155">IFERROR(INDEX(pbp_Pitcher,MATCH(0,COUNTIF($B$5:B154,pbp_Pitcher)+(pbp_Pitcher=""),0)),"")</f>
        <v/>
      </c>
      <c r="C155" s="61" t="str">
        <f>IF($B155="","",IFERROR(INDEX(pbp_PitTeam,MATCH($B155,pbp_Pitcher,0)),""))</f>
        <v/>
      </c>
      <c r="D155" s="61" t="str">
        <f>IF($B155="","",IFERROR(INDEX(pbp_PitHand,MATCH($B155,pbp_Pitcher,0)),""))</f>
        <v/>
      </c>
      <c r="E155" s="42" t="str">
        <f>IF($B155="","",SUMPRODUCT(COUNTIFS(pbp_PlayType,EM_Type,pbp_Pitcher,$B155)*EM_PA))</f>
        <v/>
      </c>
      <c r="F155" s="42" t="str">
        <f>IF($B155="","",SUMIFS(pbp_Outs,pbp_Pitcher,$B155))</f>
        <v/>
      </c>
      <c r="G155" s="70" t="str">
        <f t="shared" si="18"/>
        <v/>
      </c>
      <c r="H155" s="42" t="str">
        <f>IF($B155="","",SUMPRODUCT(COUNTIFS(pbp_PlayType,EM_Type,pbp_Pitcher,$B155)*EM_H))</f>
        <v/>
      </c>
      <c r="I155" s="42" t="str">
        <f>IF($B155="","",SUMPRODUCT(COUNTIFS(pbp_PlayType,EM_Type,pbp_Pitcher,$B155)*EM_HR))</f>
        <v/>
      </c>
      <c r="J155" s="42" t="str">
        <f>IF($B155="","",SUMPRODUCT(COUNTIFS(pbp_PlayType,EM_Type,pbp_Pitcher,$B155)*EM_BB))</f>
        <v/>
      </c>
      <c r="K155" s="42" t="str">
        <f>IF($B155="","",SUMPRODUCT(COUNTIFS(pbp_PlayType,EM_Type,pbp_Pitcher,$B155)*EM_HBP))</f>
        <v/>
      </c>
      <c r="L155" s="42" t="str">
        <f>IF($B155="","",COUNTIFS(pbp_PlayType,"?*",pbp_Desc,"*struck out*",pbp_Pitcher,$B155))</f>
        <v/>
      </c>
      <c r="M155" s="42" t="str">
        <f>IF($B155="","",SUMIFS(pbp_Runs,pbp_Pitcher,$B155))</f>
        <v/>
      </c>
      <c r="N155" s="42" t="str">
        <f>IF($B155="","",SUMPRODUCT(COUNTIFS(pbp_PlayType,EM_Type,pbp_Pitcher,$B155)*EM_AB))</f>
        <v/>
      </c>
      <c r="O155" s="42" t="str">
        <f>IF($B155="","",SUMPRODUCT(COUNTIFS(pbp_PlayType,EM_Type,pbp_Pitcher,$B155)*EM_SF))</f>
        <v/>
      </c>
      <c r="P155" s="42" t="str">
        <f>IF($B155="","",SUMIFS(pbp_Pitches,pbp_Pitcher,$B155,pbp_PlayType,"?*"))</f>
        <v/>
      </c>
      <c r="Q155" s="60" t="str">
        <f t="shared" si="19"/>
        <v/>
      </c>
      <c r="R155" s="59" t="str">
        <f>IF($B155="","",IF(E155=0,"",1-SUMPRODUCT((pbp_Pitcher=$B155)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155)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55" s="59" t="str">
        <f>IF($B155="","",IF((SUMPRODUCT((pbp_Pitcher=$B155)*(LEN(pbp_PlayType)&gt;0)))=0,"",(SUMPRODUCT((pbp_Pitcher=$B155)*(LEN(pbp_PlayType)&gt;0)*ISNUMBER(MATCH(LEFT(TRIM(pbp_Seq)&amp;"/",FIND("/",TRIM(pbp_Seq)&amp;"/")-1),{"S","F","FT","FB","IN","MB","POS"},0))))/(SUMPRODUCT((pbp_Pitcher=$B155)*(LEN(pbp_PlayType)&gt;0)))))</f>
        <v/>
      </c>
      <c r="T155" s="59" t="str">
        <f t="shared" si="20"/>
        <v/>
      </c>
      <c r="U155" s="59" t="str">
        <f t="shared" si="21"/>
        <v/>
      </c>
      <c r="V155" s="59" t="str">
        <f t="shared" si="22"/>
        <v/>
      </c>
      <c r="W155" s="60" t="str">
        <f t="shared" si="23"/>
        <v/>
      </c>
      <c r="X155" s="60" t="str">
        <f t="shared" si="24"/>
        <v/>
      </c>
      <c r="Y155" s="58" t="str">
        <f t="shared" si="25"/>
        <v/>
      </c>
      <c r="Z155" s="58" t="str">
        <f t="shared" si="26"/>
        <v/>
      </c>
      <c r="AA155" s="62" t="str">
        <f>IF($B155="","",IF(OR(E155&lt;MinBF,X155=""),"",COUNTIFS($E$6:$E$255,"&gt;="&amp;MinBF,$X$6:$X$255,"&lt;"&amp;X155)+COUNTIFS($E$5:E154,"&gt;="&amp;MinBF,$X$5:X154,X155)+1))</f>
        <v/>
      </c>
    </row>
    <row r="156" spans="2:27" x14ac:dyDescent="0.2">
      <c r="B156" s="44" t="str">
        <f t="array" ref="B156">IFERROR(INDEX(pbp_Pitcher,MATCH(0,COUNTIF($B$5:B155,pbp_Pitcher)+(pbp_Pitcher=""),0)),"")</f>
        <v/>
      </c>
      <c r="C156" s="61" t="str">
        <f>IF($B156="","",IFERROR(INDEX(pbp_PitTeam,MATCH($B156,pbp_Pitcher,0)),""))</f>
        <v/>
      </c>
      <c r="D156" s="61" t="str">
        <f>IF($B156="","",IFERROR(INDEX(pbp_PitHand,MATCH($B156,pbp_Pitcher,0)),""))</f>
        <v/>
      </c>
      <c r="E156" s="42" t="str">
        <f>IF($B156="","",SUMPRODUCT(COUNTIFS(pbp_PlayType,EM_Type,pbp_Pitcher,$B156)*EM_PA))</f>
        <v/>
      </c>
      <c r="F156" s="42" t="str">
        <f>IF($B156="","",SUMIFS(pbp_Outs,pbp_Pitcher,$B156))</f>
        <v/>
      </c>
      <c r="G156" s="70" t="str">
        <f t="shared" si="18"/>
        <v/>
      </c>
      <c r="H156" s="42" t="str">
        <f>IF($B156="","",SUMPRODUCT(COUNTIFS(pbp_PlayType,EM_Type,pbp_Pitcher,$B156)*EM_H))</f>
        <v/>
      </c>
      <c r="I156" s="42" t="str">
        <f>IF($B156="","",SUMPRODUCT(COUNTIFS(pbp_PlayType,EM_Type,pbp_Pitcher,$B156)*EM_HR))</f>
        <v/>
      </c>
      <c r="J156" s="42" t="str">
        <f>IF($B156="","",SUMPRODUCT(COUNTIFS(pbp_PlayType,EM_Type,pbp_Pitcher,$B156)*EM_BB))</f>
        <v/>
      </c>
      <c r="K156" s="42" t="str">
        <f>IF($B156="","",SUMPRODUCT(COUNTIFS(pbp_PlayType,EM_Type,pbp_Pitcher,$B156)*EM_HBP))</f>
        <v/>
      </c>
      <c r="L156" s="42" t="str">
        <f>IF($B156="","",COUNTIFS(pbp_PlayType,"?*",pbp_Desc,"*struck out*",pbp_Pitcher,$B156))</f>
        <v/>
      </c>
      <c r="M156" s="42" t="str">
        <f>IF($B156="","",SUMIFS(pbp_Runs,pbp_Pitcher,$B156))</f>
        <v/>
      </c>
      <c r="N156" s="42" t="str">
        <f>IF($B156="","",SUMPRODUCT(COUNTIFS(pbp_PlayType,EM_Type,pbp_Pitcher,$B156)*EM_AB))</f>
        <v/>
      </c>
      <c r="O156" s="42" t="str">
        <f>IF($B156="","",SUMPRODUCT(COUNTIFS(pbp_PlayType,EM_Type,pbp_Pitcher,$B156)*EM_SF))</f>
        <v/>
      </c>
      <c r="P156" s="42" t="str">
        <f>IF($B156="","",SUMIFS(pbp_Pitches,pbp_Pitcher,$B156,pbp_PlayType,"?*"))</f>
        <v/>
      </c>
      <c r="Q156" s="60" t="str">
        <f t="shared" si="19"/>
        <v/>
      </c>
      <c r="R156" s="59" t="str">
        <f>IF($B156="","",IF(E156=0,"",1-SUMPRODUCT((pbp_Pitcher=$B156)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156)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56" s="59" t="str">
        <f>IF($B156="","",IF((SUMPRODUCT((pbp_Pitcher=$B156)*(LEN(pbp_PlayType)&gt;0)))=0,"",(SUMPRODUCT((pbp_Pitcher=$B156)*(LEN(pbp_PlayType)&gt;0)*ISNUMBER(MATCH(LEFT(TRIM(pbp_Seq)&amp;"/",FIND("/",TRIM(pbp_Seq)&amp;"/")-1),{"S","F","FT","FB","IN","MB","POS"},0))))/(SUMPRODUCT((pbp_Pitcher=$B156)*(LEN(pbp_PlayType)&gt;0)))))</f>
        <v/>
      </c>
      <c r="T156" s="59" t="str">
        <f t="shared" si="20"/>
        <v/>
      </c>
      <c r="U156" s="59" t="str">
        <f t="shared" si="21"/>
        <v/>
      </c>
      <c r="V156" s="59" t="str">
        <f t="shared" si="22"/>
        <v/>
      </c>
      <c r="W156" s="60" t="str">
        <f t="shared" si="23"/>
        <v/>
      </c>
      <c r="X156" s="60" t="str">
        <f t="shared" si="24"/>
        <v/>
      </c>
      <c r="Y156" s="58" t="str">
        <f t="shared" si="25"/>
        <v/>
      </c>
      <c r="Z156" s="58" t="str">
        <f t="shared" si="26"/>
        <v/>
      </c>
      <c r="AA156" s="62" t="str">
        <f>IF($B156="","",IF(OR(E156&lt;MinBF,X156=""),"",COUNTIFS($E$6:$E$255,"&gt;="&amp;MinBF,$X$6:$X$255,"&lt;"&amp;X156)+COUNTIFS($E$5:E155,"&gt;="&amp;MinBF,$X$5:X155,X156)+1))</f>
        <v/>
      </c>
    </row>
    <row r="157" spans="2:27" x14ac:dyDescent="0.2">
      <c r="B157" s="44" t="str">
        <f t="array" ref="B157">IFERROR(INDEX(pbp_Pitcher,MATCH(0,COUNTIF($B$5:B156,pbp_Pitcher)+(pbp_Pitcher=""),0)),"")</f>
        <v/>
      </c>
      <c r="C157" s="61" t="str">
        <f>IF($B157="","",IFERROR(INDEX(pbp_PitTeam,MATCH($B157,pbp_Pitcher,0)),""))</f>
        <v/>
      </c>
      <c r="D157" s="61" t="str">
        <f>IF($B157="","",IFERROR(INDEX(pbp_PitHand,MATCH($B157,pbp_Pitcher,0)),""))</f>
        <v/>
      </c>
      <c r="E157" s="42" t="str">
        <f>IF($B157="","",SUMPRODUCT(COUNTIFS(pbp_PlayType,EM_Type,pbp_Pitcher,$B157)*EM_PA))</f>
        <v/>
      </c>
      <c r="F157" s="42" t="str">
        <f>IF($B157="","",SUMIFS(pbp_Outs,pbp_Pitcher,$B157))</f>
        <v/>
      </c>
      <c r="G157" s="70" t="str">
        <f t="shared" si="18"/>
        <v/>
      </c>
      <c r="H157" s="42" t="str">
        <f>IF($B157="","",SUMPRODUCT(COUNTIFS(pbp_PlayType,EM_Type,pbp_Pitcher,$B157)*EM_H))</f>
        <v/>
      </c>
      <c r="I157" s="42" t="str">
        <f>IF($B157="","",SUMPRODUCT(COUNTIFS(pbp_PlayType,EM_Type,pbp_Pitcher,$B157)*EM_HR))</f>
        <v/>
      </c>
      <c r="J157" s="42" t="str">
        <f>IF($B157="","",SUMPRODUCT(COUNTIFS(pbp_PlayType,EM_Type,pbp_Pitcher,$B157)*EM_BB))</f>
        <v/>
      </c>
      <c r="K157" s="42" t="str">
        <f>IF($B157="","",SUMPRODUCT(COUNTIFS(pbp_PlayType,EM_Type,pbp_Pitcher,$B157)*EM_HBP))</f>
        <v/>
      </c>
      <c r="L157" s="42" t="str">
        <f>IF($B157="","",COUNTIFS(pbp_PlayType,"?*",pbp_Desc,"*struck out*",pbp_Pitcher,$B157))</f>
        <v/>
      </c>
      <c r="M157" s="42" t="str">
        <f>IF($B157="","",SUMIFS(pbp_Runs,pbp_Pitcher,$B157))</f>
        <v/>
      </c>
      <c r="N157" s="42" t="str">
        <f>IF($B157="","",SUMPRODUCT(COUNTIFS(pbp_PlayType,EM_Type,pbp_Pitcher,$B157)*EM_AB))</f>
        <v/>
      </c>
      <c r="O157" s="42" t="str">
        <f>IF($B157="","",SUMPRODUCT(COUNTIFS(pbp_PlayType,EM_Type,pbp_Pitcher,$B157)*EM_SF))</f>
        <v/>
      </c>
      <c r="P157" s="42" t="str">
        <f>IF($B157="","",SUMIFS(pbp_Pitches,pbp_Pitcher,$B157,pbp_PlayType,"?*"))</f>
        <v/>
      </c>
      <c r="Q157" s="60" t="str">
        <f t="shared" si="19"/>
        <v/>
      </c>
      <c r="R157" s="59" t="str">
        <f>IF($B157="","",IF(E157=0,"",1-SUMPRODUCT((pbp_Pitcher=$B157)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157)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57" s="59" t="str">
        <f>IF($B157="","",IF((SUMPRODUCT((pbp_Pitcher=$B157)*(LEN(pbp_PlayType)&gt;0)))=0,"",(SUMPRODUCT((pbp_Pitcher=$B157)*(LEN(pbp_PlayType)&gt;0)*ISNUMBER(MATCH(LEFT(TRIM(pbp_Seq)&amp;"/",FIND("/",TRIM(pbp_Seq)&amp;"/")-1),{"S","F","FT","FB","IN","MB","POS"},0))))/(SUMPRODUCT((pbp_Pitcher=$B157)*(LEN(pbp_PlayType)&gt;0)))))</f>
        <v/>
      </c>
      <c r="T157" s="59" t="str">
        <f t="shared" si="20"/>
        <v/>
      </c>
      <c r="U157" s="59" t="str">
        <f t="shared" si="21"/>
        <v/>
      </c>
      <c r="V157" s="59" t="str">
        <f t="shared" si="22"/>
        <v/>
      </c>
      <c r="W157" s="60" t="str">
        <f t="shared" si="23"/>
        <v/>
      </c>
      <c r="X157" s="60" t="str">
        <f t="shared" si="24"/>
        <v/>
      </c>
      <c r="Y157" s="58" t="str">
        <f t="shared" si="25"/>
        <v/>
      </c>
      <c r="Z157" s="58" t="str">
        <f t="shared" si="26"/>
        <v/>
      </c>
      <c r="AA157" s="62" t="str">
        <f>IF($B157="","",IF(OR(E157&lt;MinBF,X157=""),"",COUNTIFS($E$6:$E$255,"&gt;="&amp;MinBF,$X$6:$X$255,"&lt;"&amp;X157)+COUNTIFS($E$5:E156,"&gt;="&amp;MinBF,$X$5:X156,X157)+1))</f>
        <v/>
      </c>
    </row>
    <row r="158" spans="2:27" x14ac:dyDescent="0.2">
      <c r="B158" s="44" t="str">
        <f t="array" ref="B158">IFERROR(INDEX(pbp_Pitcher,MATCH(0,COUNTIF($B$5:B157,pbp_Pitcher)+(pbp_Pitcher=""),0)),"")</f>
        <v/>
      </c>
      <c r="C158" s="61" t="str">
        <f>IF($B158="","",IFERROR(INDEX(pbp_PitTeam,MATCH($B158,pbp_Pitcher,0)),""))</f>
        <v/>
      </c>
      <c r="D158" s="61" t="str">
        <f>IF($B158="","",IFERROR(INDEX(pbp_PitHand,MATCH($B158,pbp_Pitcher,0)),""))</f>
        <v/>
      </c>
      <c r="E158" s="42" t="str">
        <f>IF($B158="","",SUMPRODUCT(COUNTIFS(pbp_PlayType,EM_Type,pbp_Pitcher,$B158)*EM_PA))</f>
        <v/>
      </c>
      <c r="F158" s="42" t="str">
        <f>IF($B158="","",SUMIFS(pbp_Outs,pbp_Pitcher,$B158))</f>
        <v/>
      </c>
      <c r="G158" s="70" t="str">
        <f t="shared" si="18"/>
        <v/>
      </c>
      <c r="H158" s="42" t="str">
        <f>IF($B158="","",SUMPRODUCT(COUNTIFS(pbp_PlayType,EM_Type,pbp_Pitcher,$B158)*EM_H))</f>
        <v/>
      </c>
      <c r="I158" s="42" t="str">
        <f>IF($B158="","",SUMPRODUCT(COUNTIFS(pbp_PlayType,EM_Type,pbp_Pitcher,$B158)*EM_HR))</f>
        <v/>
      </c>
      <c r="J158" s="42" t="str">
        <f>IF($B158="","",SUMPRODUCT(COUNTIFS(pbp_PlayType,EM_Type,pbp_Pitcher,$B158)*EM_BB))</f>
        <v/>
      </c>
      <c r="K158" s="42" t="str">
        <f>IF($B158="","",SUMPRODUCT(COUNTIFS(pbp_PlayType,EM_Type,pbp_Pitcher,$B158)*EM_HBP))</f>
        <v/>
      </c>
      <c r="L158" s="42" t="str">
        <f>IF($B158="","",COUNTIFS(pbp_PlayType,"?*",pbp_Desc,"*struck out*",pbp_Pitcher,$B158))</f>
        <v/>
      </c>
      <c r="M158" s="42" t="str">
        <f>IF($B158="","",SUMIFS(pbp_Runs,pbp_Pitcher,$B158))</f>
        <v/>
      </c>
      <c r="N158" s="42" t="str">
        <f>IF($B158="","",SUMPRODUCT(COUNTIFS(pbp_PlayType,EM_Type,pbp_Pitcher,$B158)*EM_AB))</f>
        <v/>
      </c>
      <c r="O158" s="42" t="str">
        <f>IF($B158="","",SUMPRODUCT(COUNTIFS(pbp_PlayType,EM_Type,pbp_Pitcher,$B158)*EM_SF))</f>
        <v/>
      </c>
      <c r="P158" s="42" t="str">
        <f>IF($B158="","",SUMIFS(pbp_Pitches,pbp_Pitcher,$B158,pbp_PlayType,"?*"))</f>
        <v/>
      </c>
      <c r="Q158" s="60" t="str">
        <f t="shared" si="19"/>
        <v/>
      </c>
      <c r="R158" s="59" t="str">
        <f>IF($B158="","",IF(E158=0,"",1-SUMPRODUCT((pbp_Pitcher=$B158)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158)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58" s="59" t="str">
        <f>IF($B158="","",IF((SUMPRODUCT((pbp_Pitcher=$B158)*(LEN(pbp_PlayType)&gt;0)))=0,"",(SUMPRODUCT((pbp_Pitcher=$B158)*(LEN(pbp_PlayType)&gt;0)*ISNUMBER(MATCH(LEFT(TRIM(pbp_Seq)&amp;"/",FIND("/",TRIM(pbp_Seq)&amp;"/")-1),{"S","F","FT","FB","IN","MB","POS"},0))))/(SUMPRODUCT((pbp_Pitcher=$B158)*(LEN(pbp_PlayType)&gt;0)))))</f>
        <v/>
      </c>
      <c r="T158" s="59" t="str">
        <f t="shared" si="20"/>
        <v/>
      </c>
      <c r="U158" s="59" t="str">
        <f t="shared" si="21"/>
        <v/>
      </c>
      <c r="V158" s="59" t="str">
        <f t="shared" si="22"/>
        <v/>
      </c>
      <c r="W158" s="60" t="str">
        <f t="shared" si="23"/>
        <v/>
      </c>
      <c r="X158" s="60" t="str">
        <f t="shared" si="24"/>
        <v/>
      </c>
      <c r="Y158" s="58" t="str">
        <f t="shared" si="25"/>
        <v/>
      </c>
      <c r="Z158" s="58" t="str">
        <f t="shared" si="26"/>
        <v/>
      </c>
      <c r="AA158" s="62" t="str">
        <f>IF($B158="","",IF(OR(E158&lt;MinBF,X158=""),"",COUNTIFS($E$6:$E$255,"&gt;="&amp;MinBF,$X$6:$X$255,"&lt;"&amp;X158)+COUNTIFS($E$5:E157,"&gt;="&amp;MinBF,$X$5:X157,X158)+1))</f>
        <v/>
      </c>
    </row>
    <row r="159" spans="2:27" x14ac:dyDescent="0.2">
      <c r="B159" s="44" t="str">
        <f t="array" ref="B159">IFERROR(INDEX(pbp_Pitcher,MATCH(0,COUNTIF($B$5:B158,pbp_Pitcher)+(pbp_Pitcher=""),0)),"")</f>
        <v/>
      </c>
      <c r="C159" s="61" t="str">
        <f>IF($B159="","",IFERROR(INDEX(pbp_PitTeam,MATCH($B159,pbp_Pitcher,0)),""))</f>
        <v/>
      </c>
      <c r="D159" s="61" t="str">
        <f>IF($B159="","",IFERROR(INDEX(pbp_PitHand,MATCH($B159,pbp_Pitcher,0)),""))</f>
        <v/>
      </c>
      <c r="E159" s="42" t="str">
        <f>IF($B159="","",SUMPRODUCT(COUNTIFS(pbp_PlayType,EM_Type,pbp_Pitcher,$B159)*EM_PA))</f>
        <v/>
      </c>
      <c r="F159" s="42" t="str">
        <f>IF($B159="","",SUMIFS(pbp_Outs,pbp_Pitcher,$B159))</f>
        <v/>
      </c>
      <c r="G159" s="70" t="str">
        <f t="shared" si="18"/>
        <v/>
      </c>
      <c r="H159" s="42" t="str">
        <f>IF($B159="","",SUMPRODUCT(COUNTIFS(pbp_PlayType,EM_Type,pbp_Pitcher,$B159)*EM_H))</f>
        <v/>
      </c>
      <c r="I159" s="42" t="str">
        <f>IF($B159="","",SUMPRODUCT(COUNTIFS(pbp_PlayType,EM_Type,pbp_Pitcher,$B159)*EM_HR))</f>
        <v/>
      </c>
      <c r="J159" s="42" t="str">
        <f>IF($B159="","",SUMPRODUCT(COUNTIFS(pbp_PlayType,EM_Type,pbp_Pitcher,$B159)*EM_BB))</f>
        <v/>
      </c>
      <c r="K159" s="42" t="str">
        <f>IF($B159="","",SUMPRODUCT(COUNTIFS(pbp_PlayType,EM_Type,pbp_Pitcher,$B159)*EM_HBP))</f>
        <v/>
      </c>
      <c r="L159" s="42" t="str">
        <f>IF($B159="","",COUNTIFS(pbp_PlayType,"?*",pbp_Desc,"*struck out*",pbp_Pitcher,$B159))</f>
        <v/>
      </c>
      <c r="M159" s="42" t="str">
        <f>IF($B159="","",SUMIFS(pbp_Runs,pbp_Pitcher,$B159))</f>
        <v/>
      </c>
      <c r="N159" s="42" t="str">
        <f>IF($B159="","",SUMPRODUCT(COUNTIFS(pbp_PlayType,EM_Type,pbp_Pitcher,$B159)*EM_AB))</f>
        <v/>
      </c>
      <c r="O159" s="42" t="str">
        <f>IF($B159="","",SUMPRODUCT(COUNTIFS(pbp_PlayType,EM_Type,pbp_Pitcher,$B159)*EM_SF))</f>
        <v/>
      </c>
      <c r="P159" s="42" t="str">
        <f>IF($B159="","",SUMIFS(pbp_Pitches,pbp_Pitcher,$B159,pbp_PlayType,"?*"))</f>
        <v/>
      </c>
      <c r="Q159" s="60" t="str">
        <f t="shared" si="19"/>
        <v/>
      </c>
      <c r="R159" s="59" t="str">
        <f>IF($B159="","",IF(E159=0,"",1-SUMPRODUCT((pbp_Pitcher=$B159)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159)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59" s="59" t="str">
        <f>IF($B159="","",IF((SUMPRODUCT((pbp_Pitcher=$B159)*(LEN(pbp_PlayType)&gt;0)))=0,"",(SUMPRODUCT((pbp_Pitcher=$B159)*(LEN(pbp_PlayType)&gt;0)*ISNUMBER(MATCH(LEFT(TRIM(pbp_Seq)&amp;"/",FIND("/",TRIM(pbp_Seq)&amp;"/")-1),{"S","F","FT","FB","IN","MB","POS"},0))))/(SUMPRODUCT((pbp_Pitcher=$B159)*(LEN(pbp_PlayType)&gt;0)))))</f>
        <v/>
      </c>
      <c r="T159" s="59" t="str">
        <f t="shared" si="20"/>
        <v/>
      </c>
      <c r="U159" s="59" t="str">
        <f t="shared" si="21"/>
        <v/>
      </c>
      <c r="V159" s="59" t="str">
        <f t="shared" si="22"/>
        <v/>
      </c>
      <c r="W159" s="60" t="str">
        <f t="shared" si="23"/>
        <v/>
      </c>
      <c r="X159" s="60" t="str">
        <f t="shared" si="24"/>
        <v/>
      </c>
      <c r="Y159" s="58" t="str">
        <f t="shared" si="25"/>
        <v/>
      </c>
      <c r="Z159" s="58" t="str">
        <f t="shared" si="26"/>
        <v/>
      </c>
      <c r="AA159" s="62" t="str">
        <f>IF($B159="","",IF(OR(E159&lt;MinBF,X159=""),"",COUNTIFS($E$6:$E$255,"&gt;="&amp;MinBF,$X$6:$X$255,"&lt;"&amp;X159)+COUNTIFS($E$5:E158,"&gt;="&amp;MinBF,$X$5:X158,X159)+1))</f>
        <v/>
      </c>
    </row>
    <row r="160" spans="2:27" x14ac:dyDescent="0.2">
      <c r="B160" s="44" t="str">
        <f t="array" ref="B160">IFERROR(INDEX(pbp_Pitcher,MATCH(0,COUNTIF($B$5:B159,pbp_Pitcher)+(pbp_Pitcher=""),0)),"")</f>
        <v/>
      </c>
      <c r="C160" s="61" t="str">
        <f>IF($B160="","",IFERROR(INDEX(pbp_PitTeam,MATCH($B160,pbp_Pitcher,0)),""))</f>
        <v/>
      </c>
      <c r="D160" s="61" t="str">
        <f>IF($B160="","",IFERROR(INDEX(pbp_PitHand,MATCH($B160,pbp_Pitcher,0)),""))</f>
        <v/>
      </c>
      <c r="E160" s="42" t="str">
        <f>IF($B160="","",SUMPRODUCT(COUNTIFS(pbp_PlayType,EM_Type,pbp_Pitcher,$B160)*EM_PA))</f>
        <v/>
      </c>
      <c r="F160" s="42" t="str">
        <f>IF($B160="","",SUMIFS(pbp_Outs,pbp_Pitcher,$B160))</f>
        <v/>
      </c>
      <c r="G160" s="70" t="str">
        <f t="shared" si="18"/>
        <v/>
      </c>
      <c r="H160" s="42" t="str">
        <f>IF($B160="","",SUMPRODUCT(COUNTIFS(pbp_PlayType,EM_Type,pbp_Pitcher,$B160)*EM_H))</f>
        <v/>
      </c>
      <c r="I160" s="42" t="str">
        <f>IF($B160="","",SUMPRODUCT(COUNTIFS(pbp_PlayType,EM_Type,pbp_Pitcher,$B160)*EM_HR))</f>
        <v/>
      </c>
      <c r="J160" s="42" t="str">
        <f>IF($B160="","",SUMPRODUCT(COUNTIFS(pbp_PlayType,EM_Type,pbp_Pitcher,$B160)*EM_BB))</f>
        <v/>
      </c>
      <c r="K160" s="42" t="str">
        <f>IF($B160="","",SUMPRODUCT(COUNTIFS(pbp_PlayType,EM_Type,pbp_Pitcher,$B160)*EM_HBP))</f>
        <v/>
      </c>
      <c r="L160" s="42" t="str">
        <f>IF($B160="","",COUNTIFS(pbp_PlayType,"?*",pbp_Desc,"*struck out*",pbp_Pitcher,$B160))</f>
        <v/>
      </c>
      <c r="M160" s="42" t="str">
        <f>IF($B160="","",SUMIFS(pbp_Runs,pbp_Pitcher,$B160))</f>
        <v/>
      </c>
      <c r="N160" s="42" t="str">
        <f>IF($B160="","",SUMPRODUCT(COUNTIFS(pbp_PlayType,EM_Type,pbp_Pitcher,$B160)*EM_AB))</f>
        <v/>
      </c>
      <c r="O160" s="42" t="str">
        <f>IF($B160="","",SUMPRODUCT(COUNTIFS(pbp_PlayType,EM_Type,pbp_Pitcher,$B160)*EM_SF))</f>
        <v/>
      </c>
      <c r="P160" s="42" t="str">
        <f>IF($B160="","",SUMIFS(pbp_Pitches,pbp_Pitcher,$B160,pbp_PlayType,"?*"))</f>
        <v/>
      </c>
      <c r="Q160" s="60" t="str">
        <f t="shared" si="19"/>
        <v/>
      </c>
      <c r="R160" s="59" t="str">
        <f>IF($B160="","",IF(E160=0,"",1-SUMPRODUCT((pbp_Pitcher=$B160)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160)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60" s="59" t="str">
        <f>IF($B160="","",IF((SUMPRODUCT((pbp_Pitcher=$B160)*(LEN(pbp_PlayType)&gt;0)))=0,"",(SUMPRODUCT((pbp_Pitcher=$B160)*(LEN(pbp_PlayType)&gt;0)*ISNUMBER(MATCH(LEFT(TRIM(pbp_Seq)&amp;"/",FIND("/",TRIM(pbp_Seq)&amp;"/")-1),{"S","F","FT","FB","IN","MB","POS"},0))))/(SUMPRODUCT((pbp_Pitcher=$B160)*(LEN(pbp_PlayType)&gt;0)))))</f>
        <v/>
      </c>
      <c r="T160" s="59" t="str">
        <f t="shared" si="20"/>
        <v/>
      </c>
      <c r="U160" s="59" t="str">
        <f t="shared" si="21"/>
        <v/>
      </c>
      <c r="V160" s="59" t="str">
        <f t="shared" si="22"/>
        <v/>
      </c>
      <c r="W160" s="60" t="str">
        <f t="shared" si="23"/>
        <v/>
      </c>
      <c r="X160" s="60" t="str">
        <f t="shared" si="24"/>
        <v/>
      </c>
      <c r="Y160" s="58" t="str">
        <f t="shared" si="25"/>
        <v/>
      </c>
      <c r="Z160" s="58" t="str">
        <f t="shared" si="26"/>
        <v/>
      </c>
      <c r="AA160" s="62" t="str">
        <f>IF($B160="","",IF(OR(E160&lt;MinBF,X160=""),"",COUNTIFS($E$6:$E$255,"&gt;="&amp;MinBF,$X$6:$X$255,"&lt;"&amp;X160)+COUNTIFS($E$5:E159,"&gt;="&amp;MinBF,$X$5:X159,X160)+1))</f>
        <v/>
      </c>
    </row>
    <row r="161" spans="2:27" x14ac:dyDescent="0.2">
      <c r="B161" s="44" t="str">
        <f t="array" ref="B161">IFERROR(INDEX(pbp_Pitcher,MATCH(0,COUNTIF($B$5:B160,pbp_Pitcher)+(pbp_Pitcher=""),0)),"")</f>
        <v/>
      </c>
      <c r="C161" s="61" t="str">
        <f>IF($B161="","",IFERROR(INDEX(pbp_PitTeam,MATCH($B161,pbp_Pitcher,0)),""))</f>
        <v/>
      </c>
      <c r="D161" s="61" t="str">
        <f>IF($B161="","",IFERROR(INDEX(pbp_PitHand,MATCH($B161,pbp_Pitcher,0)),""))</f>
        <v/>
      </c>
      <c r="E161" s="42" t="str">
        <f>IF($B161="","",SUMPRODUCT(COUNTIFS(pbp_PlayType,EM_Type,pbp_Pitcher,$B161)*EM_PA))</f>
        <v/>
      </c>
      <c r="F161" s="42" t="str">
        <f>IF($B161="","",SUMIFS(pbp_Outs,pbp_Pitcher,$B161))</f>
        <v/>
      </c>
      <c r="G161" s="70" t="str">
        <f t="shared" si="18"/>
        <v/>
      </c>
      <c r="H161" s="42" t="str">
        <f>IF($B161="","",SUMPRODUCT(COUNTIFS(pbp_PlayType,EM_Type,pbp_Pitcher,$B161)*EM_H))</f>
        <v/>
      </c>
      <c r="I161" s="42" t="str">
        <f>IF($B161="","",SUMPRODUCT(COUNTIFS(pbp_PlayType,EM_Type,pbp_Pitcher,$B161)*EM_HR))</f>
        <v/>
      </c>
      <c r="J161" s="42" t="str">
        <f>IF($B161="","",SUMPRODUCT(COUNTIFS(pbp_PlayType,EM_Type,pbp_Pitcher,$B161)*EM_BB))</f>
        <v/>
      </c>
      <c r="K161" s="42" t="str">
        <f>IF($B161="","",SUMPRODUCT(COUNTIFS(pbp_PlayType,EM_Type,pbp_Pitcher,$B161)*EM_HBP))</f>
        <v/>
      </c>
      <c r="L161" s="42" t="str">
        <f>IF($B161="","",COUNTIFS(pbp_PlayType,"?*",pbp_Desc,"*struck out*",pbp_Pitcher,$B161))</f>
        <v/>
      </c>
      <c r="M161" s="42" t="str">
        <f>IF($B161="","",SUMIFS(pbp_Runs,pbp_Pitcher,$B161))</f>
        <v/>
      </c>
      <c r="N161" s="42" t="str">
        <f>IF($B161="","",SUMPRODUCT(COUNTIFS(pbp_PlayType,EM_Type,pbp_Pitcher,$B161)*EM_AB))</f>
        <v/>
      </c>
      <c r="O161" s="42" t="str">
        <f>IF($B161="","",SUMPRODUCT(COUNTIFS(pbp_PlayType,EM_Type,pbp_Pitcher,$B161)*EM_SF))</f>
        <v/>
      </c>
      <c r="P161" s="42" t="str">
        <f>IF($B161="","",SUMIFS(pbp_Pitches,pbp_Pitcher,$B161,pbp_PlayType,"?*"))</f>
        <v/>
      </c>
      <c r="Q161" s="60" t="str">
        <f t="shared" si="19"/>
        <v/>
      </c>
      <c r="R161" s="59" t="str">
        <f>IF($B161="","",IF(E161=0,"",1-SUMPRODUCT((pbp_Pitcher=$B161)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161)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61" s="59" t="str">
        <f>IF($B161="","",IF((SUMPRODUCT((pbp_Pitcher=$B161)*(LEN(pbp_PlayType)&gt;0)))=0,"",(SUMPRODUCT((pbp_Pitcher=$B161)*(LEN(pbp_PlayType)&gt;0)*ISNUMBER(MATCH(LEFT(TRIM(pbp_Seq)&amp;"/",FIND("/",TRIM(pbp_Seq)&amp;"/")-1),{"S","F","FT","FB","IN","MB","POS"},0))))/(SUMPRODUCT((pbp_Pitcher=$B161)*(LEN(pbp_PlayType)&gt;0)))))</f>
        <v/>
      </c>
      <c r="T161" s="59" t="str">
        <f t="shared" si="20"/>
        <v/>
      </c>
      <c r="U161" s="59" t="str">
        <f t="shared" si="21"/>
        <v/>
      </c>
      <c r="V161" s="59" t="str">
        <f t="shared" si="22"/>
        <v/>
      </c>
      <c r="W161" s="60" t="str">
        <f t="shared" si="23"/>
        <v/>
      </c>
      <c r="X161" s="60" t="str">
        <f t="shared" si="24"/>
        <v/>
      </c>
      <c r="Y161" s="58" t="str">
        <f t="shared" si="25"/>
        <v/>
      </c>
      <c r="Z161" s="58" t="str">
        <f t="shared" si="26"/>
        <v/>
      </c>
      <c r="AA161" s="62" t="str">
        <f>IF($B161="","",IF(OR(E161&lt;MinBF,X161=""),"",COUNTIFS($E$6:$E$255,"&gt;="&amp;MinBF,$X$6:$X$255,"&lt;"&amp;X161)+COUNTIFS($E$5:E160,"&gt;="&amp;MinBF,$X$5:X160,X161)+1))</f>
        <v/>
      </c>
    </row>
    <row r="162" spans="2:27" x14ac:dyDescent="0.2">
      <c r="B162" s="44" t="str">
        <f t="array" ref="B162">IFERROR(INDEX(pbp_Pitcher,MATCH(0,COUNTIF($B$5:B161,pbp_Pitcher)+(pbp_Pitcher=""),0)),"")</f>
        <v/>
      </c>
      <c r="C162" s="61" t="str">
        <f>IF($B162="","",IFERROR(INDEX(pbp_PitTeam,MATCH($B162,pbp_Pitcher,0)),""))</f>
        <v/>
      </c>
      <c r="D162" s="61" t="str">
        <f>IF($B162="","",IFERROR(INDEX(pbp_PitHand,MATCH($B162,pbp_Pitcher,0)),""))</f>
        <v/>
      </c>
      <c r="E162" s="42" t="str">
        <f>IF($B162="","",SUMPRODUCT(COUNTIFS(pbp_PlayType,EM_Type,pbp_Pitcher,$B162)*EM_PA))</f>
        <v/>
      </c>
      <c r="F162" s="42" t="str">
        <f>IF($B162="","",SUMIFS(pbp_Outs,pbp_Pitcher,$B162))</f>
        <v/>
      </c>
      <c r="G162" s="70" t="str">
        <f t="shared" si="18"/>
        <v/>
      </c>
      <c r="H162" s="42" t="str">
        <f>IF($B162="","",SUMPRODUCT(COUNTIFS(pbp_PlayType,EM_Type,pbp_Pitcher,$B162)*EM_H))</f>
        <v/>
      </c>
      <c r="I162" s="42" t="str">
        <f>IF($B162="","",SUMPRODUCT(COUNTIFS(pbp_PlayType,EM_Type,pbp_Pitcher,$B162)*EM_HR))</f>
        <v/>
      </c>
      <c r="J162" s="42" t="str">
        <f>IF($B162="","",SUMPRODUCT(COUNTIFS(pbp_PlayType,EM_Type,pbp_Pitcher,$B162)*EM_BB))</f>
        <v/>
      </c>
      <c r="K162" s="42" t="str">
        <f>IF($B162="","",SUMPRODUCT(COUNTIFS(pbp_PlayType,EM_Type,pbp_Pitcher,$B162)*EM_HBP))</f>
        <v/>
      </c>
      <c r="L162" s="42" t="str">
        <f>IF($B162="","",COUNTIFS(pbp_PlayType,"?*",pbp_Desc,"*struck out*",pbp_Pitcher,$B162))</f>
        <v/>
      </c>
      <c r="M162" s="42" t="str">
        <f>IF($B162="","",SUMIFS(pbp_Runs,pbp_Pitcher,$B162))</f>
        <v/>
      </c>
      <c r="N162" s="42" t="str">
        <f>IF($B162="","",SUMPRODUCT(COUNTIFS(pbp_PlayType,EM_Type,pbp_Pitcher,$B162)*EM_AB))</f>
        <v/>
      </c>
      <c r="O162" s="42" t="str">
        <f>IF($B162="","",SUMPRODUCT(COUNTIFS(pbp_PlayType,EM_Type,pbp_Pitcher,$B162)*EM_SF))</f>
        <v/>
      </c>
      <c r="P162" s="42" t="str">
        <f>IF($B162="","",SUMIFS(pbp_Pitches,pbp_Pitcher,$B162,pbp_PlayType,"?*"))</f>
        <v/>
      </c>
      <c r="Q162" s="60" t="str">
        <f t="shared" si="19"/>
        <v/>
      </c>
      <c r="R162" s="59" t="str">
        <f>IF($B162="","",IF(E162=0,"",1-SUMPRODUCT((pbp_Pitcher=$B162)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162)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62" s="59" t="str">
        <f>IF($B162="","",IF((SUMPRODUCT((pbp_Pitcher=$B162)*(LEN(pbp_PlayType)&gt;0)))=0,"",(SUMPRODUCT((pbp_Pitcher=$B162)*(LEN(pbp_PlayType)&gt;0)*ISNUMBER(MATCH(LEFT(TRIM(pbp_Seq)&amp;"/",FIND("/",TRIM(pbp_Seq)&amp;"/")-1),{"S","F","FT","FB","IN","MB","POS"},0))))/(SUMPRODUCT((pbp_Pitcher=$B162)*(LEN(pbp_PlayType)&gt;0)))))</f>
        <v/>
      </c>
      <c r="T162" s="59" t="str">
        <f t="shared" si="20"/>
        <v/>
      </c>
      <c r="U162" s="59" t="str">
        <f t="shared" si="21"/>
        <v/>
      </c>
      <c r="V162" s="59" t="str">
        <f t="shared" si="22"/>
        <v/>
      </c>
      <c r="W162" s="60" t="str">
        <f t="shared" si="23"/>
        <v/>
      </c>
      <c r="X162" s="60" t="str">
        <f t="shared" si="24"/>
        <v/>
      </c>
      <c r="Y162" s="58" t="str">
        <f t="shared" si="25"/>
        <v/>
      </c>
      <c r="Z162" s="58" t="str">
        <f t="shared" si="26"/>
        <v/>
      </c>
      <c r="AA162" s="62" t="str">
        <f>IF($B162="","",IF(OR(E162&lt;MinBF,X162=""),"",COUNTIFS($E$6:$E$255,"&gt;="&amp;MinBF,$X$6:$X$255,"&lt;"&amp;X162)+COUNTIFS($E$5:E161,"&gt;="&amp;MinBF,$X$5:X161,X162)+1))</f>
        <v/>
      </c>
    </row>
    <row r="163" spans="2:27" x14ac:dyDescent="0.2">
      <c r="B163" s="44" t="str">
        <f t="array" ref="B163">IFERROR(INDEX(pbp_Pitcher,MATCH(0,COUNTIF($B$5:B162,pbp_Pitcher)+(pbp_Pitcher=""),0)),"")</f>
        <v/>
      </c>
      <c r="C163" s="61" t="str">
        <f>IF($B163="","",IFERROR(INDEX(pbp_PitTeam,MATCH($B163,pbp_Pitcher,0)),""))</f>
        <v/>
      </c>
      <c r="D163" s="61" t="str">
        <f>IF($B163="","",IFERROR(INDEX(pbp_PitHand,MATCH($B163,pbp_Pitcher,0)),""))</f>
        <v/>
      </c>
      <c r="E163" s="42" t="str">
        <f>IF($B163="","",SUMPRODUCT(COUNTIFS(pbp_PlayType,EM_Type,pbp_Pitcher,$B163)*EM_PA))</f>
        <v/>
      </c>
      <c r="F163" s="42" t="str">
        <f>IF($B163="","",SUMIFS(pbp_Outs,pbp_Pitcher,$B163))</f>
        <v/>
      </c>
      <c r="G163" s="70" t="str">
        <f t="shared" si="18"/>
        <v/>
      </c>
      <c r="H163" s="42" t="str">
        <f>IF($B163="","",SUMPRODUCT(COUNTIFS(pbp_PlayType,EM_Type,pbp_Pitcher,$B163)*EM_H))</f>
        <v/>
      </c>
      <c r="I163" s="42" t="str">
        <f>IF($B163="","",SUMPRODUCT(COUNTIFS(pbp_PlayType,EM_Type,pbp_Pitcher,$B163)*EM_HR))</f>
        <v/>
      </c>
      <c r="J163" s="42" t="str">
        <f>IF($B163="","",SUMPRODUCT(COUNTIFS(pbp_PlayType,EM_Type,pbp_Pitcher,$B163)*EM_BB))</f>
        <v/>
      </c>
      <c r="K163" s="42" t="str">
        <f>IF($B163="","",SUMPRODUCT(COUNTIFS(pbp_PlayType,EM_Type,pbp_Pitcher,$B163)*EM_HBP))</f>
        <v/>
      </c>
      <c r="L163" s="42" t="str">
        <f>IF($B163="","",COUNTIFS(pbp_PlayType,"?*",pbp_Desc,"*struck out*",pbp_Pitcher,$B163))</f>
        <v/>
      </c>
      <c r="M163" s="42" t="str">
        <f>IF($B163="","",SUMIFS(pbp_Runs,pbp_Pitcher,$B163))</f>
        <v/>
      </c>
      <c r="N163" s="42" t="str">
        <f>IF($B163="","",SUMPRODUCT(COUNTIFS(pbp_PlayType,EM_Type,pbp_Pitcher,$B163)*EM_AB))</f>
        <v/>
      </c>
      <c r="O163" s="42" t="str">
        <f>IF($B163="","",SUMPRODUCT(COUNTIFS(pbp_PlayType,EM_Type,pbp_Pitcher,$B163)*EM_SF))</f>
        <v/>
      </c>
      <c r="P163" s="42" t="str">
        <f>IF($B163="","",SUMIFS(pbp_Pitches,pbp_Pitcher,$B163,pbp_PlayType,"?*"))</f>
        <v/>
      </c>
      <c r="Q163" s="60" t="str">
        <f t="shared" si="19"/>
        <v/>
      </c>
      <c r="R163" s="59" t="str">
        <f>IF($B163="","",IF(E163=0,"",1-SUMPRODUCT((pbp_Pitcher=$B163)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163)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63" s="59" t="str">
        <f>IF($B163="","",IF((SUMPRODUCT((pbp_Pitcher=$B163)*(LEN(pbp_PlayType)&gt;0)))=0,"",(SUMPRODUCT((pbp_Pitcher=$B163)*(LEN(pbp_PlayType)&gt;0)*ISNUMBER(MATCH(LEFT(TRIM(pbp_Seq)&amp;"/",FIND("/",TRIM(pbp_Seq)&amp;"/")-1),{"S","F","FT","FB","IN","MB","POS"},0))))/(SUMPRODUCT((pbp_Pitcher=$B163)*(LEN(pbp_PlayType)&gt;0)))))</f>
        <v/>
      </c>
      <c r="T163" s="59" t="str">
        <f t="shared" si="20"/>
        <v/>
      </c>
      <c r="U163" s="59" t="str">
        <f t="shared" si="21"/>
        <v/>
      </c>
      <c r="V163" s="59" t="str">
        <f t="shared" si="22"/>
        <v/>
      </c>
      <c r="W163" s="60" t="str">
        <f t="shared" si="23"/>
        <v/>
      </c>
      <c r="X163" s="60" t="str">
        <f t="shared" si="24"/>
        <v/>
      </c>
      <c r="Y163" s="58" t="str">
        <f t="shared" si="25"/>
        <v/>
      </c>
      <c r="Z163" s="58" t="str">
        <f t="shared" si="26"/>
        <v/>
      </c>
      <c r="AA163" s="62" t="str">
        <f>IF($B163="","",IF(OR(E163&lt;MinBF,X163=""),"",COUNTIFS($E$6:$E$255,"&gt;="&amp;MinBF,$X$6:$X$255,"&lt;"&amp;X163)+COUNTIFS($E$5:E162,"&gt;="&amp;MinBF,$X$5:X162,X163)+1))</f>
        <v/>
      </c>
    </row>
    <row r="164" spans="2:27" x14ac:dyDescent="0.2">
      <c r="B164" s="44" t="str">
        <f t="array" ref="B164">IFERROR(INDEX(pbp_Pitcher,MATCH(0,COUNTIF($B$5:B163,pbp_Pitcher)+(pbp_Pitcher=""),0)),"")</f>
        <v/>
      </c>
      <c r="C164" s="61" t="str">
        <f>IF($B164="","",IFERROR(INDEX(pbp_PitTeam,MATCH($B164,pbp_Pitcher,0)),""))</f>
        <v/>
      </c>
      <c r="D164" s="61" t="str">
        <f>IF($B164="","",IFERROR(INDEX(pbp_PitHand,MATCH($B164,pbp_Pitcher,0)),""))</f>
        <v/>
      </c>
      <c r="E164" s="42" t="str">
        <f>IF($B164="","",SUMPRODUCT(COUNTIFS(pbp_PlayType,EM_Type,pbp_Pitcher,$B164)*EM_PA))</f>
        <v/>
      </c>
      <c r="F164" s="42" t="str">
        <f>IF($B164="","",SUMIFS(pbp_Outs,pbp_Pitcher,$B164))</f>
        <v/>
      </c>
      <c r="G164" s="70" t="str">
        <f t="shared" si="18"/>
        <v/>
      </c>
      <c r="H164" s="42" t="str">
        <f>IF($B164="","",SUMPRODUCT(COUNTIFS(pbp_PlayType,EM_Type,pbp_Pitcher,$B164)*EM_H))</f>
        <v/>
      </c>
      <c r="I164" s="42" t="str">
        <f>IF($B164="","",SUMPRODUCT(COUNTIFS(pbp_PlayType,EM_Type,pbp_Pitcher,$B164)*EM_HR))</f>
        <v/>
      </c>
      <c r="J164" s="42" t="str">
        <f>IF($B164="","",SUMPRODUCT(COUNTIFS(pbp_PlayType,EM_Type,pbp_Pitcher,$B164)*EM_BB))</f>
        <v/>
      </c>
      <c r="K164" s="42" t="str">
        <f>IF($B164="","",SUMPRODUCT(COUNTIFS(pbp_PlayType,EM_Type,pbp_Pitcher,$B164)*EM_HBP))</f>
        <v/>
      </c>
      <c r="L164" s="42" t="str">
        <f>IF($B164="","",COUNTIFS(pbp_PlayType,"?*",pbp_Desc,"*struck out*",pbp_Pitcher,$B164))</f>
        <v/>
      </c>
      <c r="M164" s="42" t="str">
        <f>IF($B164="","",SUMIFS(pbp_Runs,pbp_Pitcher,$B164))</f>
        <v/>
      </c>
      <c r="N164" s="42" t="str">
        <f>IF($B164="","",SUMPRODUCT(COUNTIFS(pbp_PlayType,EM_Type,pbp_Pitcher,$B164)*EM_AB))</f>
        <v/>
      </c>
      <c r="O164" s="42" t="str">
        <f>IF($B164="","",SUMPRODUCT(COUNTIFS(pbp_PlayType,EM_Type,pbp_Pitcher,$B164)*EM_SF))</f>
        <v/>
      </c>
      <c r="P164" s="42" t="str">
        <f>IF($B164="","",SUMIFS(pbp_Pitches,pbp_Pitcher,$B164,pbp_PlayType,"?*"))</f>
        <v/>
      </c>
      <c r="Q164" s="60" t="str">
        <f t="shared" si="19"/>
        <v/>
      </c>
      <c r="R164" s="59" t="str">
        <f>IF($B164="","",IF(E164=0,"",1-SUMPRODUCT((pbp_Pitcher=$B164)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164)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64" s="59" t="str">
        <f>IF($B164="","",IF((SUMPRODUCT((pbp_Pitcher=$B164)*(LEN(pbp_PlayType)&gt;0)))=0,"",(SUMPRODUCT((pbp_Pitcher=$B164)*(LEN(pbp_PlayType)&gt;0)*ISNUMBER(MATCH(LEFT(TRIM(pbp_Seq)&amp;"/",FIND("/",TRIM(pbp_Seq)&amp;"/")-1),{"S","F","FT","FB","IN","MB","POS"},0))))/(SUMPRODUCT((pbp_Pitcher=$B164)*(LEN(pbp_PlayType)&gt;0)))))</f>
        <v/>
      </c>
      <c r="T164" s="59" t="str">
        <f t="shared" si="20"/>
        <v/>
      </c>
      <c r="U164" s="59" t="str">
        <f t="shared" si="21"/>
        <v/>
      </c>
      <c r="V164" s="59" t="str">
        <f t="shared" si="22"/>
        <v/>
      </c>
      <c r="W164" s="60" t="str">
        <f t="shared" si="23"/>
        <v/>
      </c>
      <c r="X164" s="60" t="str">
        <f t="shared" si="24"/>
        <v/>
      </c>
      <c r="Y164" s="58" t="str">
        <f t="shared" si="25"/>
        <v/>
      </c>
      <c r="Z164" s="58" t="str">
        <f t="shared" si="26"/>
        <v/>
      </c>
      <c r="AA164" s="62" t="str">
        <f>IF($B164="","",IF(OR(E164&lt;MinBF,X164=""),"",COUNTIFS($E$6:$E$255,"&gt;="&amp;MinBF,$X$6:$X$255,"&lt;"&amp;X164)+COUNTIFS($E$5:E163,"&gt;="&amp;MinBF,$X$5:X163,X164)+1))</f>
        <v/>
      </c>
    </row>
    <row r="165" spans="2:27" x14ac:dyDescent="0.2">
      <c r="B165" s="44" t="str">
        <f t="array" ref="B165">IFERROR(INDEX(pbp_Pitcher,MATCH(0,COUNTIF($B$5:B164,pbp_Pitcher)+(pbp_Pitcher=""),0)),"")</f>
        <v/>
      </c>
      <c r="C165" s="61" t="str">
        <f>IF($B165="","",IFERROR(INDEX(pbp_PitTeam,MATCH($B165,pbp_Pitcher,0)),""))</f>
        <v/>
      </c>
      <c r="D165" s="61" t="str">
        <f>IF($B165="","",IFERROR(INDEX(pbp_PitHand,MATCH($B165,pbp_Pitcher,0)),""))</f>
        <v/>
      </c>
      <c r="E165" s="42" t="str">
        <f>IF($B165="","",SUMPRODUCT(COUNTIFS(pbp_PlayType,EM_Type,pbp_Pitcher,$B165)*EM_PA))</f>
        <v/>
      </c>
      <c r="F165" s="42" t="str">
        <f>IF($B165="","",SUMIFS(pbp_Outs,pbp_Pitcher,$B165))</f>
        <v/>
      </c>
      <c r="G165" s="70" t="str">
        <f t="shared" si="18"/>
        <v/>
      </c>
      <c r="H165" s="42" t="str">
        <f>IF($B165="","",SUMPRODUCT(COUNTIFS(pbp_PlayType,EM_Type,pbp_Pitcher,$B165)*EM_H))</f>
        <v/>
      </c>
      <c r="I165" s="42" t="str">
        <f>IF($B165="","",SUMPRODUCT(COUNTIFS(pbp_PlayType,EM_Type,pbp_Pitcher,$B165)*EM_HR))</f>
        <v/>
      </c>
      <c r="J165" s="42" t="str">
        <f>IF($B165="","",SUMPRODUCT(COUNTIFS(pbp_PlayType,EM_Type,pbp_Pitcher,$B165)*EM_BB))</f>
        <v/>
      </c>
      <c r="K165" s="42" t="str">
        <f>IF($B165="","",SUMPRODUCT(COUNTIFS(pbp_PlayType,EM_Type,pbp_Pitcher,$B165)*EM_HBP))</f>
        <v/>
      </c>
      <c r="L165" s="42" t="str">
        <f>IF($B165="","",COUNTIFS(pbp_PlayType,"?*",pbp_Desc,"*struck out*",pbp_Pitcher,$B165))</f>
        <v/>
      </c>
      <c r="M165" s="42" t="str">
        <f>IF($B165="","",SUMIFS(pbp_Runs,pbp_Pitcher,$B165))</f>
        <v/>
      </c>
      <c r="N165" s="42" t="str">
        <f>IF($B165="","",SUMPRODUCT(COUNTIFS(pbp_PlayType,EM_Type,pbp_Pitcher,$B165)*EM_AB))</f>
        <v/>
      </c>
      <c r="O165" s="42" t="str">
        <f>IF($B165="","",SUMPRODUCT(COUNTIFS(pbp_PlayType,EM_Type,pbp_Pitcher,$B165)*EM_SF))</f>
        <v/>
      </c>
      <c r="P165" s="42" t="str">
        <f>IF($B165="","",SUMIFS(pbp_Pitches,pbp_Pitcher,$B165,pbp_PlayType,"?*"))</f>
        <v/>
      </c>
      <c r="Q165" s="60" t="str">
        <f t="shared" si="19"/>
        <v/>
      </c>
      <c r="R165" s="59" t="str">
        <f>IF($B165="","",IF(E165=0,"",1-SUMPRODUCT((pbp_Pitcher=$B165)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165)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65" s="59" t="str">
        <f>IF($B165="","",IF((SUMPRODUCT((pbp_Pitcher=$B165)*(LEN(pbp_PlayType)&gt;0)))=0,"",(SUMPRODUCT((pbp_Pitcher=$B165)*(LEN(pbp_PlayType)&gt;0)*ISNUMBER(MATCH(LEFT(TRIM(pbp_Seq)&amp;"/",FIND("/",TRIM(pbp_Seq)&amp;"/")-1),{"S","F","FT","FB","IN","MB","POS"},0))))/(SUMPRODUCT((pbp_Pitcher=$B165)*(LEN(pbp_PlayType)&gt;0)))))</f>
        <v/>
      </c>
      <c r="T165" s="59" t="str">
        <f t="shared" si="20"/>
        <v/>
      </c>
      <c r="U165" s="59" t="str">
        <f t="shared" si="21"/>
        <v/>
      </c>
      <c r="V165" s="59" t="str">
        <f t="shared" si="22"/>
        <v/>
      </c>
      <c r="W165" s="60" t="str">
        <f t="shared" si="23"/>
        <v/>
      </c>
      <c r="X165" s="60" t="str">
        <f t="shared" si="24"/>
        <v/>
      </c>
      <c r="Y165" s="58" t="str">
        <f t="shared" si="25"/>
        <v/>
      </c>
      <c r="Z165" s="58" t="str">
        <f t="shared" si="26"/>
        <v/>
      </c>
      <c r="AA165" s="62" t="str">
        <f>IF($B165="","",IF(OR(E165&lt;MinBF,X165=""),"",COUNTIFS($E$6:$E$255,"&gt;="&amp;MinBF,$X$6:$X$255,"&lt;"&amp;X165)+COUNTIFS($E$5:E164,"&gt;="&amp;MinBF,$X$5:X164,X165)+1))</f>
        <v/>
      </c>
    </row>
    <row r="166" spans="2:27" x14ac:dyDescent="0.2">
      <c r="B166" s="44" t="str">
        <f t="array" ref="B166">IFERROR(INDEX(pbp_Pitcher,MATCH(0,COUNTIF($B$5:B165,pbp_Pitcher)+(pbp_Pitcher=""),0)),"")</f>
        <v/>
      </c>
      <c r="C166" s="61" t="str">
        <f>IF($B166="","",IFERROR(INDEX(pbp_PitTeam,MATCH($B166,pbp_Pitcher,0)),""))</f>
        <v/>
      </c>
      <c r="D166" s="61" t="str">
        <f>IF($B166="","",IFERROR(INDEX(pbp_PitHand,MATCH($B166,pbp_Pitcher,0)),""))</f>
        <v/>
      </c>
      <c r="E166" s="42" t="str">
        <f>IF($B166="","",SUMPRODUCT(COUNTIFS(pbp_PlayType,EM_Type,pbp_Pitcher,$B166)*EM_PA))</f>
        <v/>
      </c>
      <c r="F166" s="42" t="str">
        <f>IF($B166="","",SUMIFS(pbp_Outs,pbp_Pitcher,$B166))</f>
        <v/>
      </c>
      <c r="G166" s="70" t="str">
        <f t="shared" si="18"/>
        <v/>
      </c>
      <c r="H166" s="42" t="str">
        <f>IF($B166="","",SUMPRODUCT(COUNTIFS(pbp_PlayType,EM_Type,pbp_Pitcher,$B166)*EM_H))</f>
        <v/>
      </c>
      <c r="I166" s="42" t="str">
        <f>IF($B166="","",SUMPRODUCT(COUNTIFS(pbp_PlayType,EM_Type,pbp_Pitcher,$B166)*EM_HR))</f>
        <v/>
      </c>
      <c r="J166" s="42" t="str">
        <f>IF($B166="","",SUMPRODUCT(COUNTIFS(pbp_PlayType,EM_Type,pbp_Pitcher,$B166)*EM_BB))</f>
        <v/>
      </c>
      <c r="K166" s="42" t="str">
        <f>IF($B166="","",SUMPRODUCT(COUNTIFS(pbp_PlayType,EM_Type,pbp_Pitcher,$B166)*EM_HBP))</f>
        <v/>
      </c>
      <c r="L166" s="42" t="str">
        <f>IF($B166="","",COUNTIFS(pbp_PlayType,"?*",pbp_Desc,"*struck out*",pbp_Pitcher,$B166))</f>
        <v/>
      </c>
      <c r="M166" s="42" t="str">
        <f>IF($B166="","",SUMIFS(pbp_Runs,pbp_Pitcher,$B166))</f>
        <v/>
      </c>
      <c r="N166" s="42" t="str">
        <f>IF($B166="","",SUMPRODUCT(COUNTIFS(pbp_PlayType,EM_Type,pbp_Pitcher,$B166)*EM_AB))</f>
        <v/>
      </c>
      <c r="O166" s="42" t="str">
        <f>IF($B166="","",SUMPRODUCT(COUNTIFS(pbp_PlayType,EM_Type,pbp_Pitcher,$B166)*EM_SF))</f>
        <v/>
      </c>
      <c r="P166" s="42" t="str">
        <f>IF($B166="","",SUMIFS(pbp_Pitches,pbp_Pitcher,$B166,pbp_PlayType,"?*"))</f>
        <v/>
      </c>
      <c r="Q166" s="60" t="str">
        <f t="shared" si="19"/>
        <v/>
      </c>
      <c r="R166" s="59" t="str">
        <f>IF($B166="","",IF(E166=0,"",1-SUMPRODUCT((pbp_Pitcher=$B166)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166)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66" s="59" t="str">
        <f>IF($B166="","",IF((SUMPRODUCT((pbp_Pitcher=$B166)*(LEN(pbp_PlayType)&gt;0)))=0,"",(SUMPRODUCT((pbp_Pitcher=$B166)*(LEN(pbp_PlayType)&gt;0)*ISNUMBER(MATCH(LEFT(TRIM(pbp_Seq)&amp;"/",FIND("/",TRIM(pbp_Seq)&amp;"/")-1),{"S","F","FT","FB","IN","MB","POS"},0))))/(SUMPRODUCT((pbp_Pitcher=$B166)*(LEN(pbp_PlayType)&gt;0)))))</f>
        <v/>
      </c>
      <c r="T166" s="59" t="str">
        <f t="shared" si="20"/>
        <v/>
      </c>
      <c r="U166" s="59" t="str">
        <f t="shared" si="21"/>
        <v/>
      </c>
      <c r="V166" s="59" t="str">
        <f t="shared" si="22"/>
        <v/>
      </c>
      <c r="W166" s="60" t="str">
        <f t="shared" si="23"/>
        <v/>
      </c>
      <c r="X166" s="60" t="str">
        <f t="shared" si="24"/>
        <v/>
      </c>
      <c r="Y166" s="58" t="str">
        <f t="shared" si="25"/>
        <v/>
      </c>
      <c r="Z166" s="58" t="str">
        <f t="shared" si="26"/>
        <v/>
      </c>
      <c r="AA166" s="62" t="str">
        <f>IF($B166="","",IF(OR(E166&lt;MinBF,X166=""),"",COUNTIFS($E$6:$E$255,"&gt;="&amp;MinBF,$X$6:$X$255,"&lt;"&amp;X166)+COUNTIFS($E$5:E165,"&gt;="&amp;MinBF,$X$5:X165,X166)+1))</f>
        <v/>
      </c>
    </row>
    <row r="167" spans="2:27" x14ac:dyDescent="0.2">
      <c r="B167" s="44" t="str">
        <f t="array" ref="B167">IFERROR(INDEX(pbp_Pitcher,MATCH(0,COUNTIF($B$5:B166,pbp_Pitcher)+(pbp_Pitcher=""),0)),"")</f>
        <v/>
      </c>
      <c r="C167" s="61" t="str">
        <f>IF($B167="","",IFERROR(INDEX(pbp_PitTeam,MATCH($B167,pbp_Pitcher,0)),""))</f>
        <v/>
      </c>
      <c r="D167" s="61" t="str">
        <f>IF($B167="","",IFERROR(INDEX(pbp_PitHand,MATCH($B167,pbp_Pitcher,0)),""))</f>
        <v/>
      </c>
      <c r="E167" s="42" t="str">
        <f>IF($B167="","",SUMPRODUCT(COUNTIFS(pbp_PlayType,EM_Type,pbp_Pitcher,$B167)*EM_PA))</f>
        <v/>
      </c>
      <c r="F167" s="42" t="str">
        <f>IF($B167="","",SUMIFS(pbp_Outs,pbp_Pitcher,$B167))</f>
        <v/>
      </c>
      <c r="G167" s="70" t="str">
        <f t="shared" si="18"/>
        <v/>
      </c>
      <c r="H167" s="42" t="str">
        <f>IF($B167="","",SUMPRODUCT(COUNTIFS(pbp_PlayType,EM_Type,pbp_Pitcher,$B167)*EM_H))</f>
        <v/>
      </c>
      <c r="I167" s="42" t="str">
        <f>IF($B167="","",SUMPRODUCT(COUNTIFS(pbp_PlayType,EM_Type,pbp_Pitcher,$B167)*EM_HR))</f>
        <v/>
      </c>
      <c r="J167" s="42" t="str">
        <f>IF($B167="","",SUMPRODUCT(COUNTIFS(pbp_PlayType,EM_Type,pbp_Pitcher,$B167)*EM_BB))</f>
        <v/>
      </c>
      <c r="K167" s="42" t="str">
        <f>IF($B167="","",SUMPRODUCT(COUNTIFS(pbp_PlayType,EM_Type,pbp_Pitcher,$B167)*EM_HBP))</f>
        <v/>
      </c>
      <c r="L167" s="42" t="str">
        <f>IF($B167="","",COUNTIFS(pbp_PlayType,"?*",pbp_Desc,"*struck out*",pbp_Pitcher,$B167))</f>
        <v/>
      </c>
      <c r="M167" s="42" t="str">
        <f>IF($B167="","",SUMIFS(pbp_Runs,pbp_Pitcher,$B167))</f>
        <v/>
      </c>
      <c r="N167" s="42" t="str">
        <f>IF($B167="","",SUMPRODUCT(COUNTIFS(pbp_PlayType,EM_Type,pbp_Pitcher,$B167)*EM_AB))</f>
        <v/>
      </c>
      <c r="O167" s="42" t="str">
        <f>IF($B167="","",SUMPRODUCT(COUNTIFS(pbp_PlayType,EM_Type,pbp_Pitcher,$B167)*EM_SF))</f>
        <v/>
      </c>
      <c r="P167" s="42" t="str">
        <f>IF($B167="","",SUMIFS(pbp_Pitches,pbp_Pitcher,$B167,pbp_PlayType,"?*"))</f>
        <v/>
      </c>
      <c r="Q167" s="60" t="str">
        <f t="shared" si="19"/>
        <v/>
      </c>
      <c r="R167" s="59" t="str">
        <f>IF($B167="","",IF(E167=0,"",1-SUMPRODUCT((pbp_Pitcher=$B167)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167)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67" s="59" t="str">
        <f>IF($B167="","",IF((SUMPRODUCT((pbp_Pitcher=$B167)*(LEN(pbp_PlayType)&gt;0)))=0,"",(SUMPRODUCT((pbp_Pitcher=$B167)*(LEN(pbp_PlayType)&gt;0)*ISNUMBER(MATCH(LEFT(TRIM(pbp_Seq)&amp;"/",FIND("/",TRIM(pbp_Seq)&amp;"/")-1),{"S","F","FT","FB","IN","MB","POS"},0))))/(SUMPRODUCT((pbp_Pitcher=$B167)*(LEN(pbp_PlayType)&gt;0)))))</f>
        <v/>
      </c>
      <c r="T167" s="59" t="str">
        <f t="shared" si="20"/>
        <v/>
      </c>
      <c r="U167" s="59" t="str">
        <f t="shared" si="21"/>
        <v/>
      </c>
      <c r="V167" s="59" t="str">
        <f t="shared" si="22"/>
        <v/>
      </c>
      <c r="W167" s="60" t="str">
        <f t="shared" si="23"/>
        <v/>
      </c>
      <c r="X167" s="60" t="str">
        <f t="shared" si="24"/>
        <v/>
      </c>
      <c r="Y167" s="58" t="str">
        <f t="shared" si="25"/>
        <v/>
      </c>
      <c r="Z167" s="58" t="str">
        <f t="shared" si="26"/>
        <v/>
      </c>
      <c r="AA167" s="62" t="str">
        <f>IF($B167="","",IF(OR(E167&lt;MinBF,X167=""),"",COUNTIFS($E$6:$E$255,"&gt;="&amp;MinBF,$X$6:$X$255,"&lt;"&amp;X167)+COUNTIFS($E$5:E166,"&gt;="&amp;MinBF,$X$5:X166,X167)+1))</f>
        <v/>
      </c>
    </row>
    <row r="168" spans="2:27" x14ac:dyDescent="0.2">
      <c r="B168" s="44" t="str">
        <f t="array" ref="B168">IFERROR(INDEX(pbp_Pitcher,MATCH(0,COUNTIF($B$5:B167,pbp_Pitcher)+(pbp_Pitcher=""),0)),"")</f>
        <v/>
      </c>
      <c r="C168" s="61" t="str">
        <f>IF($B168="","",IFERROR(INDEX(pbp_PitTeam,MATCH($B168,pbp_Pitcher,0)),""))</f>
        <v/>
      </c>
      <c r="D168" s="61" t="str">
        <f>IF($B168="","",IFERROR(INDEX(pbp_PitHand,MATCH($B168,pbp_Pitcher,0)),""))</f>
        <v/>
      </c>
      <c r="E168" s="42" t="str">
        <f>IF($B168="","",SUMPRODUCT(COUNTIFS(pbp_PlayType,EM_Type,pbp_Pitcher,$B168)*EM_PA))</f>
        <v/>
      </c>
      <c r="F168" s="42" t="str">
        <f>IF($B168="","",SUMIFS(pbp_Outs,pbp_Pitcher,$B168))</f>
        <v/>
      </c>
      <c r="G168" s="70" t="str">
        <f t="shared" si="18"/>
        <v/>
      </c>
      <c r="H168" s="42" t="str">
        <f>IF($B168="","",SUMPRODUCT(COUNTIFS(pbp_PlayType,EM_Type,pbp_Pitcher,$B168)*EM_H))</f>
        <v/>
      </c>
      <c r="I168" s="42" t="str">
        <f>IF($B168="","",SUMPRODUCT(COUNTIFS(pbp_PlayType,EM_Type,pbp_Pitcher,$B168)*EM_HR))</f>
        <v/>
      </c>
      <c r="J168" s="42" t="str">
        <f>IF($B168="","",SUMPRODUCT(COUNTIFS(pbp_PlayType,EM_Type,pbp_Pitcher,$B168)*EM_BB))</f>
        <v/>
      </c>
      <c r="K168" s="42" t="str">
        <f>IF($B168="","",SUMPRODUCT(COUNTIFS(pbp_PlayType,EM_Type,pbp_Pitcher,$B168)*EM_HBP))</f>
        <v/>
      </c>
      <c r="L168" s="42" t="str">
        <f>IF($B168="","",COUNTIFS(pbp_PlayType,"?*",pbp_Desc,"*struck out*",pbp_Pitcher,$B168))</f>
        <v/>
      </c>
      <c r="M168" s="42" t="str">
        <f>IF($B168="","",SUMIFS(pbp_Runs,pbp_Pitcher,$B168))</f>
        <v/>
      </c>
      <c r="N168" s="42" t="str">
        <f>IF($B168="","",SUMPRODUCT(COUNTIFS(pbp_PlayType,EM_Type,pbp_Pitcher,$B168)*EM_AB))</f>
        <v/>
      </c>
      <c r="O168" s="42" t="str">
        <f>IF($B168="","",SUMPRODUCT(COUNTIFS(pbp_PlayType,EM_Type,pbp_Pitcher,$B168)*EM_SF))</f>
        <v/>
      </c>
      <c r="P168" s="42" t="str">
        <f>IF($B168="","",SUMIFS(pbp_Pitches,pbp_Pitcher,$B168,pbp_PlayType,"?*"))</f>
        <v/>
      </c>
      <c r="Q168" s="60" t="str">
        <f t="shared" si="19"/>
        <v/>
      </c>
      <c r="R168" s="59" t="str">
        <f>IF($B168="","",IF(E168=0,"",1-SUMPRODUCT((pbp_Pitcher=$B168)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168)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68" s="59" t="str">
        <f>IF($B168="","",IF((SUMPRODUCT((pbp_Pitcher=$B168)*(LEN(pbp_PlayType)&gt;0)))=0,"",(SUMPRODUCT((pbp_Pitcher=$B168)*(LEN(pbp_PlayType)&gt;0)*ISNUMBER(MATCH(LEFT(TRIM(pbp_Seq)&amp;"/",FIND("/",TRIM(pbp_Seq)&amp;"/")-1),{"S","F","FT","FB","IN","MB","POS"},0))))/(SUMPRODUCT((pbp_Pitcher=$B168)*(LEN(pbp_PlayType)&gt;0)))))</f>
        <v/>
      </c>
      <c r="T168" s="59" t="str">
        <f t="shared" si="20"/>
        <v/>
      </c>
      <c r="U168" s="59" t="str">
        <f t="shared" si="21"/>
        <v/>
      </c>
      <c r="V168" s="59" t="str">
        <f t="shared" si="22"/>
        <v/>
      </c>
      <c r="W168" s="60" t="str">
        <f t="shared" si="23"/>
        <v/>
      </c>
      <c r="X168" s="60" t="str">
        <f t="shared" si="24"/>
        <v/>
      </c>
      <c r="Y168" s="58" t="str">
        <f t="shared" si="25"/>
        <v/>
      </c>
      <c r="Z168" s="58" t="str">
        <f t="shared" si="26"/>
        <v/>
      </c>
      <c r="AA168" s="62" t="str">
        <f>IF($B168="","",IF(OR(E168&lt;MinBF,X168=""),"",COUNTIFS($E$6:$E$255,"&gt;="&amp;MinBF,$X$6:$X$255,"&lt;"&amp;X168)+COUNTIFS($E$5:E167,"&gt;="&amp;MinBF,$X$5:X167,X168)+1))</f>
        <v/>
      </c>
    </row>
    <row r="169" spans="2:27" x14ac:dyDescent="0.2">
      <c r="B169" s="44" t="str">
        <f t="array" ref="B169">IFERROR(INDEX(pbp_Pitcher,MATCH(0,COUNTIF($B$5:B168,pbp_Pitcher)+(pbp_Pitcher=""),0)),"")</f>
        <v/>
      </c>
      <c r="C169" s="61" t="str">
        <f>IF($B169="","",IFERROR(INDEX(pbp_PitTeam,MATCH($B169,pbp_Pitcher,0)),""))</f>
        <v/>
      </c>
      <c r="D169" s="61" t="str">
        <f>IF($B169="","",IFERROR(INDEX(pbp_PitHand,MATCH($B169,pbp_Pitcher,0)),""))</f>
        <v/>
      </c>
      <c r="E169" s="42" t="str">
        <f>IF($B169="","",SUMPRODUCT(COUNTIFS(pbp_PlayType,EM_Type,pbp_Pitcher,$B169)*EM_PA))</f>
        <v/>
      </c>
      <c r="F169" s="42" t="str">
        <f>IF($B169="","",SUMIFS(pbp_Outs,pbp_Pitcher,$B169))</f>
        <v/>
      </c>
      <c r="G169" s="70" t="str">
        <f t="shared" si="18"/>
        <v/>
      </c>
      <c r="H169" s="42" t="str">
        <f>IF($B169="","",SUMPRODUCT(COUNTIFS(pbp_PlayType,EM_Type,pbp_Pitcher,$B169)*EM_H))</f>
        <v/>
      </c>
      <c r="I169" s="42" t="str">
        <f>IF($B169="","",SUMPRODUCT(COUNTIFS(pbp_PlayType,EM_Type,pbp_Pitcher,$B169)*EM_HR))</f>
        <v/>
      </c>
      <c r="J169" s="42" t="str">
        <f>IF($B169="","",SUMPRODUCT(COUNTIFS(pbp_PlayType,EM_Type,pbp_Pitcher,$B169)*EM_BB))</f>
        <v/>
      </c>
      <c r="K169" s="42" t="str">
        <f>IF($B169="","",SUMPRODUCT(COUNTIFS(pbp_PlayType,EM_Type,pbp_Pitcher,$B169)*EM_HBP))</f>
        <v/>
      </c>
      <c r="L169" s="42" t="str">
        <f>IF($B169="","",COUNTIFS(pbp_PlayType,"?*",pbp_Desc,"*struck out*",pbp_Pitcher,$B169))</f>
        <v/>
      </c>
      <c r="M169" s="42" t="str">
        <f>IF($B169="","",SUMIFS(pbp_Runs,pbp_Pitcher,$B169))</f>
        <v/>
      </c>
      <c r="N169" s="42" t="str">
        <f>IF($B169="","",SUMPRODUCT(COUNTIFS(pbp_PlayType,EM_Type,pbp_Pitcher,$B169)*EM_AB))</f>
        <v/>
      </c>
      <c r="O169" s="42" t="str">
        <f>IF($B169="","",SUMPRODUCT(COUNTIFS(pbp_PlayType,EM_Type,pbp_Pitcher,$B169)*EM_SF))</f>
        <v/>
      </c>
      <c r="P169" s="42" t="str">
        <f>IF($B169="","",SUMIFS(pbp_Pitches,pbp_Pitcher,$B169,pbp_PlayType,"?*"))</f>
        <v/>
      </c>
      <c r="Q169" s="60" t="str">
        <f t="shared" si="19"/>
        <v/>
      </c>
      <c r="R169" s="59" t="str">
        <f>IF($B169="","",IF(E169=0,"",1-SUMPRODUCT((pbp_Pitcher=$B169)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169)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69" s="59" t="str">
        <f>IF($B169="","",IF((SUMPRODUCT((pbp_Pitcher=$B169)*(LEN(pbp_PlayType)&gt;0)))=0,"",(SUMPRODUCT((pbp_Pitcher=$B169)*(LEN(pbp_PlayType)&gt;0)*ISNUMBER(MATCH(LEFT(TRIM(pbp_Seq)&amp;"/",FIND("/",TRIM(pbp_Seq)&amp;"/")-1),{"S","F","FT","FB","IN","MB","POS"},0))))/(SUMPRODUCT((pbp_Pitcher=$B169)*(LEN(pbp_PlayType)&gt;0)))))</f>
        <v/>
      </c>
      <c r="T169" s="59" t="str">
        <f t="shared" si="20"/>
        <v/>
      </c>
      <c r="U169" s="59" t="str">
        <f t="shared" si="21"/>
        <v/>
      </c>
      <c r="V169" s="59" t="str">
        <f t="shared" si="22"/>
        <v/>
      </c>
      <c r="W169" s="60" t="str">
        <f t="shared" si="23"/>
        <v/>
      </c>
      <c r="X169" s="60" t="str">
        <f t="shared" si="24"/>
        <v/>
      </c>
      <c r="Y169" s="58" t="str">
        <f t="shared" si="25"/>
        <v/>
      </c>
      <c r="Z169" s="58" t="str">
        <f t="shared" si="26"/>
        <v/>
      </c>
      <c r="AA169" s="62" t="str">
        <f>IF($B169="","",IF(OR(E169&lt;MinBF,X169=""),"",COUNTIFS($E$6:$E$255,"&gt;="&amp;MinBF,$X$6:$X$255,"&lt;"&amp;X169)+COUNTIFS($E$5:E168,"&gt;="&amp;MinBF,$X$5:X168,X169)+1))</f>
        <v/>
      </c>
    </row>
    <row r="170" spans="2:27" x14ac:dyDescent="0.2">
      <c r="B170" s="44" t="str">
        <f t="array" ref="B170">IFERROR(INDEX(pbp_Pitcher,MATCH(0,COUNTIF($B$5:B169,pbp_Pitcher)+(pbp_Pitcher=""),0)),"")</f>
        <v/>
      </c>
      <c r="C170" s="61" t="str">
        <f>IF($B170="","",IFERROR(INDEX(pbp_PitTeam,MATCH($B170,pbp_Pitcher,0)),""))</f>
        <v/>
      </c>
      <c r="D170" s="61" t="str">
        <f>IF($B170="","",IFERROR(INDEX(pbp_PitHand,MATCH($B170,pbp_Pitcher,0)),""))</f>
        <v/>
      </c>
      <c r="E170" s="42" t="str">
        <f>IF($B170="","",SUMPRODUCT(COUNTIFS(pbp_PlayType,EM_Type,pbp_Pitcher,$B170)*EM_PA))</f>
        <v/>
      </c>
      <c r="F170" s="42" t="str">
        <f>IF($B170="","",SUMIFS(pbp_Outs,pbp_Pitcher,$B170))</f>
        <v/>
      </c>
      <c r="G170" s="70" t="str">
        <f t="shared" si="18"/>
        <v/>
      </c>
      <c r="H170" s="42" t="str">
        <f>IF($B170="","",SUMPRODUCT(COUNTIFS(pbp_PlayType,EM_Type,pbp_Pitcher,$B170)*EM_H))</f>
        <v/>
      </c>
      <c r="I170" s="42" t="str">
        <f>IF($B170="","",SUMPRODUCT(COUNTIFS(pbp_PlayType,EM_Type,pbp_Pitcher,$B170)*EM_HR))</f>
        <v/>
      </c>
      <c r="J170" s="42" t="str">
        <f>IF($B170="","",SUMPRODUCT(COUNTIFS(pbp_PlayType,EM_Type,pbp_Pitcher,$B170)*EM_BB))</f>
        <v/>
      </c>
      <c r="K170" s="42" t="str">
        <f>IF($B170="","",SUMPRODUCT(COUNTIFS(pbp_PlayType,EM_Type,pbp_Pitcher,$B170)*EM_HBP))</f>
        <v/>
      </c>
      <c r="L170" s="42" t="str">
        <f>IF($B170="","",COUNTIFS(pbp_PlayType,"?*",pbp_Desc,"*struck out*",pbp_Pitcher,$B170))</f>
        <v/>
      </c>
      <c r="M170" s="42" t="str">
        <f>IF($B170="","",SUMIFS(pbp_Runs,pbp_Pitcher,$B170))</f>
        <v/>
      </c>
      <c r="N170" s="42" t="str">
        <f>IF($B170="","",SUMPRODUCT(COUNTIFS(pbp_PlayType,EM_Type,pbp_Pitcher,$B170)*EM_AB))</f>
        <v/>
      </c>
      <c r="O170" s="42" t="str">
        <f>IF($B170="","",SUMPRODUCT(COUNTIFS(pbp_PlayType,EM_Type,pbp_Pitcher,$B170)*EM_SF))</f>
        <v/>
      </c>
      <c r="P170" s="42" t="str">
        <f>IF($B170="","",SUMIFS(pbp_Pitches,pbp_Pitcher,$B170,pbp_PlayType,"?*"))</f>
        <v/>
      </c>
      <c r="Q170" s="60" t="str">
        <f t="shared" si="19"/>
        <v/>
      </c>
      <c r="R170" s="59" t="str">
        <f>IF($B170="","",IF(E170=0,"",1-SUMPRODUCT((pbp_Pitcher=$B170)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170)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70" s="59" t="str">
        <f>IF($B170="","",IF((SUMPRODUCT((pbp_Pitcher=$B170)*(LEN(pbp_PlayType)&gt;0)))=0,"",(SUMPRODUCT((pbp_Pitcher=$B170)*(LEN(pbp_PlayType)&gt;0)*ISNUMBER(MATCH(LEFT(TRIM(pbp_Seq)&amp;"/",FIND("/",TRIM(pbp_Seq)&amp;"/")-1),{"S","F","FT","FB","IN","MB","POS"},0))))/(SUMPRODUCT((pbp_Pitcher=$B170)*(LEN(pbp_PlayType)&gt;0)))))</f>
        <v/>
      </c>
      <c r="T170" s="59" t="str">
        <f t="shared" si="20"/>
        <v/>
      </c>
      <c r="U170" s="59" t="str">
        <f t="shared" si="21"/>
        <v/>
      </c>
      <c r="V170" s="59" t="str">
        <f t="shared" si="22"/>
        <v/>
      </c>
      <c r="W170" s="60" t="str">
        <f t="shared" si="23"/>
        <v/>
      </c>
      <c r="X170" s="60" t="str">
        <f t="shared" si="24"/>
        <v/>
      </c>
      <c r="Y170" s="58" t="str">
        <f t="shared" si="25"/>
        <v/>
      </c>
      <c r="Z170" s="58" t="str">
        <f t="shared" si="26"/>
        <v/>
      </c>
      <c r="AA170" s="62" t="str">
        <f>IF($B170="","",IF(OR(E170&lt;MinBF,X170=""),"",COUNTIFS($E$6:$E$255,"&gt;="&amp;MinBF,$X$6:$X$255,"&lt;"&amp;X170)+COUNTIFS($E$5:E169,"&gt;="&amp;MinBF,$X$5:X169,X170)+1))</f>
        <v/>
      </c>
    </row>
    <row r="171" spans="2:27" x14ac:dyDescent="0.2">
      <c r="B171" s="44" t="str">
        <f t="array" ref="B171">IFERROR(INDEX(pbp_Pitcher,MATCH(0,COUNTIF($B$5:B170,pbp_Pitcher)+(pbp_Pitcher=""),0)),"")</f>
        <v/>
      </c>
      <c r="C171" s="61" t="str">
        <f>IF($B171="","",IFERROR(INDEX(pbp_PitTeam,MATCH($B171,pbp_Pitcher,0)),""))</f>
        <v/>
      </c>
      <c r="D171" s="61" t="str">
        <f>IF($B171="","",IFERROR(INDEX(pbp_PitHand,MATCH($B171,pbp_Pitcher,0)),""))</f>
        <v/>
      </c>
      <c r="E171" s="42" t="str">
        <f>IF($B171="","",SUMPRODUCT(COUNTIFS(pbp_PlayType,EM_Type,pbp_Pitcher,$B171)*EM_PA))</f>
        <v/>
      </c>
      <c r="F171" s="42" t="str">
        <f>IF($B171="","",SUMIFS(pbp_Outs,pbp_Pitcher,$B171))</f>
        <v/>
      </c>
      <c r="G171" s="70" t="str">
        <f t="shared" si="18"/>
        <v/>
      </c>
      <c r="H171" s="42" t="str">
        <f>IF($B171="","",SUMPRODUCT(COUNTIFS(pbp_PlayType,EM_Type,pbp_Pitcher,$B171)*EM_H))</f>
        <v/>
      </c>
      <c r="I171" s="42" t="str">
        <f>IF($B171="","",SUMPRODUCT(COUNTIFS(pbp_PlayType,EM_Type,pbp_Pitcher,$B171)*EM_HR))</f>
        <v/>
      </c>
      <c r="J171" s="42" t="str">
        <f>IF($B171="","",SUMPRODUCT(COUNTIFS(pbp_PlayType,EM_Type,pbp_Pitcher,$B171)*EM_BB))</f>
        <v/>
      </c>
      <c r="K171" s="42" t="str">
        <f>IF($B171="","",SUMPRODUCT(COUNTIFS(pbp_PlayType,EM_Type,pbp_Pitcher,$B171)*EM_HBP))</f>
        <v/>
      </c>
      <c r="L171" s="42" t="str">
        <f>IF($B171="","",COUNTIFS(pbp_PlayType,"?*",pbp_Desc,"*struck out*",pbp_Pitcher,$B171))</f>
        <v/>
      </c>
      <c r="M171" s="42" t="str">
        <f>IF($B171="","",SUMIFS(pbp_Runs,pbp_Pitcher,$B171))</f>
        <v/>
      </c>
      <c r="N171" s="42" t="str">
        <f>IF($B171="","",SUMPRODUCT(COUNTIFS(pbp_PlayType,EM_Type,pbp_Pitcher,$B171)*EM_AB))</f>
        <v/>
      </c>
      <c r="O171" s="42" t="str">
        <f>IF($B171="","",SUMPRODUCT(COUNTIFS(pbp_PlayType,EM_Type,pbp_Pitcher,$B171)*EM_SF))</f>
        <v/>
      </c>
      <c r="P171" s="42" t="str">
        <f>IF($B171="","",SUMIFS(pbp_Pitches,pbp_Pitcher,$B171,pbp_PlayType,"?*"))</f>
        <v/>
      </c>
      <c r="Q171" s="60" t="str">
        <f t="shared" si="19"/>
        <v/>
      </c>
      <c r="R171" s="59" t="str">
        <f>IF($B171="","",IF(E171=0,"",1-SUMPRODUCT((pbp_Pitcher=$B171)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171)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71" s="59" t="str">
        <f>IF($B171="","",IF((SUMPRODUCT((pbp_Pitcher=$B171)*(LEN(pbp_PlayType)&gt;0)))=0,"",(SUMPRODUCT((pbp_Pitcher=$B171)*(LEN(pbp_PlayType)&gt;0)*ISNUMBER(MATCH(LEFT(TRIM(pbp_Seq)&amp;"/",FIND("/",TRIM(pbp_Seq)&amp;"/")-1),{"S","F","FT","FB","IN","MB","POS"},0))))/(SUMPRODUCT((pbp_Pitcher=$B171)*(LEN(pbp_PlayType)&gt;0)))))</f>
        <v/>
      </c>
      <c r="T171" s="59" t="str">
        <f t="shared" si="20"/>
        <v/>
      </c>
      <c r="U171" s="59" t="str">
        <f t="shared" si="21"/>
        <v/>
      </c>
      <c r="V171" s="59" t="str">
        <f t="shared" si="22"/>
        <v/>
      </c>
      <c r="W171" s="60" t="str">
        <f t="shared" si="23"/>
        <v/>
      </c>
      <c r="X171" s="60" t="str">
        <f t="shared" si="24"/>
        <v/>
      </c>
      <c r="Y171" s="58" t="str">
        <f t="shared" si="25"/>
        <v/>
      </c>
      <c r="Z171" s="58" t="str">
        <f t="shared" si="26"/>
        <v/>
      </c>
      <c r="AA171" s="62" t="str">
        <f>IF($B171="","",IF(OR(E171&lt;MinBF,X171=""),"",COUNTIFS($E$6:$E$255,"&gt;="&amp;MinBF,$X$6:$X$255,"&lt;"&amp;X171)+COUNTIFS($E$5:E170,"&gt;="&amp;MinBF,$X$5:X170,X171)+1))</f>
        <v/>
      </c>
    </row>
    <row r="172" spans="2:27" x14ac:dyDescent="0.2">
      <c r="B172" s="44" t="str">
        <f t="array" ref="B172">IFERROR(INDEX(pbp_Pitcher,MATCH(0,COUNTIF($B$5:B171,pbp_Pitcher)+(pbp_Pitcher=""),0)),"")</f>
        <v/>
      </c>
      <c r="C172" s="61" t="str">
        <f>IF($B172="","",IFERROR(INDEX(pbp_PitTeam,MATCH($B172,pbp_Pitcher,0)),""))</f>
        <v/>
      </c>
      <c r="D172" s="61" t="str">
        <f>IF($B172="","",IFERROR(INDEX(pbp_PitHand,MATCH($B172,pbp_Pitcher,0)),""))</f>
        <v/>
      </c>
      <c r="E172" s="42" t="str">
        <f>IF($B172="","",SUMPRODUCT(COUNTIFS(pbp_PlayType,EM_Type,pbp_Pitcher,$B172)*EM_PA))</f>
        <v/>
      </c>
      <c r="F172" s="42" t="str">
        <f>IF($B172="","",SUMIFS(pbp_Outs,pbp_Pitcher,$B172))</f>
        <v/>
      </c>
      <c r="G172" s="70" t="str">
        <f t="shared" si="18"/>
        <v/>
      </c>
      <c r="H172" s="42" t="str">
        <f>IF($B172="","",SUMPRODUCT(COUNTIFS(pbp_PlayType,EM_Type,pbp_Pitcher,$B172)*EM_H))</f>
        <v/>
      </c>
      <c r="I172" s="42" t="str">
        <f>IF($B172="","",SUMPRODUCT(COUNTIFS(pbp_PlayType,EM_Type,pbp_Pitcher,$B172)*EM_HR))</f>
        <v/>
      </c>
      <c r="J172" s="42" t="str">
        <f>IF($B172="","",SUMPRODUCT(COUNTIFS(pbp_PlayType,EM_Type,pbp_Pitcher,$B172)*EM_BB))</f>
        <v/>
      </c>
      <c r="K172" s="42" t="str">
        <f>IF($B172="","",SUMPRODUCT(COUNTIFS(pbp_PlayType,EM_Type,pbp_Pitcher,$B172)*EM_HBP))</f>
        <v/>
      </c>
      <c r="L172" s="42" t="str">
        <f>IF($B172="","",COUNTIFS(pbp_PlayType,"?*",pbp_Desc,"*struck out*",pbp_Pitcher,$B172))</f>
        <v/>
      </c>
      <c r="M172" s="42" t="str">
        <f>IF($B172="","",SUMIFS(pbp_Runs,pbp_Pitcher,$B172))</f>
        <v/>
      </c>
      <c r="N172" s="42" t="str">
        <f>IF($B172="","",SUMPRODUCT(COUNTIFS(pbp_PlayType,EM_Type,pbp_Pitcher,$B172)*EM_AB))</f>
        <v/>
      </c>
      <c r="O172" s="42" t="str">
        <f>IF($B172="","",SUMPRODUCT(COUNTIFS(pbp_PlayType,EM_Type,pbp_Pitcher,$B172)*EM_SF))</f>
        <v/>
      </c>
      <c r="P172" s="42" t="str">
        <f>IF($B172="","",SUMIFS(pbp_Pitches,pbp_Pitcher,$B172,pbp_PlayType,"?*"))</f>
        <v/>
      </c>
      <c r="Q172" s="60" t="str">
        <f t="shared" si="19"/>
        <v/>
      </c>
      <c r="R172" s="59" t="str">
        <f>IF($B172="","",IF(E172=0,"",1-SUMPRODUCT((pbp_Pitcher=$B172)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172)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72" s="59" t="str">
        <f>IF($B172="","",IF((SUMPRODUCT((pbp_Pitcher=$B172)*(LEN(pbp_PlayType)&gt;0)))=0,"",(SUMPRODUCT((pbp_Pitcher=$B172)*(LEN(pbp_PlayType)&gt;0)*ISNUMBER(MATCH(LEFT(TRIM(pbp_Seq)&amp;"/",FIND("/",TRIM(pbp_Seq)&amp;"/")-1),{"S","F","FT","FB","IN","MB","POS"},0))))/(SUMPRODUCT((pbp_Pitcher=$B172)*(LEN(pbp_PlayType)&gt;0)))))</f>
        <v/>
      </c>
      <c r="T172" s="59" t="str">
        <f t="shared" si="20"/>
        <v/>
      </c>
      <c r="U172" s="59" t="str">
        <f t="shared" si="21"/>
        <v/>
      </c>
      <c r="V172" s="59" t="str">
        <f t="shared" si="22"/>
        <v/>
      </c>
      <c r="W172" s="60" t="str">
        <f t="shared" si="23"/>
        <v/>
      </c>
      <c r="X172" s="60" t="str">
        <f t="shared" si="24"/>
        <v/>
      </c>
      <c r="Y172" s="58" t="str">
        <f t="shared" si="25"/>
        <v/>
      </c>
      <c r="Z172" s="58" t="str">
        <f t="shared" si="26"/>
        <v/>
      </c>
      <c r="AA172" s="62" t="str">
        <f>IF($B172="","",IF(OR(E172&lt;MinBF,X172=""),"",COUNTIFS($E$6:$E$255,"&gt;="&amp;MinBF,$X$6:$X$255,"&lt;"&amp;X172)+COUNTIFS($E$5:E171,"&gt;="&amp;MinBF,$X$5:X171,X172)+1))</f>
        <v/>
      </c>
    </row>
    <row r="173" spans="2:27" x14ac:dyDescent="0.2">
      <c r="B173" s="44" t="str">
        <f t="array" ref="B173">IFERROR(INDEX(pbp_Pitcher,MATCH(0,COUNTIF($B$5:B172,pbp_Pitcher)+(pbp_Pitcher=""),0)),"")</f>
        <v/>
      </c>
      <c r="C173" s="61" t="str">
        <f>IF($B173="","",IFERROR(INDEX(pbp_PitTeam,MATCH($B173,pbp_Pitcher,0)),""))</f>
        <v/>
      </c>
      <c r="D173" s="61" t="str">
        <f>IF($B173="","",IFERROR(INDEX(pbp_PitHand,MATCH($B173,pbp_Pitcher,0)),""))</f>
        <v/>
      </c>
      <c r="E173" s="42" t="str">
        <f>IF($B173="","",SUMPRODUCT(COUNTIFS(pbp_PlayType,EM_Type,pbp_Pitcher,$B173)*EM_PA))</f>
        <v/>
      </c>
      <c r="F173" s="42" t="str">
        <f>IF($B173="","",SUMIFS(pbp_Outs,pbp_Pitcher,$B173))</f>
        <v/>
      </c>
      <c r="G173" s="70" t="str">
        <f t="shared" si="18"/>
        <v/>
      </c>
      <c r="H173" s="42" t="str">
        <f>IF($B173="","",SUMPRODUCT(COUNTIFS(pbp_PlayType,EM_Type,pbp_Pitcher,$B173)*EM_H))</f>
        <v/>
      </c>
      <c r="I173" s="42" t="str">
        <f>IF($B173="","",SUMPRODUCT(COUNTIFS(pbp_PlayType,EM_Type,pbp_Pitcher,$B173)*EM_HR))</f>
        <v/>
      </c>
      <c r="J173" s="42" t="str">
        <f>IF($B173="","",SUMPRODUCT(COUNTIFS(pbp_PlayType,EM_Type,pbp_Pitcher,$B173)*EM_BB))</f>
        <v/>
      </c>
      <c r="K173" s="42" t="str">
        <f>IF($B173="","",SUMPRODUCT(COUNTIFS(pbp_PlayType,EM_Type,pbp_Pitcher,$B173)*EM_HBP))</f>
        <v/>
      </c>
      <c r="L173" s="42" t="str">
        <f>IF($B173="","",COUNTIFS(pbp_PlayType,"?*",pbp_Desc,"*struck out*",pbp_Pitcher,$B173))</f>
        <v/>
      </c>
      <c r="M173" s="42" t="str">
        <f>IF($B173="","",SUMIFS(pbp_Runs,pbp_Pitcher,$B173))</f>
        <v/>
      </c>
      <c r="N173" s="42" t="str">
        <f>IF($B173="","",SUMPRODUCT(COUNTIFS(pbp_PlayType,EM_Type,pbp_Pitcher,$B173)*EM_AB))</f>
        <v/>
      </c>
      <c r="O173" s="42" t="str">
        <f>IF($B173="","",SUMPRODUCT(COUNTIFS(pbp_PlayType,EM_Type,pbp_Pitcher,$B173)*EM_SF))</f>
        <v/>
      </c>
      <c r="P173" s="42" t="str">
        <f>IF($B173="","",SUMIFS(pbp_Pitches,pbp_Pitcher,$B173,pbp_PlayType,"?*"))</f>
        <v/>
      </c>
      <c r="Q173" s="60" t="str">
        <f t="shared" si="19"/>
        <v/>
      </c>
      <c r="R173" s="59" t="str">
        <f>IF($B173="","",IF(E173=0,"",1-SUMPRODUCT((pbp_Pitcher=$B173)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173)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73" s="59" t="str">
        <f>IF($B173="","",IF((SUMPRODUCT((pbp_Pitcher=$B173)*(LEN(pbp_PlayType)&gt;0)))=0,"",(SUMPRODUCT((pbp_Pitcher=$B173)*(LEN(pbp_PlayType)&gt;0)*ISNUMBER(MATCH(LEFT(TRIM(pbp_Seq)&amp;"/",FIND("/",TRIM(pbp_Seq)&amp;"/")-1),{"S","F","FT","FB","IN","MB","POS"},0))))/(SUMPRODUCT((pbp_Pitcher=$B173)*(LEN(pbp_PlayType)&gt;0)))))</f>
        <v/>
      </c>
      <c r="T173" s="59" t="str">
        <f t="shared" si="20"/>
        <v/>
      </c>
      <c r="U173" s="59" t="str">
        <f t="shared" si="21"/>
        <v/>
      </c>
      <c r="V173" s="59" t="str">
        <f t="shared" si="22"/>
        <v/>
      </c>
      <c r="W173" s="60" t="str">
        <f t="shared" si="23"/>
        <v/>
      </c>
      <c r="X173" s="60" t="str">
        <f t="shared" si="24"/>
        <v/>
      </c>
      <c r="Y173" s="58" t="str">
        <f t="shared" si="25"/>
        <v/>
      </c>
      <c r="Z173" s="58" t="str">
        <f t="shared" si="26"/>
        <v/>
      </c>
      <c r="AA173" s="62" t="str">
        <f>IF($B173="","",IF(OR(E173&lt;MinBF,X173=""),"",COUNTIFS($E$6:$E$255,"&gt;="&amp;MinBF,$X$6:$X$255,"&lt;"&amp;X173)+COUNTIFS($E$5:E172,"&gt;="&amp;MinBF,$X$5:X172,X173)+1))</f>
        <v/>
      </c>
    </row>
    <row r="174" spans="2:27" x14ac:dyDescent="0.2">
      <c r="B174" s="44" t="str">
        <f t="array" ref="B174">IFERROR(INDEX(pbp_Pitcher,MATCH(0,COUNTIF($B$5:B173,pbp_Pitcher)+(pbp_Pitcher=""),0)),"")</f>
        <v/>
      </c>
      <c r="C174" s="61" t="str">
        <f>IF($B174="","",IFERROR(INDEX(pbp_PitTeam,MATCH($B174,pbp_Pitcher,0)),""))</f>
        <v/>
      </c>
      <c r="D174" s="61" t="str">
        <f>IF($B174="","",IFERROR(INDEX(pbp_PitHand,MATCH($B174,pbp_Pitcher,0)),""))</f>
        <v/>
      </c>
      <c r="E174" s="42" t="str">
        <f>IF($B174="","",SUMPRODUCT(COUNTIFS(pbp_PlayType,EM_Type,pbp_Pitcher,$B174)*EM_PA))</f>
        <v/>
      </c>
      <c r="F174" s="42" t="str">
        <f>IF($B174="","",SUMIFS(pbp_Outs,pbp_Pitcher,$B174))</f>
        <v/>
      </c>
      <c r="G174" s="70" t="str">
        <f t="shared" si="18"/>
        <v/>
      </c>
      <c r="H174" s="42" t="str">
        <f>IF($B174="","",SUMPRODUCT(COUNTIFS(pbp_PlayType,EM_Type,pbp_Pitcher,$B174)*EM_H))</f>
        <v/>
      </c>
      <c r="I174" s="42" t="str">
        <f>IF($B174="","",SUMPRODUCT(COUNTIFS(pbp_PlayType,EM_Type,pbp_Pitcher,$B174)*EM_HR))</f>
        <v/>
      </c>
      <c r="J174" s="42" t="str">
        <f>IF($B174="","",SUMPRODUCT(COUNTIFS(pbp_PlayType,EM_Type,pbp_Pitcher,$B174)*EM_BB))</f>
        <v/>
      </c>
      <c r="K174" s="42" t="str">
        <f>IF($B174="","",SUMPRODUCT(COUNTIFS(pbp_PlayType,EM_Type,pbp_Pitcher,$B174)*EM_HBP))</f>
        <v/>
      </c>
      <c r="L174" s="42" t="str">
        <f>IF($B174="","",COUNTIFS(pbp_PlayType,"?*",pbp_Desc,"*struck out*",pbp_Pitcher,$B174))</f>
        <v/>
      </c>
      <c r="M174" s="42" t="str">
        <f>IF($B174="","",SUMIFS(pbp_Runs,pbp_Pitcher,$B174))</f>
        <v/>
      </c>
      <c r="N174" s="42" t="str">
        <f>IF($B174="","",SUMPRODUCT(COUNTIFS(pbp_PlayType,EM_Type,pbp_Pitcher,$B174)*EM_AB))</f>
        <v/>
      </c>
      <c r="O174" s="42" t="str">
        <f>IF($B174="","",SUMPRODUCT(COUNTIFS(pbp_PlayType,EM_Type,pbp_Pitcher,$B174)*EM_SF))</f>
        <v/>
      </c>
      <c r="P174" s="42" t="str">
        <f>IF($B174="","",SUMIFS(pbp_Pitches,pbp_Pitcher,$B174,pbp_PlayType,"?*"))</f>
        <v/>
      </c>
      <c r="Q174" s="60" t="str">
        <f t="shared" si="19"/>
        <v/>
      </c>
      <c r="R174" s="59" t="str">
        <f>IF($B174="","",IF(E174=0,"",1-SUMPRODUCT((pbp_Pitcher=$B174)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174)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74" s="59" t="str">
        <f>IF($B174="","",IF((SUMPRODUCT((pbp_Pitcher=$B174)*(LEN(pbp_PlayType)&gt;0)))=0,"",(SUMPRODUCT((pbp_Pitcher=$B174)*(LEN(pbp_PlayType)&gt;0)*ISNUMBER(MATCH(LEFT(TRIM(pbp_Seq)&amp;"/",FIND("/",TRIM(pbp_Seq)&amp;"/")-1),{"S","F","FT","FB","IN","MB","POS"},0))))/(SUMPRODUCT((pbp_Pitcher=$B174)*(LEN(pbp_PlayType)&gt;0)))))</f>
        <v/>
      </c>
      <c r="T174" s="59" t="str">
        <f t="shared" si="20"/>
        <v/>
      </c>
      <c r="U174" s="59" t="str">
        <f t="shared" si="21"/>
        <v/>
      </c>
      <c r="V174" s="59" t="str">
        <f t="shared" si="22"/>
        <v/>
      </c>
      <c r="W174" s="60" t="str">
        <f t="shared" si="23"/>
        <v/>
      </c>
      <c r="X174" s="60" t="str">
        <f t="shared" si="24"/>
        <v/>
      </c>
      <c r="Y174" s="58" t="str">
        <f t="shared" si="25"/>
        <v/>
      </c>
      <c r="Z174" s="58" t="str">
        <f t="shared" si="26"/>
        <v/>
      </c>
      <c r="AA174" s="62" t="str">
        <f>IF($B174="","",IF(OR(E174&lt;MinBF,X174=""),"",COUNTIFS($E$6:$E$255,"&gt;="&amp;MinBF,$X$6:$X$255,"&lt;"&amp;X174)+COUNTIFS($E$5:E173,"&gt;="&amp;MinBF,$X$5:X173,X174)+1))</f>
        <v/>
      </c>
    </row>
    <row r="175" spans="2:27" x14ac:dyDescent="0.2">
      <c r="B175" s="44" t="str">
        <f t="array" ref="B175">IFERROR(INDEX(pbp_Pitcher,MATCH(0,COUNTIF($B$5:B174,pbp_Pitcher)+(pbp_Pitcher=""),0)),"")</f>
        <v/>
      </c>
      <c r="C175" s="61" t="str">
        <f>IF($B175="","",IFERROR(INDEX(pbp_PitTeam,MATCH($B175,pbp_Pitcher,0)),""))</f>
        <v/>
      </c>
      <c r="D175" s="61" t="str">
        <f>IF($B175="","",IFERROR(INDEX(pbp_PitHand,MATCH($B175,pbp_Pitcher,0)),""))</f>
        <v/>
      </c>
      <c r="E175" s="42" t="str">
        <f>IF($B175="","",SUMPRODUCT(COUNTIFS(pbp_PlayType,EM_Type,pbp_Pitcher,$B175)*EM_PA))</f>
        <v/>
      </c>
      <c r="F175" s="42" t="str">
        <f>IF($B175="","",SUMIFS(pbp_Outs,pbp_Pitcher,$B175))</f>
        <v/>
      </c>
      <c r="G175" s="70" t="str">
        <f t="shared" si="18"/>
        <v/>
      </c>
      <c r="H175" s="42" t="str">
        <f>IF($B175="","",SUMPRODUCT(COUNTIFS(pbp_PlayType,EM_Type,pbp_Pitcher,$B175)*EM_H))</f>
        <v/>
      </c>
      <c r="I175" s="42" t="str">
        <f>IF($B175="","",SUMPRODUCT(COUNTIFS(pbp_PlayType,EM_Type,pbp_Pitcher,$B175)*EM_HR))</f>
        <v/>
      </c>
      <c r="J175" s="42" t="str">
        <f>IF($B175="","",SUMPRODUCT(COUNTIFS(pbp_PlayType,EM_Type,pbp_Pitcher,$B175)*EM_BB))</f>
        <v/>
      </c>
      <c r="K175" s="42" t="str">
        <f>IF($B175="","",SUMPRODUCT(COUNTIFS(pbp_PlayType,EM_Type,pbp_Pitcher,$B175)*EM_HBP))</f>
        <v/>
      </c>
      <c r="L175" s="42" t="str">
        <f>IF($B175="","",COUNTIFS(pbp_PlayType,"?*",pbp_Desc,"*struck out*",pbp_Pitcher,$B175))</f>
        <v/>
      </c>
      <c r="M175" s="42" t="str">
        <f>IF($B175="","",SUMIFS(pbp_Runs,pbp_Pitcher,$B175))</f>
        <v/>
      </c>
      <c r="N175" s="42" t="str">
        <f>IF($B175="","",SUMPRODUCT(COUNTIFS(pbp_PlayType,EM_Type,pbp_Pitcher,$B175)*EM_AB))</f>
        <v/>
      </c>
      <c r="O175" s="42" t="str">
        <f>IF($B175="","",SUMPRODUCT(COUNTIFS(pbp_PlayType,EM_Type,pbp_Pitcher,$B175)*EM_SF))</f>
        <v/>
      </c>
      <c r="P175" s="42" t="str">
        <f>IF($B175="","",SUMIFS(pbp_Pitches,pbp_Pitcher,$B175,pbp_PlayType,"?*"))</f>
        <v/>
      </c>
      <c r="Q175" s="60" t="str">
        <f t="shared" si="19"/>
        <v/>
      </c>
      <c r="R175" s="59" t="str">
        <f>IF($B175="","",IF(E175=0,"",1-SUMPRODUCT((pbp_Pitcher=$B175)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175)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75" s="59" t="str">
        <f>IF($B175="","",IF((SUMPRODUCT((pbp_Pitcher=$B175)*(LEN(pbp_PlayType)&gt;0)))=0,"",(SUMPRODUCT((pbp_Pitcher=$B175)*(LEN(pbp_PlayType)&gt;0)*ISNUMBER(MATCH(LEFT(TRIM(pbp_Seq)&amp;"/",FIND("/",TRIM(pbp_Seq)&amp;"/")-1),{"S","F","FT","FB","IN","MB","POS"},0))))/(SUMPRODUCT((pbp_Pitcher=$B175)*(LEN(pbp_PlayType)&gt;0)))))</f>
        <v/>
      </c>
      <c r="T175" s="59" t="str">
        <f t="shared" si="20"/>
        <v/>
      </c>
      <c r="U175" s="59" t="str">
        <f t="shared" si="21"/>
        <v/>
      </c>
      <c r="V175" s="59" t="str">
        <f t="shared" si="22"/>
        <v/>
      </c>
      <c r="W175" s="60" t="str">
        <f t="shared" si="23"/>
        <v/>
      </c>
      <c r="X175" s="60" t="str">
        <f t="shared" si="24"/>
        <v/>
      </c>
      <c r="Y175" s="58" t="str">
        <f t="shared" si="25"/>
        <v/>
      </c>
      <c r="Z175" s="58" t="str">
        <f t="shared" si="26"/>
        <v/>
      </c>
      <c r="AA175" s="62" t="str">
        <f>IF($B175="","",IF(OR(E175&lt;MinBF,X175=""),"",COUNTIFS($E$6:$E$255,"&gt;="&amp;MinBF,$X$6:$X$255,"&lt;"&amp;X175)+COUNTIFS($E$5:E174,"&gt;="&amp;MinBF,$X$5:X174,X175)+1))</f>
        <v/>
      </c>
    </row>
    <row r="176" spans="2:27" x14ac:dyDescent="0.2">
      <c r="B176" s="44" t="str">
        <f t="array" ref="B176">IFERROR(INDEX(pbp_Pitcher,MATCH(0,COUNTIF($B$5:B175,pbp_Pitcher)+(pbp_Pitcher=""),0)),"")</f>
        <v/>
      </c>
      <c r="C176" s="61" t="str">
        <f>IF($B176="","",IFERROR(INDEX(pbp_PitTeam,MATCH($B176,pbp_Pitcher,0)),""))</f>
        <v/>
      </c>
      <c r="D176" s="61" t="str">
        <f>IF($B176="","",IFERROR(INDEX(pbp_PitHand,MATCH($B176,pbp_Pitcher,0)),""))</f>
        <v/>
      </c>
      <c r="E176" s="42" t="str">
        <f>IF($B176="","",SUMPRODUCT(COUNTIFS(pbp_PlayType,EM_Type,pbp_Pitcher,$B176)*EM_PA))</f>
        <v/>
      </c>
      <c r="F176" s="42" t="str">
        <f>IF($B176="","",SUMIFS(pbp_Outs,pbp_Pitcher,$B176))</f>
        <v/>
      </c>
      <c r="G176" s="70" t="str">
        <f t="shared" si="18"/>
        <v/>
      </c>
      <c r="H176" s="42" t="str">
        <f>IF($B176="","",SUMPRODUCT(COUNTIFS(pbp_PlayType,EM_Type,pbp_Pitcher,$B176)*EM_H))</f>
        <v/>
      </c>
      <c r="I176" s="42" t="str">
        <f>IF($B176="","",SUMPRODUCT(COUNTIFS(pbp_PlayType,EM_Type,pbp_Pitcher,$B176)*EM_HR))</f>
        <v/>
      </c>
      <c r="J176" s="42" t="str">
        <f>IF($B176="","",SUMPRODUCT(COUNTIFS(pbp_PlayType,EM_Type,pbp_Pitcher,$B176)*EM_BB))</f>
        <v/>
      </c>
      <c r="K176" s="42" t="str">
        <f>IF($B176="","",SUMPRODUCT(COUNTIFS(pbp_PlayType,EM_Type,pbp_Pitcher,$B176)*EM_HBP))</f>
        <v/>
      </c>
      <c r="L176" s="42" t="str">
        <f>IF($B176="","",COUNTIFS(pbp_PlayType,"?*",pbp_Desc,"*struck out*",pbp_Pitcher,$B176))</f>
        <v/>
      </c>
      <c r="M176" s="42" t="str">
        <f>IF($B176="","",SUMIFS(pbp_Runs,pbp_Pitcher,$B176))</f>
        <v/>
      </c>
      <c r="N176" s="42" t="str">
        <f>IF($B176="","",SUMPRODUCT(COUNTIFS(pbp_PlayType,EM_Type,pbp_Pitcher,$B176)*EM_AB))</f>
        <v/>
      </c>
      <c r="O176" s="42" t="str">
        <f>IF($B176="","",SUMPRODUCT(COUNTIFS(pbp_PlayType,EM_Type,pbp_Pitcher,$B176)*EM_SF))</f>
        <v/>
      </c>
      <c r="P176" s="42" t="str">
        <f>IF($B176="","",SUMIFS(pbp_Pitches,pbp_Pitcher,$B176,pbp_PlayType,"?*"))</f>
        <v/>
      </c>
      <c r="Q176" s="60" t="str">
        <f t="shared" si="19"/>
        <v/>
      </c>
      <c r="R176" s="59" t="str">
        <f>IF($B176="","",IF(E176=0,"",1-SUMPRODUCT((pbp_Pitcher=$B176)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176)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76" s="59" t="str">
        <f>IF($B176="","",IF((SUMPRODUCT((pbp_Pitcher=$B176)*(LEN(pbp_PlayType)&gt;0)))=0,"",(SUMPRODUCT((pbp_Pitcher=$B176)*(LEN(pbp_PlayType)&gt;0)*ISNUMBER(MATCH(LEFT(TRIM(pbp_Seq)&amp;"/",FIND("/",TRIM(pbp_Seq)&amp;"/")-1),{"S","F","FT","FB","IN","MB","POS"},0))))/(SUMPRODUCT((pbp_Pitcher=$B176)*(LEN(pbp_PlayType)&gt;0)))))</f>
        <v/>
      </c>
      <c r="T176" s="59" t="str">
        <f t="shared" si="20"/>
        <v/>
      </c>
      <c r="U176" s="59" t="str">
        <f t="shared" si="21"/>
        <v/>
      </c>
      <c r="V176" s="59" t="str">
        <f t="shared" si="22"/>
        <v/>
      </c>
      <c r="W176" s="60" t="str">
        <f t="shared" si="23"/>
        <v/>
      </c>
      <c r="X176" s="60" t="str">
        <f t="shared" si="24"/>
        <v/>
      </c>
      <c r="Y176" s="58" t="str">
        <f t="shared" si="25"/>
        <v/>
      </c>
      <c r="Z176" s="58" t="str">
        <f t="shared" si="26"/>
        <v/>
      </c>
      <c r="AA176" s="62" t="str">
        <f>IF($B176="","",IF(OR(E176&lt;MinBF,X176=""),"",COUNTIFS($E$6:$E$255,"&gt;="&amp;MinBF,$X$6:$X$255,"&lt;"&amp;X176)+COUNTIFS($E$5:E175,"&gt;="&amp;MinBF,$X$5:X175,X176)+1))</f>
        <v/>
      </c>
    </row>
    <row r="177" spans="2:27" x14ac:dyDescent="0.2">
      <c r="B177" s="44" t="str">
        <f t="array" ref="B177">IFERROR(INDEX(pbp_Pitcher,MATCH(0,COUNTIF($B$5:B176,pbp_Pitcher)+(pbp_Pitcher=""),0)),"")</f>
        <v/>
      </c>
      <c r="C177" s="61" t="str">
        <f>IF($B177="","",IFERROR(INDEX(pbp_PitTeam,MATCH($B177,pbp_Pitcher,0)),""))</f>
        <v/>
      </c>
      <c r="D177" s="61" t="str">
        <f>IF($B177="","",IFERROR(INDEX(pbp_PitHand,MATCH($B177,pbp_Pitcher,0)),""))</f>
        <v/>
      </c>
      <c r="E177" s="42" t="str">
        <f>IF($B177="","",SUMPRODUCT(COUNTIFS(pbp_PlayType,EM_Type,pbp_Pitcher,$B177)*EM_PA))</f>
        <v/>
      </c>
      <c r="F177" s="42" t="str">
        <f>IF($B177="","",SUMIFS(pbp_Outs,pbp_Pitcher,$B177))</f>
        <v/>
      </c>
      <c r="G177" s="70" t="str">
        <f t="shared" si="18"/>
        <v/>
      </c>
      <c r="H177" s="42" t="str">
        <f>IF($B177="","",SUMPRODUCT(COUNTIFS(pbp_PlayType,EM_Type,pbp_Pitcher,$B177)*EM_H))</f>
        <v/>
      </c>
      <c r="I177" s="42" t="str">
        <f>IF($B177="","",SUMPRODUCT(COUNTIFS(pbp_PlayType,EM_Type,pbp_Pitcher,$B177)*EM_HR))</f>
        <v/>
      </c>
      <c r="J177" s="42" t="str">
        <f>IF($B177="","",SUMPRODUCT(COUNTIFS(pbp_PlayType,EM_Type,pbp_Pitcher,$B177)*EM_BB))</f>
        <v/>
      </c>
      <c r="K177" s="42" t="str">
        <f>IF($B177="","",SUMPRODUCT(COUNTIFS(pbp_PlayType,EM_Type,pbp_Pitcher,$B177)*EM_HBP))</f>
        <v/>
      </c>
      <c r="L177" s="42" t="str">
        <f>IF($B177="","",COUNTIFS(pbp_PlayType,"?*",pbp_Desc,"*struck out*",pbp_Pitcher,$B177))</f>
        <v/>
      </c>
      <c r="M177" s="42" t="str">
        <f>IF($B177="","",SUMIFS(pbp_Runs,pbp_Pitcher,$B177))</f>
        <v/>
      </c>
      <c r="N177" s="42" t="str">
        <f>IF($B177="","",SUMPRODUCT(COUNTIFS(pbp_PlayType,EM_Type,pbp_Pitcher,$B177)*EM_AB))</f>
        <v/>
      </c>
      <c r="O177" s="42" t="str">
        <f>IF($B177="","",SUMPRODUCT(COUNTIFS(pbp_PlayType,EM_Type,pbp_Pitcher,$B177)*EM_SF))</f>
        <v/>
      </c>
      <c r="P177" s="42" t="str">
        <f>IF($B177="","",SUMIFS(pbp_Pitches,pbp_Pitcher,$B177,pbp_PlayType,"?*"))</f>
        <v/>
      </c>
      <c r="Q177" s="60" t="str">
        <f t="shared" si="19"/>
        <v/>
      </c>
      <c r="R177" s="59" t="str">
        <f>IF($B177="","",IF(E177=0,"",1-SUMPRODUCT((pbp_Pitcher=$B177)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177)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77" s="59" t="str">
        <f>IF($B177="","",IF((SUMPRODUCT((pbp_Pitcher=$B177)*(LEN(pbp_PlayType)&gt;0)))=0,"",(SUMPRODUCT((pbp_Pitcher=$B177)*(LEN(pbp_PlayType)&gt;0)*ISNUMBER(MATCH(LEFT(TRIM(pbp_Seq)&amp;"/",FIND("/",TRIM(pbp_Seq)&amp;"/")-1),{"S","F","FT","FB","IN","MB","POS"},0))))/(SUMPRODUCT((pbp_Pitcher=$B177)*(LEN(pbp_PlayType)&gt;0)))))</f>
        <v/>
      </c>
      <c r="T177" s="59" t="str">
        <f t="shared" si="20"/>
        <v/>
      </c>
      <c r="U177" s="59" t="str">
        <f t="shared" si="21"/>
        <v/>
      </c>
      <c r="V177" s="59" t="str">
        <f t="shared" si="22"/>
        <v/>
      </c>
      <c r="W177" s="60" t="str">
        <f t="shared" si="23"/>
        <v/>
      </c>
      <c r="X177" s="60" t="str">
        <f t="shared" si="24"/>
        <v/>
      </c>
      <c r="Y177" s="58" t="str">
        <f t="shared" si="25"/>
        <v/>
      </c>
      <c r="Z177" s="58" t="str">
        <f t="shared" si="26"/>
        <v/>
      </c>
      <c r="AA177" s="62" t="str">
        <f>IF($B177="","",IF(OR(E177&lt;MinBF,X177=""),"",COUNTIFS($E$6:$E$255,"&gt;="&amp;MinBF,$X$6:$X$255,"&lt;"&amp;X177)+COUNTIFS($E$5:E176,"&gt;="&amp;MinBF,$X$5:X176,X177)+1))</f>
        <v/>
      </c>
    </row>
    <row r="178" spans="2:27" x14ac:dyDescent="0.2">
      <c r="B178" s="44" t="str">
        <f t="array" ref="B178">IFERROR(INDEX(pbp_Pitcher,MATCH(0,COUNTIF($B$5:B177,pbp_Pitcher)+(pbp_Pitcher=""),0)),"")</f>
        <v/>
      </c>
      <c r="C178" s="61" t="str">
        <f>IF($B178="","",IFERROR(INDEX(pbp_PitTeam,MATCH($B178,pbp_Pitcher,0)),""))</f>
        <v/>
      </c>
      <c r="D178" s="61" t="str">
        <f>IF($B178="","",IFERROR(INDEX(pbp_PitHand,MATCH($B178,pbp_Pitcher,0)),""))</f>
        <v/>
      </c>
      <c r="E178" s="42" t="str">
        <f>IF($B178="","",SUMPRODUCT(COUNTIFS(pbp_PlayType,EM_Type,pbp_Pitcher,$B178)*EM_PA))</f>
        <v/>
      </c>
      <c r="F178" s="42" t="str">
        <f>IF($B178="","",SUMIFS(pbp_Outs,pbp_Pitcher,$B178))</f>
        <v/>
      </c>
      <c r="G178" s="70" t="str">
        <f t="shared" si="18"/>
        <v/>
      </c>
      <c r="H178" s="42" t="str">
        <f>IF($B178="","",SUMPRODUCT(COUNTIFS(pbp_PlayType,EM_Type,pbp_Pitcher,$B178)*EM_H))</f>
        <v/>
      </c>
      <c r="I178" s="42" t="str">
        <f>IF($B178="","",SUMPRODUCT(COUNTIFS(pbp_PlayType,EM_Type,pbp_Pitcher,$B178)*EM_HR))</f>
        <v/>
      </c>
      <c r="J178" s="42" t="str">
        <f>IF($B178="","",SUMPRODUCT(COUNTIFS(pbp_PlayType,EM_Type,pbp_Pitcher,$B178)*EM_BB))</f>
        <v/>
      </c>
      <c r="K178" s="42" t="str">
        <f>IF($B178="","",SUMPRODUCT(COUNTIFS(pbp_PlayType,EM_Type,pbp_Pitcher,$B178)*EM_HBP))</f>
        <v/>
      </c>
      <c r="L178" s="42" t="str">
        <f>IF($B178="","",COUNTIFS(pbp_PlayType,"?*",pbp_Desc,"*struck out*",pbp_Pitcher,$B178))</f>
        <v/>
      </c>
      <c r="M178" s="42" t="str">
        <f>IF($B178="","",SUMIFS(pbp_Runs,pbp_Pitcher,$B178))</f>
        <v/>
      </c>
      <c r="N178" s="42" t="str">
        <f>IF($B178="","",SUMPRODUCT(COUNTIFS(pbp_PlayType,EM_Type,pbp_Pitcher,$B178)*EM_AB))</f>
        <v/>
      </c>
      <c r="O178" s="42" t="str">
        <f>IF($B178="","",SUMPRODUCT(COUNTIFS(pbp_PlayType,EM_Type,pbp_Pitcher,$B178)*EM_SF))</f>
        <v/>
      </c>
      <c r="P178" s="42" t="str">
        <f>IF($B178="","",SUMIFS(pbp_Pitches,pbp_Pitcher,$B178,pbp_PlayType,"?*"))</f>
        <v/>
      </c>
      <c r="Q178" s="60" t="str">
        <f t="shared" si="19"/>
        <v/>
      </c>
      <c r="R178" s="59" t="str">
        <f>IF($B178="","",IF(E178=0,"",1-SUMPRODUCT((pbp_Pitcher=$B178)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178)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78" s="59" t="str">
        <f>IF($B178="","",IF((SUMPRODUCT((pbp_Pitcher=$B178)*(LEN(pbp_PlayType)&gt;0)))=0,"",(SUMPRODUCT((pbp_Pitcher=$B178)*(LEN(pbp_PlayType)&gt;0)*ISNUMBER(MATCH(LEFT(TRIM(pbp_Seq)&amp;"/",FIND("/",TRIM(pbp_Seq)&amp;"/")-1),{"S","F","FT","FB","IN","MB","POS"},0))))/(SUMPRODUCT((pbp_Pitcher=$B178)*(LEN(pbp_PlayType)&gt;0)))))</f>
        <v/>
      </c>
      <c r="T178" s="59" t="str">
        <f t="shared" si="20"/>
        <v/>
      </c>
      <c r="U178" s="59" t="str">
        <f t="shared" si="21"/>
        <v/>
      </c>
      <c r="V178" s="59" t="str">
        <f t="shared" si="22"/>
        <v/>
      </c>
      <c r="W178" s="60" t="str">
        <f t="shared" si="23"/>
        <v/>
      </c>
      <c r="X178" s="60" t="str">
        <f t="shared" si="24"/>
        <v/>
      </c>
      <c r="Y178" s="58" t="str">
        <f t="shared" si="25"/>
        <v/>
      </c>
      <c r="Z178" s="58" t="str">
        <f t="shared" si="26"/>
        <v/>
      </c>
      <c r="AA178" s="62" t="str">
        <f>IF($B178="","",IF(OR(E178&lt;MinBF,X178=""),"",COUNTIFS($E$6:$E$255,"&gt;="&amp;MinBF,$X$6:$X$255,"&lt;"&amp;X178)+COUNTIFS($E$5:E177,"&gt;="&amp;MinBF,$X$5:X177,X178)+1))</f>
        <v/>
      </c>
    </row>
    <row r="179" spans="2:27" x14ac:dyDescent="0.2">
      <c r="B179" s="44" t="str">
        <f t="array" ref="B179">IFERROR(INDEX(pbp_Pitcher,MATCH(0,COUNTIF($B$5:B178,pbp_Pitcher)+(pbp_Pitcher=""),0)),"")</f>
        <v/>
      </c>
      <c r="C179" s="61" t="str">
        <f>IF($B179="","",IFERROR(INDEX(pbp_PitTeam,MATCH($B179,pbp_Pitcher,0)),""))</f>
        <v/>
      </c>
      <c r="D179" s="61" t="str">
        <f>IF($B179="","",IFERROR(INDEX(pbp_PitHand,MATCH($B179,pbp_Pitcher,0)),""))</f>
        <v/>
      </c>
      <c r="E179" s="42" t="str">
        <f>IF($B179="","",SUMPRODUCT(COUNTIFS(pbp_PlayType,EM_Type,pbp_Pitcher,$B179)*EM_PA))</f>
        <v/>
      </c>
      <c r="F179" s="42" t="str">
        <f>IF($B179="","",SUMIFS(pbp_Outs,pbp_Pitcher,$B179))</f>
        <v/>
      </c>
      <c r="G179" s="70" t="str">
        <f t="shared" si="18"/>
        <v/>
      </c>
      <c r="H179" s="42" t="str">
        <f>IF($B179="","",SUMPRODUCT(COUNTIFS(pbp_PlayType,EM_Type,pbp_Pitcher,$B179)*EM_H))</f>
        <v/>
      </c>
      <c r="I179" s="42" t="str">
        <f>IF($B179="","",SUMPRODUCT(COUNTIFS(pbp_PlayType,EM_Type,pbp_Pitcher,$B179)*EM_HR))</f>
        <v/>
      </c>
      <c r="J179" s="42" t="str">
        <f>IF($B179="","",SUMPRODUCT(COUNTIFS(pbp_PlayType,EM_Type,pbp_Pitcher,$B179)*EM_BB))</f>
        <v/>
      </c>
      <c r="K179" s="42" t="str">
        <f>IF($B179="","",SUMPRODUCT(COUNTIFS(pbp_PlayType,EM_Type,pbp_Pitcher,$B179)*EM_HBP))</f>
        <v/>
      </c>
      <c r="L179" s="42" t="str">
        <f>IF($B179="","",COUNTIFS(pbp_PlayType,"?*",pbp_Desc,"*struck out*",pbp_Pitcher,$B179))</f>
        <v/>
      </c>
      <c r="M179" s="42" t="str">
        <f>IF($B179="","",SUMIFS(pbp_Runs,pbp_Pitcher,$B179))</f>
        <v/>
      </c>
      <c r="N179" s="42" t="str">
        <f>IF($B179="","",SUMPRODUCT(COUNTIFS(pbp_PlayType,EM_Type,pbp_Pitcher,$B179)*EM_AB))</f>
        <v/>
      </c>
      <c r="O179" s="42" t="str">
        <f>IF($B179="","",SUMPRODUCT(COUNTIFS(pbp_PlayType,EM_Type,pbp_Pitcher,$B179)*EM_SF))</f>
        <v/>
      </c>
      <c r="P179" s="42" t="str">
        <f>IF($B179="","",SUMIFS(pbp_Pitches,pbp_Pitcher,$B179,pbp_PlayType,"?*"))</f>
        <v/>
      </c>
      <c r="Q179" s="60" t="str">
        <f t="shared" si="19"/>
        <v/>
      </c>
      <c r="R179" s="59" t="str">
        <f>IF($B179="","",IF(E179=0,"",1-SUMPRODUCT((pbp_Pitcher=$B179)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179)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79" s="59" t="str">
        <f>IF($B179="","",IF((SUMPRODUCT((pbp_Pitcher=$B179)*(LEN(pbp_PlayType)&gt;0)))=0,"",(SUMPRODUCT((pbp_Pitcher=$B179)*(LEN(pbp_PlayType)&gt;0)*ISNUMBER(MATCH(LEFT(TRIM(pbp_Seq)&amp;"/",FIND("/",TRIM(pbp_Seq)&amp;"/")-1),{"S","F","FT","FB","IN","MB","POS"},0))))/(SUMPRODUCT((pbp_Pitcher=$B179)*(LEN(pbp_PlayType)&gt;0)))))</f>
        <v/>
      </c>
      <c r="T179" s="59" t="str">
        <f t="shared" si="20"/>
        <v/>
      </c>
      <c r="U179" s="59" t="str">
        <f t="shared" si="21"/>
        <v/>
      </c>
      <c r="V179" s="59" t="str">
        <f t="shared" si="22"/>
        <v/>
      </c>
      <c r="W179" s="60" t="str">
        <f t="shared" si="23"/>
        <v/>
      </c>
      <c r="X179" s="60" t="str">
        <f t="shared" si="24"/>
        <v/>
      </c>
      <c r="Y179" s="58" t="str">
        <f t="shared" si="25"/>
        <v/>
      </c>
      <c r="Z179" s="58" t="str">
        <f t="shared" si="26"/>
        <v/>
      </c>
      <c r="AA179" s="62" t="str">
        <f>IF($B179="","",IF(OR(E179&lt;MinBF,X179=""),"",COUNTIFS($E$6:$E$255,"&gt;="&amp;MinBF,$X$6:$X$255,"&lt;"&amp;X179)+COUNTIFS($E$5:E178,"&gt;="&amp;MinBF,$X$5:X178,X179)+1))</f>
        <v/>
      </c>
    </row>
    <row r="180" spans="2:27" x14ac:dyDescent="0.2">
      <c r="B180" s="44" t="str">
        <f t="array" ref="B180">IFERROR(INDEX(pbp_Pitcher,MATCH(0,COUNTIF($B$5:B179,pbp_Pitcher)+(pbp_Pitcher=""),0)),"")</f>
        <v/>
      </c>
      <c r="C180" s="61" t="str">
        <f>IF($B180="","",IFERROR(INDEX(pbp_PitTeam,MATCH($B180,pbp_Pitcher,0)),""))</f>
        <v/>
      </c>
      <c r="D180" s="61" t="str">
        <f>IF($B180="","",IFERROR(INDEX(pbp_PitHand,MATCH($B180,pbp_Pitcher,0)),""))</f>
        <v/>
      </c>
      <c r="E180" s="42" t="str">
        <f>IF($B180="","",SUMPRODUCT(COUNTIFS(pbp_PlayType,EM_Type,pbp_Pitcher,$B180)*EM_PA))</f>
        <v/>
      </c>
      <c r="F180" s="42" t="str">
        <f>IF($B180="","",SUMIFS(pbp_Outs,pbp_Pitcher,$B180))</f>
        <v/>
      </c>
      <c r="G180" s="70" t="str">
        <f t="shared" si="18"/>
        <v/>
      </c>
      <c r="H180" s="42" t="str">
        <f>IF($B180="","",SUMPRODUCT(COUNTIFS(pbp_PlayType,EM_Type,pbp_Pitcher,$B180)*EM_H))</f>
        <v/>
      </c>
      <c r="I180" s="42" t="str">
        <f>IF($B180="","",SUMPRODUCT(COUNTIFS(pbp_PlayType,EM_Type,pbp_Pitcher,$B180)*EM_HR))</f>
        <v/>
      </c>
      <c r="J180" s="42" t="str">
        <f>IF($B180="","",SUMPRODUCT(COUNTIFS(pbp_PlayType,EM_Type,pbp_Pitcher,$B180)*EM_BB))</f>
        <v/>
      </c>
      <c r="K180" s="42" t="str">
        <f>IF($B180="","",SUMPRODUCT(COUNTIFS(pbp_PlayType,EM_Type,pbp_Pitcher,$B180)*EM_HBP))</f>
        <v/>
      </c>
      <c r="L180" s="42" t="str">
        <f>IF($B180="","",COUNTIFS(pbp_PlayType,"?*",pbp_Desc,"*struck out*",pbp_Pitcher,$B180))</f>
        <v/>
      </c>
      <c r="M180" s="42" t="str">
        <f>IF($B180="","",SUMIFS(pbp_Runs,pbp_Pitcher,$B180))</f>
        <v/>
      </c>
      <c r="N180" s="42" t="str">
        <f>IF($B180="","",SUMPRODUCT(COUNTIFS(pbp_PlayType,EM_Type,pbp_Pitcher,$B180)*EM_AB))</f>
        <v/>
      </c>
      <c r="O180" s="42" t="str">
        <f>IF($B180="","",SUMPRODUCT(COUNTIFS(pbp_PlayType,EM_Type,pbp_Pitcher,$B180)*EM_SF))</f>
        <v/>
      </c>
      <c r="P180" s="42" t="str">
        <f>IF($B180="","",SUMIFS(pbp_Pitches,pbp_Pitcher,$B180,pbp_PlayType,"?*"))</f>
        <v/>
      </c>
      <c r="Q180" s="60" t="str">
        <f t="shared" si="19"/>
        <v/>
      </c>
      <c r="R180" s="59" t="str">
        <f>IF($B180="","",IF(E180=0,"",1-SUMPRODUCT((pbp_Pitcher=$B180)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180)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80" s="59" t="str">
        <f>IF($B180="","",IF((SUMPRODUCT((pbp_Pitcher=$B180)*(LEN(pbp_PlayType)&gt;0)))=0,"",(SUMPRODUCT((pbp_Pitcher=$B180)*(LEN(pbp_PlayType)&gt;0)*ISNUMBER(MATCH(LEFT(TRIM(pbp_Seq)&amp;"/",FIND("/",TRIM(pbp_Seq)&amp;"/")-1),{"S","F","FT","FB","IN","MB","POS"},0))))/(SUMPRODUCT((pbp_Pitcher=$B180)*(LEN(pbp_PlayType)&gt;0)))))</f>
        <v/>
      </c>
      <c r="T180" s="59" t="str">
        <f t="shared" si="20"/>
        <v/>
      </c>
      <c r="U180" s="59" t="str">
        <f t="shared" si="21"/>
        <v/>
      </c>
      <c r="V180" s="59" t="str">
        <f t="shared" si="22"/>
        <v/>
      </c>
      <c r="W180" s="60" t="str">
        <f t="shared" si="23"/>
        <v/>
      </c>
      <c r="X180" s="60" t="str">
        <f t="shared" si="24"/>
        <v/>
      </c>
      <c r="Y180" s="58" t="str">
        <f t="shared" si="25"/>
        <v/>
      </c>
      <c r="Z180" s="58" t="str">
        <f t="shared" si="26"/>
        <v/>
      </c>
      <c r="AA180" s="62" t="str">
        <f>IF($B180="","",IF(OR(E180&lt;MinBF,X180=""),"",COUNTIFS($E$6:$E$255,"&gt;="&amp;MinBF,$X$6:$X$255,"&lt;"&amp;X180)+COUNTIFS($E$5:E179,"&gt;="&amp;MinBF,$X$5:X179,X180)+1))</f>
        <v/>
      </c>
    </row>
    <row r="181" spans="2:27" x14ac:dyDescent="0.2">
      <c r="B181" s="44" t="str">
        <f t="array" ref="B181">IFERROR(INDEX(pbp_Pitcher,MATCH(0,COUNTIF($B$5:B180,pbp_Pitcher)+(pbp_Pitcher=""),0)),"")</f>
        <v/>
      </c>
      <c r="C181" s="61" t="str">
        <f>IF($B181="","",IFERROR(INDEX(pbp_PitTeam,MATCH($B181,pbp_Pitcher,0)),""))</f>
        <v/>
      </c>
      <c r="D181" s="61" t="str">
        <f>IF($B181="","",IFERROR(INDEX(pbp_PitHand,MATCH($B181,pbp_Pitcher,0)),""))</f>
        <v/>
      </c>
      <c r="E181" s="42" t="str">
        <f>IF($B181="","",SUMPRODUCT(COUNTIFS(pbp_PlayType,EM_Type,pbp_Pitcher,$B181)*EM_PA))</f>
        <v/>
      </c>
      <c r="F181" s="42" t="str">
        <f>IF($B181="","",SUMIFS(pbp_Outs,pbp_Pitcher,$B181))</f>
        <v/>
      </c>
      <c r="G181" s="70" t="str">
        <f t="shared" si="18"/>
        <v/>
      </c>
      <c r="H181" s="42" t="str">
        <f>IF($B181="","",SUMPRODUCT(COUNTIFS(pbp_PlayType,EM_Type,pbp_Pitcher,$B181)*EM_H))</f>
        <v/>
      </c>
      <c r="I181" s="42" t="str">
        <f>IF($B181="","",SUMPRODUCT(COUNTIFS(pbp_PlayType,EM_Type,pbp_Pitcher,$B181)*EM_HR))</f>
        <v/>
      </c>
      <c r="J181" s="42" t="str">
        <f>IF($B181="","",SUMPRODUCT(COUNTIFS(pbp_PlayType,EM_Type,pbp_Pitcher,$B181)*EM_BB))</f>
        <v/>
      </c>
      <c r="K181" s="42" t="str">
        <f>IF($B181="","",SUMPRODUCT(COUNTIFS(pbp_PlayType,EM_Type,pbp_Pitcher,$B181)*EM_HBP))</f>
        <v/>
      </c>
      <c r="L181" s="42" t="str">
        <f>IF($B181="","",COUNTIFS(pbp_PlayType,"?*",pbp_Desc,"*struck out*",pbp_Pitcher,$B181))</f>
        <v/>
      </c>
      <c r="M181" s="42" t="str">
        <f>IF($B181="","",SUMIFS(pbp_Runs,pbp_Pitcher,$B181))</f>
        <v/>
      </c>
      <c r="N181" s="42" t="str">
        <f>IF($B181="","",SUMPRODUCT(COUNTIFS(pbp_PlayType,EM_Type,pbp_Pitcher,$B181)*EM_AB))</f>
        <v/>
      </c>
      <c r="O181" s="42" t="str">
        <f>IF($B181="","",SUMPRODUCT(COUNTIFS(pbp_PlayType,EM_Type,pbp_Pitcher,$B181)*EM_SF))</f>
        <v/>
      </c>
      <c r="P181" s="42" t="str">
        <f>IF($B181="","",SUMIFS(pbp_Pitches,pbp_Pitcher,$B181,pbp_PlayType,"?*"))</f>
        <v/>
      </c>
      <c r="Q181" s="60" t="str">
        <f t="shared" si="19"/>
        <v/>
      </c>
      <c r="R181" s="59" t="str">
        <f>IF($B181="","",IF(E181=0,"",1-SUMPRODUCT((pbp_Pitcher=$B181)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181)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81" s="59" t="str">
        <f>IF($B181="","",IF((SUMPRODUCT((pbp_Pitcher=$B181)*(LEN(pbp_PlayType)&gt;0)))=0,"",(SUMPRODUCT((pbp_Pitcher=$B181)*(LEN(pbp_PlayType)&gt;0)*ISNUMBER(MATCH(LEFT(TRIM(pbp_Seq)&amp;"/",FIND("/",TRIM(pbp_Seq)&amp;"/")-1),{"S","F","FT","FB","IN","MB","POS"},0))))/(SUMPRODUCT((pbp_Pitcher=$B181)*(LEN(pbp_PlayType)&gt;0)))))</f>
        <v/>
      </c>
      <c r="T181" s="59" t="str">
        <f t="shared" si="20"/>
        <v/>
      </c>
      <c r="U181" s="59" t="str">
        <f t="shared" si="21"/>
        <v/>
      </c>
      <c r="V181" s="59" t="str">
        <f t="shared" si="22"/>
        <v/>
      </c>
      <c r="W181" s="60" t="str">
        <f t="shared" si="23"/>
        <v/>
      </c>
      <c r="X181" s="60" t="str">
        <f t="shared" si="24"/>
        <v/>
      </c>
      <c r="Y181" s="58" t="str">
        <f t="shared" si="25"/>
        <v/>
      </c>
      <c r="Z181" s="58" t="str">
        <f t="shared" si="26"/>
        <v/>
      </c>
      <c r="AA181" s="62" t="str">
        <f>IF($B181="","",IF(OR(E181&lt;MinBF,X181=""),"",COUNTIFS($E$6:$E$255,"&gt;="&amp;MinBF,$X$6:$X$255,"&lt;"&amp;X181)+COUNTIFS($E$5:E180,"&gt;="&amp;MinBF,$X$5:X180,X181)+1))</f>
        <v/>
      </c>
    </row>
    <row r="182" spans="2:27" x14ac:dyDescent="0.2">
      <c r="B182" s="44" t="str">
        <f t="array" ref="B182">IFERROR(INDEX(pbp_Pitcher,MATCH(0,COUNTIF($B$5:B181,pbp_Pitcher)+(pbp_Pitcher=""),0)),"")</f>
        <v/>
      </c>
      <c r="C182" s="61" t="str">
        <f>IF($B182="","",IFERROR(INDEX(pbp_PitTeam,MATCH($B182,pbp_Pitcher,0)),""))</f>
        <v/>
      </c>
      <c r="D182" s="61" t="str">
        <f>IF($B182="","",IFERROR(INDEX(pbp_PitHand,MATCH($B182,pbp_Pitcher,0)),""))</f>
        <v/>
      </c>
      <c r="E182" s="42" t="str">
        <f>IF($B182="","",SUMPRODUCT(COUNTIFS(pbp_PlayType,EM_Type,pbp_Pitcher,$B182)*EM_PA))</f>
        <v/>
      </c>
      <c r="F182" s="42" t="str">
        <f>IF($B182="","",SUMIFS(pbp_Outs,pbp_Pitcher,$B182))</f>
        <v/>
      </c>
      <c r="G182" s="70" t="str">
        <f t="shared" si="18"/>
        <v/>
      </c>
      <c r="H182" s="42" t="str">
        <f>IF($B182="","",SUMPRODUCT(COUNTIFS(pbp_PlayType,EM_Type,pbp_Pitcher,$B182)*EM_H))</f>
        <v/>
      </c>
      <c r="I182" s="42" t="str">
        <f>IF($B182="","",SUMPRODUCT(COUNTIFS(pbp_PlayType,EM_Type,pbp_Pitcher,$B182)*EM_HR))</f>
        <v/>
      </c>
      <c r="J182" s="42" t="str">
        <f>IF($B182="","",SUMPRODUCT(COUNTIFS(pbp_PlayType,EM_Type,pbp_Pitcher,$B182)*EM_BB))</f>
        <v/>
      </c>
      <c r="K182" s="42" t="str">
        <f>IF($B182="","",SUMPRODUCT(COUNTIFS(pbp_PlayType,EM_Type,pbp_Pitcher,$B182)*EM_HBP))</f>
        <v/>
      </c>
      <c r="L182" s="42" t="str">
        <f>IF($B182="","",COUNTIFS(pbp_PlayType,"?*",pbp_Desc,"*struck out*",pbp_Pitcher,$B182))</f>
        <v/>
      </c>
      <c r="M182" s="42" t="str">
        <f>IF($B182="","",SUMIFS(pbp_Runs,pbp_Pitcher,$B182))</f>
        <v/>
      </c>
      <c r="N182" s="42" t="str">
        <f>IF($B182="","",SUMPRODUCT(COUNTIFS(pbp_PlayType,EM_Type,pbp_Pitcher,$B182)*EM_AB))</f>
        <v/>
      </c>
      <c r="O182" s="42" t="str">
        <f>IF($B182="","",SUMPRODUCT(COUNTIFS(pbp_PlayType,EM_Type,pbp_Pitcher,$B182)*EM_SF))</f>
        <v/>
      </c>
      <c r="P182" s="42" t="str">
        <f>IF($B182="","",SUMIFS(pbp_Pitches,pbp_Pitcher,$B182,pbp_PlayType,"?*"))</f>
        <v/>
      </c>
      <c r="Q182" s="60" t="str">
        <f t="shared" si="19"/>
        <v/>
      </c>
      <c r="R182" s="59" t="str">
        <f>IF($B182="","",IF(E182=0,"",1-SUMPRODUCT((pbp_Pitcher=$B182)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182)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82" s="59" t="str">
        <f>IF($B182="","",IF((SUMPRODUCT((pbp_Pitcher=$B182)*(LEN(pbp_PlayType)&gt;0)))=0,"",(SUMPRODUCT((pbp_Pitcher=$B182)*(LEN(pbp_PlayType)&gt;0)*ISNUMBER(MATCH(LEFT(TRIM(pbp_Seq)&amp;"/",FIND("/",TRIM(pbp_Seq)&amp;"/")-1),{"S","F","FT","FB","IN","MB","POS"},0))))/(SUMPRODUCT((pbp_Pitcher=$B182)*(LEN(pbp_PlayType)&gt;0)))))</f>
        <v/>
      </c>
      <c r="T182" s="59" t="str">
        <f t="shared" si="20"/>
        <v/>
      </c>
      <c r="U182" s="59" t="str">
        <f t="shared" si="21"/>
        <v/>
      </c>
      <c r="V182" s="59" t="str">
        <f t="shared" si="22"/>
        <v/>
      </c>
      <c r="W182" s="60" t="str">
        <f t="shared" si="23"/>
        <v/>
      </c>
      <c r="X182" s="60" t="str">
        <f t="shared" si="24"/>
        <v/>
      </c>
      <c r="Y182" s="58" t="str">
        <f t="shared" si="25"/>
        <v/>
      </c>
      <c r="Z182" s="58" t="str">
        <f t="shared" si="26"/>
        <v/>
      </c>
      <c r="AA182" s="62" t="str">
        <f>IF($B182="","",IF(OR(E182&lt;MinBF,X182=""),"",COUNTIFS($E$6:$E$255,"&gt;="&amp;MinBF,$X$6:$X$255,"&lt;"&amp;X182)+COUNTIFS($E$5:E181,"&gt;="&amp;MinBF,$X$5:X181,X182)+1))</f>
        <v/>
      </c>
    </row>
    <row r="183" spans="2:27" x14ac:dyDescent="0.2">
      <c r="B183" s="44" t="str">
        <f t="array" ref="B183">IFERROR(INDEX(pbp_Pitcher,MATCH(0,COUNTIF($B$5:B182,pbp_Pitcher)+(pbp_Pitcher=""),0)),"")</f>
        <v/>
      </c>
      <c r="C183" s="61" t="str">
        <f>IF($B183="","",IFERROR(INDEX(pbp_PitTeam,MATCH($B183,pbp_Pitcher,0)),""))</f>
        <v/>
      </c>
      <c r="D183" s="61" t="str">
        <f>IF($B183="","",IFERROR(INDEX(pbp_PitHand,MATCH($B183,pbp_Pitcher,0)),""))</f>
        <v/>
      </c>
      <c r="E183" s="42" t="str">
        <f>IF($B183="","",SUMPRODUCT(COUNTIFS(pbp_PlayType,EM_Type,pbp_Pitcher,$B183)*EM_PA))</f>
        <v/>
      </c>
      <c r="F183" s="42" t="str">
        <f>IF($B183="","",SUMIFS(pbp_Outs,pbp_Pitcher,$B183))</f>
        <v/>
      </c>
      <c r="G183" s="70" t="str">
        <f t="shared" si="18"/>
        <v/>
      </c>
      <c r="H183" s="42" t="str">
        <f>IF($B183="","",SUMPRODUCT(COUNTIFS(pbp_PlayType,EM_Type,pbp_Pitcher,$B183)*EM_H))</f>
        <v/>
      </c>
      <c r="I183" s="42" t="str">
        <f>IF($B183="","",SUMPRODUCT(COUNTIFS(pbp_PlayType,EM_Type,pbp_Pitcher,$B183)*EM_HR))</f>
        <v/>
      </c>
      <c r="J183" s="42" t="str">
        <f>IF($B183="","",SUMPRODUCT(COUNTIFS(pbp_PlayType,EM_Type,pbp_Pitcher,$B183)*EM_BB))</f>
        <v/>
      </c>
      <c r="K183" s="42" t="str">
        <f>IF($B183="","",SUMPRODUCT(COUNTIFS(pbp_PlayType,EM_Type,pbp_Pitcher,$B183)*EM_HBP))</f>
        <v/>
      </c>
      <c r="L183" s="42" t="str">
        <f>IF($B183="","",COUNTIFS(pbp_PlayType,"?*",pbp_Desc,"*struck out*",pbp_Pitcher,$B183))</f>
        <v/>
      </c>
      <c r="M183" s="42" t="str">
        <f>IF($B183="","",SUMIFS(pbp_Runs,pbp_Pitcher,$B183))</f>
        <v/>
      </c>
      <c r="N183" s="42" t="str">
        <f>IF($B183="","",SUMPRODUCT(COUNTIFS(pbp_PlayType,EM_Type,pbp_Pitcher,$B183)*EM_AB))</f>
        <v/>
      </c>
      <c r="O183" s="42" t="str">
        <f>IF($B183="","",SUMPRODUCT(COUNTIFS(pbp_PlayType,EM_Type,pbp_Pitcher,$B183)*EM_SF))</f>
        <v/>
      </c>
      <c r="P183" s="42" t="str">
        <f>IF($B183="","",SUMIFS(pbp_Pitches,pbp_Pitcher,$B183,pbp_PlayType,"?*"))</f>
        <v/>
      </c>
      <c r="Q183" s="60" t="str">
        <f t="shared" si="19"/>
        <v/>
      </c>
      <c r="R183" s="59" t="str">
        <f>IF($B183="","",IF(E183=0,"",1-SUMPRODUCT((pbp_Pitcher=$B183)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183)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83" s="59" t="str">
        <f>IF($B183="","",IF((SUMPRODUCT((pbp_Pitcher=$B183)*(LEN(pbp_PlayType)&gt;0)))=0,"",(SUMPRODUCT((pbp_Pitcher=$B183)*(LEN(pbp_PlayType)&gt;0)*ISNUMBER(MATCH(LEFT(TRIM(pbp_Seq)&amp;"/",FIND("/",TRIM(pbp_Seq)&amp;"/")-1),{"S","F","FT","FB","IN","MB","POS"},0))))/(SUMPRODUCT((pbp_Pitcher=$B183)*(LEN(pbp_PlayType)&gt;0)))))</f>
        <v/>
      </c>
      <c r="T183" s="59" t="str">
        <f t="shared" si="20"/>
        <v/>
      </c>
      <c r="U183" s="59" t="str">
        <f t="shared" si="21"/>
        <v/>
      </c>
      <c r="V183" s="59" t="str">
        <f t="shared" si="22"/>
        <v/>
      </c>
      <c r="W183" s="60" t="str">
        <f t="shared" si="23"/>
        <v/>
      </c>
      <c r="X183" s="60" t="str">
        <f t="shared" si="24"/>
        <v/>
      </c>
      <c r="Y183" s="58" t="str">
        <f t="shared" si="25"/>
        <v/>
      </c>
      <c r="Z183" s="58" t="str">
        <f t="shared" si="26"/>
        <v/>
      </c>
      <c r="AA183" s="62" t="str">
        <f>IF($B183="","",IF(OR(E183&lt;MinBF,X183=""),"",COUNTIFS($E$6:$E$255,"&gt;="&amp;MinBF,$X$6:$X$255,"&lt;"&amp;X183)+COUNTIFS($E$5:E182,"&gt;="&amp;MinBF,$X$5:X182,X183)+1))</f>
        <v/>
      </c>
    </row>
    <row r="184" spans="2:27" x14ac:dyDescent="0.2">
      <c r="B184" s="44" t="str">
        <f t="array" ref="B184">IFERROR(INDEX(pbp_Pitcher,MATCH(0,COUNTIF($B$5:B183,pbp_Pitcher)+(pbp_Pitcher=""),0)),"")</f>
        <v/>
      </c>
      <c r="C184" s="61" t="str">
        <f>IF($B184="","",IFERROR(INDEX(pbp_PitTeam,MATCH($B184,pbp_Pitcher,0)),""))</f>
        <v/>
      </c>
      <c r="D184" s="61" t="str">
        <f>IF($B184="","",IFERROR(INDEX(pbp_PitHand,MATCH($B184,pbp_Pitcher,0)),""))</f>
        <v/>
      </c>
      <c r="E184" s="42" t="str">
        <f>IF($B184="","",SUMPRODUCT(COUNTIFS(pbp_PlayType,EM_Type,pbp_Pitcher,$B184)*EM_PA))</f>
        <v/>
      </c>
      <c r="F184" s="42" t="str">
        <f>IF($B184="","",SUMIFS(pbp_Outs,pbp_Pitcher,$B184))</f>
        <v/>
      </c>
      <c r="G184" s="70" t="str">
        <f t="shared" si="18"/>
        <v/>
      </c>
      <c r="H184" s="42" t="str">
        <f>IF($B184="","",SUMPRODUCT(COUNTIFS(pbp_PlayType,EM_Type,pbp_Pitcher,$B184)*EM_H))</f>
        <v/>
      </c>
      <c r="I184" s="42" t="str">
        <f>IF($B184="","",SUMPRODUCT(COUNTIFS(pbp_PlayType,EM_Type,pbp_Pitcher,$B184)*EM_HR))</f>
        <v/>
      </c>
      <c r="J184" s="42" t="str">
        <f>IF($B184="","",SUMPRODUCT(COUNTIFS(pbp_PlayType,EM_Type,pbp_Pitcher,$B184)*EM_BB))</f>
        <v/>
      </c>
      <c r="K184" s="42" t="str">
        <f>IF($B184="","",SUMPRODUCT(COUNTIFS(pbp_PlayType,EM_Type,pbp_Pitcher,$B184)*EM_HBP))</f>
        <v/>
      </c>
      <c r="L184" s="42" t="str">
        <f>IF($B184="","",COUNTIFS(pbp_PlayType,"?*",pbp_Desc,"*struck out*",pbp_Pitcher,$B184))</f>
        <v/>
      </c>
      <c r="M184" s="42" t="str">
        <f>IF($B184="","",SUMIFS(pbp_Runs,pbp_Pitcher,$B184))</f>
        <v/>
      </c>
      <c r="N184" s="42" t="str">
        <f>IF($B184="","",SUMPRODUCT(COUNTIFS(pbp_PlayType,EM_Type,pbp_Pitcher,$B184)*EM_AB))</f>
        <v/>
      </c>
      <c r="O184" s="42" t="str">
        <f>IF($B184="","",SUMPRODUCT(COUNTIFS(pbp_PlayType,EM_Type,pbp_Pitcher,$B184)*EM_SF))</f>
        <v/>
      </c>
      <c r="P184" s="42" t="str">
        <f>IF($B184="","",SUMIFS(pbp_Pitches,pbp_Pitcher,$B184,pbp_PlayType,"?*"))</f>
        <v/>
      </c>
      <c r="Q184" s="60" t="str">
        <f t="shared" si="19"/>
        <v/>
      </c>
      <c r="R184" s="59" t="str">
        <f>IF($B184="","",IF(E184=0,"",1-SUMPRODUCT((pbp_Pitcher=$B184)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184)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84" s="59" t="str">
        <f>IF($B184="","",IF((SUMPRODUCT((pbp_Pitcher=$B184)*(LEN(pbp_PlayType)&gt;0)))=0,"",(SUMPRODUCT((pbp_Pitcher=$B184)*(LEN(pbp_PlayType)&gt;0)*ISNUMBER(MATCH(LEFT(TRIM(pbp_Seq)&amp;"/",FIND("/",TRIM(pbp_Seq)&amp;"/")-1),{"S","F","FT","FB","IN","MB","POS"},0))))/(SUMPRODUCT((pbp_Pitcher=$B184)*(LEN(pbp_PlayType)&gt;0)))))</f>
        <v/>
      </c>
      <c r="T184" s="59" t="str">
        <f t="shared" si="20"/>
        <v/>
      </c>
      <c r="U184" s="59" t="str">
        <f t="shared" si="21"/>
        <v/>
      </c>
      <c r="V184" s="59" t="str">
        <f t="shared" si="22"/>
        <v/>
      </c>
      <c r="W184" s="60" t="str">
        <f t="shared" si="23"/>
        <v/>
      </c>
      <c r="X184" s="60" t="str">
        <f t="shared" si="24"/>
        <v/>
      </c>
      <c r="Y184" s="58" t="str">
        <f t="shared" si="25"/>
        <v/>
      </c>
      <c r="Z184" s="58" t="str">
        <f t="shared" si="26"/>
        <v/>
      </c>
      <c r="AA184" s="62" t="str">
        <f>IF($B184="","",IF(OR(E184&lt;MinBF,X184=""),"",COUNTIFS($E$6:$E$255,"&gt;="&amp;MinBF,$X$6:$X$255,"&lt;"&amp;X184)+COUNTIFS($E$5:E183,"&gt;="&amp;MinBF,$X$5:X183,X184)+1))</f>
        <v/>
      </c>
    </row>
    <row r="185" spans="2:27" x14ac:dyDescent="0.2">
      <c r="B185" s="44" t="str">
        <f t="array" ref="B185">IFERROR(INDEX(pbp_Pitcher,MATCH(0,COUNTIF($B$5:B184,pbp_Pitcher)+(pbp_Pitcher=""),0)),"")</f>
        <v/>
      </c>
      <c r="C185" s="61" t="str">
        <f>IF($B185="","",IFERROR(INDEX(pbp_PitTeam,MATCH($B185,pbp_Pitcher,0)),""))</f>
        <v/>
      </c>
      <c r="D185" s="61" t="str">
        <f>IF($B185="","",IFERROR(INDEX(pbp_PitHand,MATCH($B185,pbp_Pitcher,0)),""))</f>
        <v/>
      </c>
      <c r="E185" s="42" t="str">
        <f>IF($B185="","",SUMPRODUCT(COUNTIFS(pbp_PlayType,EM_Type,pbp_Pitcher,$B185)*EM_PA))</f>
        <v/>
      </c>
      <c r="F185" s="42" t="str">
        <f>IF($B185="","",SUMIFS(pbp_Outs,pbp_Pitcher,$B185))</f>
        <v/>
      </c>
      <c r="G185" s="70" t="str">
        <f t="shared" si="18"/>
        <v/>
      </c>
      <c r="H185" s="42" t="str">
        <f>IF($B185="","",SUMPRODUCT(COUNTIFS(pbp_PlayType,EM_Type,pbp_Pitcher,$B185)*EM_H))</f>
        <v/>
      </c>
      <c r="I185" s="42" t="str">
        <f>IF($B185="","",SUMPRODUCT(COUNTIFS(pbp_PlayType,EM_Type,pbp_Pitcher,$B185)*EM_HR))</f>
        <v/>
      </c>
      <c r="J185" s="42" t="str">
        <f>IF($B185="","",SUMPRODUCT(COUNTIFS(pbp_PlayType,EM_Type,pbp_Pitcher,$B185)*EM_BB))</f>
        <v/>
      </c>
      <c r="K185" s="42" t="str">
        <f>IF($B185="","",SUMPRODUCT(COUNTIFS(pbp_PlayType,EM_Type,pbp_Pitcher,$B185)*EM_HBP))</f>
        <v/>
      </c>
      <c r="L185" s="42" t="str">
        <f>IF($B185="","",COUNTIFS(pbp_PlayType,"?*",pbp_Desc,"*struck out*",pbp_Pitcher,$B185))</f>
        <v/>
      </c>
      <c r="M185" s="42" t="str">
        <f>IF($B185="","",SUMIFS(pbp_Runs,pbp_Pitcher,$B185))</f>
        <v/>
      </c>
      <c r="N185" s="42" t="str">
        <f>IF($B185="","",SUMPRODUCT(COUNTIFS(pbp_PlayType,EM_Type,pbp_Pitcher,$B185)*EM_AB))</f>
        <v/>
      </c>
      <c r="O185" s="42" t="str">
        <f>IF($B185="","",SUMPRODUCT(COUNTIFS(pbp_PlayType,EM_Type,pbp_Pitcher,$B185)*EM_SF))</f>
        <v/>
      </c>
      <c r="P185" s="42" t="str">
        <f>IF($B185="","",SUMIFS(pbp_Pitches,pbp_Pitcher,$B185,pbp_PlayType,"?*"))</f>
        <v/>
      </c>
      <c r="Q185" s="60" t="str">
        <f t="shared" si="19"/>
        <v/>
      </c>
      <c r="R185" s="59" t="str">
        <f>IF($B185="","",IF(E185=0,"",1-SUMPRODUCT((pbp_Pitcher=$B185)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185)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85" s="59" t="str">
        <f>IF($B185="","",IF((SUMPRODUCT((pbp_Pitcher=$B185)*(LEN(pbp_PlayType)&gt;0)))=0,"",(SUMPRODUCT((pbp_Pitcher=$B185)*(LEN(pbp_PlayType)&gt;0)*ISNUMBER(MATCH(LEFT(TRIM(pbp_Seq)&amp;"/",FIND("/",TRIM(pbp_Seq)&amp;"/")-1),{"S","F","FT","FB","IN","MB","POS"},0))))/(SUMPRODUCT((pbp_Pitcher=$B185)*(LEN(pbp_PlayType)&gt;0)))))</f>
        <v/>
      </c>
      <c r="T185" s="59" t="str">
        <f t="shared" si="20"/>
        <v/>
      </c>
      <c r="U185" s="59" t="str">
        <f t="shared" si="21"/>
        <v/>
      </c>
      <c r="V185" s="59" t="str">
        <f t="shared" si="22"/>
        <v/>
      </c>
      <c r="W185" s="60" t="str">
        <f t="shared" si="23"/>
        <v/>
      </c>
      <c r="X185" s="60" t="str">
        <f t="shared" si="24"/>
        <v/>
      </c>
      <c r="Y185" s="58" t="str">
        <f t="shared" si="25"/>
        <v/>
      </c>
      <c r="Z185" s="58" t="str">
        <f t="shared" si="26"/>
        <v/>
      </c>
      <c r="AA185" s="62" t="str">
        <f>IF($B185="","",IF(OR(E185&lt;MinBF,X185=""),"",COUNTIFS($E$6:$E$255,"&gt;="&amp;MinBF,$X$6:$X$255,"&lt;"&amp;X185)+COUNTIFS($E$5:E184,"&gt;="&amp;MinBF,$X$5:X184,X185)+1))</f>
        <v/>
      </c>
    </row>
    <row r="186" spans="2:27" x14ac:dyDescent="0.2">
      <c r="B186" s="44" t="str">
        <f t="array" ref="B186">IFERROR(INDEX(pbp_Pitcher,MATCH(0,COUNTIF($B$5:B185,pbp_Pitcher)+(pbp_Pitcher=""),0)),"")</f>
        <v/>
      </c>
      <c r="C186" s="61" t="str">
        <f>IF($B186="","",IFERROR(INDEX(pbp_PitTeam,MATCH($B186,pbp_Pitcher,0)),""))</f>
        <v/>
      </c>
      <c r="D186" s="61" t="str">
        <f>IF($B186="","",IFERROR(INDEX(pbp_PitHand,MATCH($B186,pbp_Pitcher,0)),""))</f>
        <v/>
      </c>
      <c r="E186" s="42" t="str">
        <f>IF($B186="","",SUMPRODUCT(COUNTIFS(pbp_PlayType,EM_Type,pbp_Pitcher,$B186)*EM_PA))</f>
        <v/>
      </c>
      <c r="F186" s="42" t="str">
        <f>IF($B186="","",SUMIFS(pbp_Outs,pbp_Pitcher,$B186))</f>
        <v/>
      </c>
      <c r="G186" s="70" t="str">
        <f t="shared" si="18"/>
        <v/>
      </c>
      <c r="H186" s="42" t="str">
        <f>IF($B186="","",SUMPRODUCT(COUNTIFS(pbp_PlayType,EM_Type,pbp_Pitcher,$B186)*EM_H))</f>
        <v/>
      </c>
      <c r="I186" s="42" t="str">
        <f>IF($B186="","",SUMPRODUCT(COUNTIFS(pbp_PlayType,EM_Type,pbp_Pitcher,$B186)*EM_HR))</f>
        <v/>
      </c>
      <c r="J186" s="42" t="str">
        <f>IF($B186="","",SUMPRODUCT(COUNTIFS(pbp_PlayType,EM_Type,pbp_Pitcher,$B186)*EM_BB))</f>
        <v/>
      </c>
      <c r="K186" s="42" t="str">
        <f>IF($B186="","",SUMPRODUCT(COUNTIFS(pbp_PlayType,EM_Type,pbp_Pitcher,$B186)*EM_HBP))</f>
        <v/>
      </c>
      <c r="L186" s="42" t="str">
        <f>IF($B186="","",COUNTIFS(pbp_PlayType,"?*",pbp_Desc,"*struck out*",pbp_Pitcher,$B186))</f>
        <v/>
      </c>
      <c r="M186" s="42" t="str">
        <f>IF($B186="","",SUMIFS(pbp_Runs,pbp_Pitcher,$B186))</f>
        <v/>
      </c>
      <c r="N186" s="42" t="str">
        <f>IF($B186="","",SUMPRODUCT(COUNTIFS(pbp_PlayType,EM_Type,pbp_Pitcher,$B186)*EM_AB))</f>
        <v/>
      </c>
      <c r="O186" s="42" t="str">
        <f>IF($B186="","",SUMPRODUCT(COUNTIFS(pbp_PlayType,EM_Type,pbp_Pitcher,$B186)*EM_SF))</f>
        <v/>
      </c>
      <c r="P186" s="42" t="str">
        <f>IF($B186="","",SUMIFS(pbp_Pitches,pbp_Pitcher,$B186,pbp_PlayType,"?*"))</f>
        <v/>
      </c>
      <c r="Q186" s="60" t="str">
        <f t="shared" si="19"/>
        <v/>
      </c>
      <c r="R186" s="59" t="str">
        <f>IF($B186="","",IF(E186=0,"",1-SUMPRODUCT((pbp_Pitcher=$B186)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186)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86" s="59" t="str">
        <f>IF($B186="","",IF((SUMPRODUCT((pbp_Pitcher=$B186)*(LEN(pbp_PlayType)&gt;0)))=0,"",(SUMPRODUCT((pbp_Pitcher=$B186)*(LEN(pbp_PlayType)&gt;0)*ISNUMBER(MATCH(LEFT(TRIM(pbp_Seq)&amp;"/",FIND("/",TRIM(pbp_Seq)&amp;"/")-1),{"S","F","FT","FB","IN","MB","POS"},0))))/(SUMPRODUCT((pbp_Pitcher=$B186)*(LEN(pbp_PlayType)&gt;0)))))</f>
        <v/>
      </c>
      <c r="T186" s="59" t="str">
        <f t="shared" si="20"/>
        <v/>
      </c>
      <c r="U186" s="59" t="str">
        <f t="shared" si="21"/>
        <v/>
      </c>
      <c r="V186" s="59" t="str">
        <f t="shared" si="22"/>
        <v/>
      </c>
      <c r="W186" s="60" t="str">
        <f t="shared" si="23"/>
        <v/>
      </c>
      <c r="X186" s="60" t="str">
        <f t="shared" si="24"/>
        <v/>
      </c>
      <c r="Y186" s="58" t="str">
        <f t="shared" si="25"/>
        <v/>
      </c>
      <c r="Z186" s="58" t="str">
        <f t="shared" si="26"/>
        <v/>
      </c>
      <c r="AA186" s="62" t="str">
        <f>IF($B186="","",IF(OR(E186&lt;MinBF,X186=""),"",COUNTIFS($E$6:$E$255,"&gt;="&amp;MinBF,$X$6:$X$255,"&lt;"&amp;X186)+COUNTIFS($E$5:E185,"&gt;="&amp;MinBF,$X$5:X185,X186)+1))</f>
        <v/>
      </c>
    </row>
    <row r="187" spans="2:27" x14ac:dyDescent="0.2">
      <c r="B187" s="44" t="str">
        <f t="array" ref="B187">IFERROR(INDEX(pbp_Pitcher,MATCH(0,COUNTIF($B$5:B186,pbp_Pitcher)+(pbp_Pitcher=""),0)),"")</f>
        <v/>
      </c>
      <c r="C187" s="61" t="str">
        <f>IF($B187="","",IFERROR(INDEX(pbp_PitTeam,MATCH($B187,pbp_Pitcher,0)),""))</f>
        <v/>
      </c>
      <c r="D187" s="61" t="str">
        <f>IF($B187="","",IFERROR(INDEX(pbp_PitHand,MATCH($B187,pbp_Pitcher,0)),""))</f>
        <v/>
      </c>
      <c r="E187" s="42" t="str">
        <f>IF($B187="","",SUMPRODUCT(COUNTIFS(pbp_PlayType,EM_Type,pbp_Pitcher,$B187)*EM_PA))</f>
        <v/>
      </c>
      <c r="F187" s="42" t="str">
        <f>IF($B187="","",SUMIFS(pbp_Outs,pbp_Pitcher,$B187))</f>
        <v/>
      </c>
      <c r="G187" s="70" t="str">
        <f t="shared" si="18"/>
        <v/>
      </c>
      <c r="H187" s="42" t="str">
        <f>IF($B187="","",SUMPRODUCT(COUNTIFS(pbp_PlayType,EM_Type,pbp_Pitcher,$B187)*EM_H))</f>
        <v/>
      </c>
      <c r="I187" s="42" t="str">
        <f>IF($B187="","",SUMPRODUCT(COUNTIFS(pbp_PlayType,EM_Type,pbp_Pitcher,$B187)*EM_HR))</f>
        <v/>
      </c>
      <c r="J187" s="42" t="str">
        <f>IF($B187="","",SUMPRODUCT(COUNTIFS(pbp_PlayType,EM_Type,pbp_Pitcher,$B187)*EM_BB))</f>
        <v/>
      </c>
      <c r="K187" s="42" t="str">
        <f>IF($B187="","",SUMPRODUCT(COUNTIFS(pbp_PlayType,EM_Type,pbp_Pitcher,$B187)*EM_HBP))</f>
        <v/>
      </c>
      <c r="L187" s="42" t="str">
        <f>IF($B187="","",COUNTIFS(pbp_PlayType,"?*",pbp_Desc,"*struck out*",pbp_Pitcher,$B187))</f>
        <v/>
      </c>
      <c r="M187" s="42" t="str">
        <f>IF($B187="","",SUMIFS(pbp_Runs,pbp_Pitcher,$B187))</f>
        <v/>
      </c>
      <c r="N187" s="42" t="str">
        <f>IF($B187="","",SUMPRODUCT(COUNTIFS(pbp_PlayType,EM_Type,pbp_Pitcher,$B187)*EM_AB))</f>
        <v/>
      </c>
      <c r="O187" s="42" t="str">
        <f>IF($B187="","",SUMPRODUCT(COUNTIFS(pbp_PlayType,EM_Type,pbp_Pitcher,$B187)*EM_SF))</f>
        <v/>
      </c>
      <c r="P187" s="42" t="str">
        <f>IF($B187="","",SUMIFS(pbp_Pitches,pbp_Pitcher,$B187,pbp_PlayType,"?*"))</f>
        <v/>
      </c>
      <c r="Q187" s="60" t="str">
        <f t="shared" si="19"/>
        <v/>
      </c>
      <c r="R187" s="59" t="str">
        <f>IF($B187="","",IF(E187=0,"",1-SUMPRODUCT((pbp_Pitcher=$B187)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187)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87" s="59" t="str">
        <f>IF($B187="","",IF((SUMPRODUCT((pbp_Pitcher=$B187)*(LEN(pbp_PlayType)&gt;0)))=0,"",(SUMPRODUCT((pbp_Pitcher=$B187)*(LEN(pbp_PlayType)&gt;0)*ISNUMBER(MATCH(LEFT(TRIM(pbp_Seq)&amp;"/",FIND("/",TRIM(pbp_Seq)&amp;"/")-1),{"S","F","FT","FB","IN","MB","POS"},0))))/(SUMPRODUCT((pbp_Pitcher=$B187)*(LEN(pbp_PlayType)&gt;0)))))</f>
        <v/>
      </c>
      <c r="T187" s="59" t="str">
        <f t="shared" si="20"/>
        <v/>
      </c>
      <c r="U187" s="59" t="str">
        <f t="shared" si="21"/>
        <v/>
      </c>
      <c r="V187" s="59" t="str">
        <f t="shared" si="22"/>
        <v/>
      </c>
      <c r="W187" s="60" t="str">
        <f t="shared" si="23"/>
        <v/>
      </c>
      <c r="X187" s="60" t="str">
        <f t="shared" si="24"/>
        <v/>
      </c>
      <c r="Y187" s="58" t="str">
        <f t="shared" si="25"/>
        <v/>
      </c>
      <c r="Z187" s="58" t="str">
        <f t="shared" si="26"/>
        <v/>
      </c>
      <c r="AA187" s="62" t="str">
        <f>IF($B187="","",IF(OR(E187&lt;MinBF,X187=""),"",COUNTIFS($E$6:$E$255,"&gt;="&amp;MinBF,$X$6:$X$255,"&lt;"&amp;X187)+COUNTIFS($E$5:E186,"&gt;="&amp;MinBF,$X$5:X186,X187)+1))</f>
        <v/>
      </c>
    </row>
    <row r="188" spans="2:27" x14ac:dyDescent="0.2">
      <c r="B188" s="44" t="str">
        <f t="array" ref="B188">IFERROR(INDEX(pbp_Pitcher,MATCH(0,COUNTIF($B$5:B187,pbp_Pitcher)+(pbp_Pitcher=""),0)),"")</f>
        <v/>
      </c>
      <c r="C188" s="61" t="str">
        <f>IF($B188="","",IFERROR(INDEX(pbp_PitTeam,MATCH($B188,pbp_Pitcher,0)),""))</f>
        <v/>
      </c>
      <c r="D188" s="61" t="str">
        <f>IF($B188="","",IFERROR(INDEX(pbp_PitHand,MATCH($B188,pbp_Pitcher,0)),""))</f>
        <v/>
      </c>
      <c r="E188" s="42" t="str">
        <f>IF($B188="","",SUMPRODUCT(COUNTIFS(pbp_PlayType,EM_Type,pbp_Pitcher,$B188)*EM_PA))</f>
        <v/>
      </c>
      <c r="F188" s="42" t="str">
        <f>IF($B188="","",SUMIFS(pbp_Outs,pbp_Pitcher,$B188))</f>
        <v/>
      </c>
      <c r="G188" s="70" t="str">
        <f t="shared" si="18"/>
        <v/>
      </c>
      <c r="H188" s="42" t="str">
        <f>IF($B188="","",SUMPRODUCT(COUNTIFS(pbp_PlayType,EM_Type,pbp_Pitcher,$B188)*EM_H))</f>
        <v/>
      </c>
      <c r="I188" s="42" t="str">
        <f>IF($B188="","",SUMPRODUCT(COUNTIFS(pbp_PlayType,EM_Type,pbp_Pitcher,$B188)*EM_HR))</f>
        <v/>
      </c>
      <c r="J188" s="42" t="str">
        <f>IF($B188="","",SUMPRODUCT(COUNTIFS(pbp_PlayType,EM_Type,pbp_Pitcher,$B188)*EM_BB))</f>
        <v/>
      </c>
      <c r="K188" s="42" t="str">
        <f>IF($B188="","",SUMPRODUCT(COUNTIFS(pbp_PlayType,EM_Type,pbp_Pitcher,$B188)*EM_HBP))</f>
        <v/>
      </c>
      <c r="L188" s="42" t="str">
        <f>IF($B188="","",COUNTIFS(pbp_PlayType,"?*",pbp_Desc,"*struck out*",pbp_Pitcher,$B188))</f>
        <v/>
      </c>
      <c r="M188" s="42" t="str">
        <f>IF($B188="","",SUMIFS(pbp_Runs,pbp_Pitcher,$B188))</f>
        <v/>
      </c>
      <c r="N188" s="42" t="str">
        <f>IF($B188="","",SUMPRODUCT(COUNTIFS(pbp_PlayType,EM_Type,pbp_Pitcher,$B188)*EM_AB))</f>
        <v/>
      </c>
      <c r="O188" s="42" t="str">
        <f>IF($B188="","",SUMPRODUCT(COUNTIFS(pbp_PlayType,EM_Type,pbp_Pitcher,$B188)*EM_SF))</f>
        <v/>
      </c>
      <c r="P188" s="42" t="str">
        <f>IF($B188="","",SUMIFS(pbp_Pitches,pbp_Pitcher,$B188,pbp_PlayType,"?*"))</f>
        <v/>
      </c>
      <c r="Q188" s="60" t="str">
        <f t="shared" si="19"/>
        <v/>
      </c>
      <c r="R188" s="59" t="str">
        <f>IF($B188="","",IF(E188=0,"",1-SUMPRODUCT((pbp_Pitcher=$B188)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188)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88" s="59" t="str">
        <f>IF($B188="","",IF((SUMPRODUCT((pbp_Pitcher=$B188)*(LEN(pbp_PlayType)&gt;0)))=0,"",(SUMPRODUCT((pbp_Pitcher=$B188)*(LEN(pbp_PlayType)&gt;0)*ISNUMBER(MATCH(LEFT(TRIM(pbp_Seq)&amp;"/",FIND("/",TRIM(pbp_Seq)&amp;"/")-1),{"S","F","FT","FB","IN","MB","POS"},0))))/(SUMPRODUCT((pbp_Pitcher=$B188)*(LEN(pbp_PlayType)&gt;0)))))</f>
        <v/>
      </c>
      <c r="T188" s="59" t="str">
        <f t="shared" si="20"/>
        <v/>
      </c>
      <c r="U188" s="59" t="str">
        <f t="shared" si="21"/>
        <v/>
      </c>
      <c r="V188" s="59" t="str">
        <f t="shared" si="22"/>
        <v/>
      </c>
      <c r="W188" s="60" t="str">
        <f t="shared" si="23"/>
        <v/>
      </c>
      <c r="X188" s="60" t="str">
        <f t="shared" si="24"/>
        <v/>
      </c>
      <c r="Y188" s="58" t="str">
        <f t="shared" si="25"/>
        <v/>
      </c>
      <c r="Z188" s="58" t="str">
        <f t="shared" si="26"/>
        <v/>
      </c>
      <c r="AA188" s="62" t="str">
        <f>IF($B188="","",IF(OR(E188&lt;MinBF,X188=""),"",COUNTIFS($E$6:$E$255,"&gt;="&amp;MinBF,$X$6:$X$255,"&lt;"&amp;X188)+COUNTIFS($E$5:E187,"&gt;="&amp;MinBF,$X$5:X187,X188)+1))</f>
        <v/>
      </c>
    </row>
    <row r="189" spans="2:27" x14ac:dyDescent="0.2">
      <c r="B189" s="44" t="str">
        <f t="array" ref="B189">IFERROR(INDEX(pbp_Pitcher,MATCH(0,COUNTIF($B$5:B188,pbp_Pitcher)+(pbp_Pitcher=""),0)),"")</f>
        <v/>
      </c>
      <c r="C189" s="61" t="str">
        <f>IF($B189="","",IFERROR(INDEX(pbp_PitTeam,MATCH($B189,pbp_Pitcher,0)),""))</f>
        <v/>
      </c>
      <c r="D189" s="61" t="str">
        <f>IF($B189="","",IFERROR(INDEX(pbp_PitHand,MATCH($B189,pbp_Pitcher,0)),""))</f>
        <v/>
      </c>
      <c r="E189" s="42" t="str">
        <f>IF($B189="","",SUMPRODUCT(COUNTIFS(pbp_PlayType,EM_Type,pbp_Pitcher,$B189)*EM_PA))</f>
        <v/>
      </c>
      <c r="F189" s="42" t="str">
        <f>IF($B189="","",SUMIFS(pbp_Outs,pbp_Pitcher,$B189))</f>
        <v/>
      </c>
      <c r="G189" s="70" t="str">
        <f t="shared" si="18"/>
        <v/>
      </c>
      <c r="H189" s="42" t="str">
        <f>IF($B189="","",SUMPRODUCT(COUNTIFS(pbp_PlayType,EM_Type,pbp_Pitcher,$B189)*EM_H))</f>
        <v/>
      </c>
      <c r="I189" s="42" t="str">
        <f>IF($B189="","",SUMPRODUCT(COUNTIFS(pbp_PlayType,EM_Type,pbp_Pitcher,$B189)*EM_HR))</f>
        <v/>
      </c>
      <c r="J189" s="42" t="str">
        <f>IF($B189="","",SUMPRODUCT(COUNTIFS(pbp_PlayType,EM_Type,pbp_Pitcher,$B189)*EM_BB))</f>
        <v/>
      </c>
      <c r="K189" s="42" t="str">
        <f>IF($B189="","",SUMPRODUCT(COUNTIFS(pbp_PlayType,EM_Type,pbp_Pitcher,$B189)*EM_HBP))</f>
        <v/>
      </c>
      <c r="L189" s="42" t="str">
        <f>IF($B189="","",COUNTIFS(pbp_PlayType,"?*",pbp_Desc,"*struck out*",pbp_Pitcher,$B189))</f>
        <v/>
      </c>
      <c r="M189" s="42" t="str">
        <f>IF($B189="","",SUMIFS(pbp_Runs,pbp_Pitcher,$B189))</f>
        <v/>
      </c>
      <c r="N189" s="42" t="str">
        <f>IF($B189="","",SUMPRODUCT(COUNTIFS(pbp_PlayType,EM_Type,pbp_Pitcher,$B189)*EM_AB))</f>
        <v/>
      </c>
      <c r="O189" s="42" t="str">
        <f>IF($B189="","",SUMPRODUCT(COUNTIFS(pbp_PlayType,EM_Type,pbp_Pitcher,$B189)*EM_SF))</f>
        <v/>
      </c>
      <c r="P189" s="42" t="str">
        <f>IF($B189="","",SUMIFS(pbp_Pitches,pbp_Pitcher,$B189,pbp_PlayType,"?*"))</f>
        <v/>
      </c>
      <c r="Q189" s="60" t="str">
        <f t="shared" si="19"/>
        <v/>
      </c>
      <c r="R189" s="59" t="str">
        <f>IF($B189="","",IF(E189=0,"",1-SUMPRODUCT((pbp_Pitcher=$B189)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189)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89" s="59" t="str">
        <f>IF($B189="","",IF((SUMPRODUCT((pbp_Pitcher=$B189)*(LEN(pbp_PlayType)&gt;0)))=0,"",(SUMPRODUCT((pbp_Pitcher=$B189)*(LEN(pbp_PlayType)&gt;0)*ISNUMBER(MATCH(LEFT(TRIM(pbp_Seq)&amp;"/",FIND("/",TRIM(pbp_Seq)&amp;"/")-1),{"S","F","FT","FB","IN","MB","POS"},0))))/(SUMPRODUCT((pbp_Pitcher=$B189)*(LEN(pbp_PlayType)&gt;0)))))</f>
        <v/>
      </c>
      <c r="T189" s="59" t="str">
        <f t="shared" si="20"/>
        <v/>
      </c>
      <c r="U189" s="59" t="str">
        <f t="shared" si="21"/>
        <v/>
      </c>
      <c r="V189" s="59" t="str">
        <f t="shared" si="22"/>
        <v/>
      </c>
      <c r="W189" s="60" t="str">
        <f t="shared" si="23"/>
        <v/>
      </c>
      <c r="X189" s="60" t="str">
        <f t="shared" si="24"/>
        <v/>
      </c>
      <c r="Y189" s="58" t="str">
        <f t="shared" si="25"/>
        <v/>
      </c>
      <c r="Z189" s="58" t="str">
        <f t="shared" si="26"/>
        <v/>
      </c>
      <c r="AA189" s="62" t="str">
        <f>IF($B189="","",IF(OR(E189&lt;MinBF,X189=""),"",COUNTIFS($E$6:$E$255,"&gt;="&amp;MinBF,$X$6:$X$255,"&lt;"&amp;X189)+COUNTIFS($E$5:E188,"&gt;="&amp;MinBF,$X$5:X188,X189)+1))</f>
        <v/>
      </c>
    </row>
    <row r="190" spans="2:27" x14ac:dyDescent="0.2">
      <c r="B190" s="44" t="str">
        <f t="array" ref="B190">IFERROR(INDEX(pbp_Pitcher,MATCH(0,COUNTIF($B$5:B189,pbp_Pitcher)+(pbp_Pitcher=""),0)),"")</f>
        <v/>
      </c>
      <c r="C190" s="61" t="str">
        <f>IF($B190="","",IFERROR(INDEX(pbp_PitTeam,MATCH($B190,pbp_Pitcher,0)),""))</f>
        <v/>
      </c>
      <c r="D190" s="61" t="str">
        <f>IF($B190="","",IFERROR(INDEX(pbp_PitHand,MATCH($B190,pbp_Pitcher,0)),""))</f>
        <v/>
      </c>
      <c r="E190" s="42" t="str">
        <f>IF($B190="","",SUMPRODUCT(COUNTIFS(pbp_PlayType,EM_Type,pbp_Pitcher,$B190)*EM_PA))</f>
        <v/>
      </c>
      <c r="F190" s="42" t="str">
        <f>IF($B190="","",SUMIFS(pbp_Outs,pbp_Pitcher,$B190))</f>
        <v/>
      </c>
      <c r="G190" s="70" t="str">
        <f t="shared" si="18"/>
        <v/>
      </c>
      <c r="H190" s="42" t="str">
        <f>IF($B190="","",SUMPRODUCT(COUNTIFS(pbp_PlayType,EM_Type,pbp_Pitcher,$B190)*EM_H))</f>
        <v/>
      </c>
      <c r="I190" s="42" t="str">
        <f>IF($B190="","",SUMPRODUCT(COUNTIFS(pbp_PlayType,EM_Type,pbp_Pitcher,$B190)*EM_HR))</f>
        <v/>
      </c>
      <c r="J190" s="42" t="str">
        <f>IF($B190="","",SUMPRODUCT(COUNTIFS(pbp_PlayType,EM_Type,pbp_Pitcher,$B190)*EM_BB))</f>
        <v/>
      </c>
      <c r="K190" s="42" t="str">
        <f>IF($B190="","",SUMPRODUCT(COUNTIFS(pbp_PlayType,EM_Type,pbp_Pitcher,$B190)*EM_HBP))</f>
        <v/>
      </c>
      <c r="L190" s="42" t="str">
        <f>IF($B190="","",COUNTIFS(pbp_PlayType,"?*",pbp_Desc,"*struck out*",pbp_Pitcher,$B190))</f>
        <v/>
      </c>
      <c r="M190" s="42" t="str">
        <f>IF($B190="","",SUMIFS(pbp_Runs,pbp_Pitcher,$B190))</f>
        <v/>
      </c>
      <c r="N190" s="42" t="str">
        <f>IF($B190="","",SUMPRODUCT(COUNTIFS(pbp_PlayType,EM_Type,pbp_Pitcher,$B190)*EM_AB))</f>
        <v/>
      </c>
      <c r="O190" s="42" t="str">
        <f>IF($B190="","",SUMPRODUCT(COUNTIFS(pbp_PlayType,EM_Type,pbp_Pitcher,$B190)*EM_SF))</f>
        <v/>
      </c>
      <c r="P190" s="42" t="str">
        <f>IF($B190="","",SUMIFS(pbp_Pitches,pbp_Pitcher,$B190,pbp_PlayType,"?*"))</f>
        <v/>
      </c>
      <c r="Q190" s="60" t="str">
        <f t="shared" si="19"/>
        <v/>
      </c>
      <c r="R190" s="59" t="str">
        <f>IF($B190="","",IF(E190=0,"",1-SUMPRODUCT((pbp_Pitcher=$B190)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190)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90" s="59" t="str">
        <f>IF($B190="","",IF((SUMPRODUCT((pbp_Pitcher=$B190)*(LEN(pbp_PlayType)&gt;0)))=0,"",(SUMPRODUCT((pbp_Pitcher=$B190)*(LEN(pbp_PlayType)&gt;0)*ISNUMBER(MATCH(LEFT(TRIM(pbp_Seq)&amp;"/",FIND("/",TRIM(pbp_Seq)&amp;"/")-1),{"S","F","FT","FB","IN","MB","POS"},0))))/(SUMPRODUCT((pbp_Pitcher=$B190)*(LEN(pbp_PlayType)&gt;0)))))</f>
        <v/>
      </c>
      <c r="T190" s="59" t="str">
        <f t="shared" si="20"/>
        <v/>
      </c>
      <c r="U190" s="59" t="str">
        <f t="shared" si="21"/>
        <v/>
      </c>
      <c r="V190" s="59" t="str">
        <f t="shared" si="22"/>
        <v/>
      </c>
      <c r="W190" s="60" t="str">
        <f t="shared" si="23"/>
        <v/>
      </c>
      <c r="X190" s="60" t="str">
        <f t="shared" si="24"/>
        <v/>
      </c>
      <c r="Y190" s="58" t="str">
        <f t="shared" si="25"/>
        <v/>
      </c>
      <c r="Z190" s="58" t="str">
        <f t="shared" si="26"/>
        <v/>
      </c>
      <c r="AA190" s="62" t="str">
        <f>IF($B190="","",IF(OR(E190&lt;MinBF,X190=""),"",COUNTIFS($E$6:$E$255,"&gt;="&amp;MinBF,$X$6:$X$255,"&lt;"&amp;X190)+COUNTIFS($E$5:E189,"&gt;="&amp;MinBF,$X$5:X189,X190)+1))</f>
        <v/>
      </c>
    </row>
    <row r="191" spans="2:27" x14ac:dyDescent="0.2">
      <c r="B191" s="44" t="str">
        <f t="array" ref="B191">IFERROR(INDEX(pbp_Pitcher,MATCH(0,COUNTIF($B$5:B190,pbp_Pitcher)+(pbp_Pitcher=""),0)),"")</f>
        <v/>
      </c>
      <c r="C191" s="61" t="str">
        <f>IF($B191="","",IFERROR(INDEX(pbp_PitTeam,MATCH($B191,pbp_Pitcher,0)),""))</f>
        <v/>
      </c>
      <c r="D191" s="61" t="str">
        <f>IF($B191="","",IFERROR(INDEX(pbp_PitHand,MATCH($B191,pbp_Pitcher,0)),""))</f>
        <v/>
      </c>
      <c r="E191" s="42" t="str">
        <f>IF($B191="","",SUMPRODUCT(COUNTIFS(pbp_PlayType,EM_Type,pbp_Pitcher,$B191)*EM_PA))</f>
        <v/>
      </c>
      <c r="F191" s="42" t="str">
        <f>IF($B191="","",SUMIFS(pbp_Outs,pbp_Pitcher,$B191))</f>
        <v/>
      </c>
      <c r="G191" s="70" t="str">
        <f t="shared" si="18"/>
        <v/>
      </c>
      <c r="H191" s="42" t="str">
        <f>IF($B191="","",SUMPRODUCT(COUNTIFS(pbp_PlayType,EM_Type,pbp_Pitcher,$B191)*EM_H))</f>
        <v/>
      </c>
      <c r="I191" s="42" t="str">
        <f>IF($B191="","",SUMPRODUCT(COUNTIFS(pbp_PlayType,EM_Type,pbp_Pitcher,$B191)*EM_HR))</f>
        <v/>
      </c>
      <c r="J191" s="42" t="str">
        <f>IF($B191="","",SUMPRODUCT(COUNTIFS(pbp_PlayType,EM_Type,pbp_Pitcher,$B191)*EM_BB))</f>
        <v/>
      </c>
      <c r="K191" s="42" t="str">
        <f>IF($B191="","",SUMPRODUCT(COUNTIFS(pbp_PlayType,EM_Type,pbp_Pitcher,$B191)*EM_HBP))</f>
        <v/>
      </c>
      <c r="L191" s="42" t="str">
        <f>IF($B191="","",COUNTIFS(pbp_PlayType,"?*",pbp_Desc,"*struck out*",pbp_Pitcher,$B191))</f>
        <v/>
      </c>
      <c r="M191" s="42" t="str">
        <f>IF($B191="","",SUMIFS(pbp_Runs,pbp_Pitcher,$B191))</f>
        <v/>
      </c>
      <c r="N191" s="42" t="str">
        <f>IF($B191="","",SUMPRODUCT(COUNTIFS(pbp_PlayType,EM_Type,pbp_Pitcher,$B191)*EM_AB))</f>
        <v/>
      </c>
      <c r="O191" s="42" t="str">
        <f>IF($B191="","",SUMPRODUCT(COUNTIFS(pbp_PlayType,EM_Type,pbp_Pitcher,$B191)*EM_SF))</f>
        <v/>
      </c>
      <c r="P191" s="42" t="str">
        <f>IF($B191="","",SUMIFS(pbp_Pitches,pbp_Pitcher,$B191,pbp_PlayType,"?*"))</f>
        <v/>
      </c>
      <c r="Q191" s="60" t="str">
        <f t="shared" si="19"/>
        <v/>
      </c>
      <c r="R191" s="59" t="str">
        <f>IF($B191="","",IF(E191=0,"",1-SUMPRODUCT((pbp_Pitcher=$B191)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191)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91" s="59" t="str">
        <f>IF($B191="","",IF((SUMPRODUCT((pbp_Pitcher=$B191)*(LEN(pbp_PlayType)&gt;0)))=0,"",(SUMPRODUCT((pbp_Pitcher=$B191)*(LEN(pbp_PlayType)&gt;0)*ISNUMBER(MATCH(LEFT(TRIM(pbp_Seq)&amp;"/",FIND("/",TRIM(pbp_Seq)&amp;"/")-1),{"S","F","FT","FB","IN","MB","POS"},0))))/(SUMPRODUCT((pbp_Pitcher=$B191)*(LEN(pbp_PlayType)&gt;0)))))</f>
        <v/>
      </c>
      <c r="T191" s="59" t="str">
        <f t="shared" si="20"/>
        <v/>
      </c>
      <c r="U191" s="59" t="str">
        <f t="shared" si="21"/>
        <v/>
      </c>
      <c r="V191" s="59" t="str">
        <f t="shared" si="22"/>
        <v/>
      </c>
      <c r="W191" s="60" t="str">
        <f t="shared" si="23"/>
        <v/>
      </c>
      <c r="X191" s="60" t="str">
        <f t="shared" si="24"/>
        <v/>
      </c>
      <c r="Y191" s="58" t="str">
        <f t="shared" si="25"/>
        <v/>
      </c>
      <c r="Z191" s="58" t="str">
        <f t="shared" si="26"/>
        <v/>
      </c>
      <c r="AA191" s="62" t="str">
        <f>IF($B191="","",IF(OR(E191&lt;MinBF,X191=""),"",COUNTIFS($E$6:$E$255,"&gt;="&amp;MinBF,$X$6:$X$255,"&lt;"&amp;X191)+COUNTIFS($E$5:E190,"&gt;="&amp;MinBF,$X$5:X190,X191)+1))</f>
        <v/>
      </c>
    </row>
    <row r="192" spans="2:27" x14ac:dyDescent="0.2">
      <c r="B192" s="44" t="str">
        <f t="array" ref="B192">IFERROR(INDEX(pbp_Pitcher,MATCH(0,COUNTIF($B$5:B191,pbp_Pitcher)+(pbp_Pitcher=""),0)),"")</f>
        <v/>
      </c>
      <c r="C192" s="61" t="str">
        <f>IF($B192="","",IFERROR(INDEX(pbp_PitTeam,MATCH($B192,pbp_Pitcher,0)),""))</f>
        <v/>
      </c>
      <c r="D192" s="61" t="str">
        <f>IF($B192="","",IFERROR(INDEX(pbp_PitHand,MATCH($B192,pbp_Pitcher,0)),""))</f>
        <v/>
      </c>
      <c r="E192" s="42" t="str">
        <f>IF($B192="","",SUMPRODUCT(COUNTIFS(pbp_PlayType,EM_Type,pbp_Pitcher,$B192)*EM_PA))</f>
        <v/>
      </c>
      <c r="F192" s="42" t="str">
        <f>IF($B192="","",SUMIFS(pbp_Outs,pbp_Pitcher,$B192))</f>
        <v/>
      </c>
      <c r="G192" s="70" t="str">
        <f t="shared" si="18"/>
        <v/>
      </c>
      <c r="H192" s="42" t="str">
        <f>IF($B192="","",SUMPRODUCT(COUNTIFS(pbp_PlayType,EM_Type,pbp_Pitcher,$B192)*EM_H))</f>
        <v/>
      </c>
      <c r="I192" s="42" t="str">
        <f>IF($B192="","",SUMPRODUCT(COUNTIFS(pbp_PlayType,EM_Type,pbp_Pitcher,$B192)*EM_HR))</f>
        <v/>
      </c>
      <c r="J192" s="42" t="str">
        <f>IF($B192="","",SUMPRODUCT(COUNTIFS(pbp_PlayType,EM_Type,pbp_Pitcher,$B192)*EM_BB))</f>
        <v/>
      </c>
      <c r="K192" s="42" t="str">
        <f>IF($B192="","",SUMPRODUCT(COUNTIFS(pbp_PlayType,EM_Type,pbp_Pitcher,$B192)*EM_HBP))</f>
        <v/>
      </c>
      <c r="L192" s="42" t="str">
        <f>IF($B192="","",COUNTIFS(pbp_PlayType,"?*",pbp_Desc,"*struck out*",pbp_Pitcher,$B192))</f>
        <v/>
      </c>
      <c r="M192" s="42" t="str">
        <f>IF($B192="","",SUMIFS(pbp_Runs,pbp_Pitcher,$B192))</f>
        <v/>
      </c>
      <c r="N192" s="42" t="str">
        <f>IF($B192="","",SUMPRODUCT(COUNTIFS(pbp_PlayType,EM_Type,pbp_Pitcher,$B192)*EM_AB))</f>
        <v/>
      </c>
      <c r="O192" s="42" t="str">
        <f>IF($B192="","",SUMPRODUCT(COUNTIFS(pbp_PlayType,EM_Type,pbp_Pitcher,$B192)*EM_SF))</f>
        <v/>
      </c>
      <c r="P192" s="42" t="str">
        <f>IF($B192="","",SUMIFS(pbp_Pitches,pbp_Pitcher,$B192,pbp_PlayType,"?*"))</f>
        <v/>
      </c>
      <c r="Q192" s="60" t="str">
        <f t="shared" si="19"/>
        <v/>
      </c>
      <c r="R192" s="59" t="str">
        <f>IF($B192="","",IF(E192=0,"",1-SUMPRODUCT((pbp_Pitcher=$B192)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192)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92" s="59" t="str">
        <f>IF($B192="","",IF((SUMPRODUCT((pbp_Pitcher=$B192)*(LEN(pbp_PlayType)&gt;0)))=0,"",(SUMPRODUCT((pbp_Pitcher=$B192)*(LEN(pbp_PlayType)&gt;0)*ISNUMBER(MATCH(LEFT(TRIM(pbp_Seq)&amp;"/",FIND("/",TRIM(pbp_Seq)&amp;"/")-1),{"S","F","FT","FB","IN","MB","POS"},0))))/(SUMPRODUCT((pbp_Pitcher=$B192)*(LEN(pbp_PlayType)&gt;0)))))</f>
        <v/>
      </c>
      <c r="T192" s="59" t="str">
        <f t="shared" si="20"/>
        <v/>
      </c>
      <c r="U192" s="59" t="str">
        <f t="shared" si="21"/>
        <v/>
      </c>
      <c r="V192" s="59" t="str">
        <f t="shared" si="22"/>
        <v/>
      </c>
      <c r="W192" s="60" t="str">
        <f t="shared" si="23"/>
        <v/>
      </c>
      <c r="X192" s="60" t="str">
        <f t="shared" si="24"/>
        <v/>
      </c>
      <c r="Y192" s="58" t="str">
        <f t="shared" si="25"/>
        <v/>
      </c>
      <c r="Z192" s="58" t="str">
        <f t="shared" si="26"/>
        <v/>
      </c>
      <c r="AA192" s="62" t="str">
        <f>IF($B192="","",IF(OR(E192&lt;MinBF,X192=""),"",COUNTIFS($E$6:$E$255,"&gt;="&amp;MinBF,$X$6:$X$255,"&lt;"&amp;X192)+COUNTIFS($E$5:E191,"&gt;="&amp;MinBF,$X$5:X191,X192)+1))</f>
        <v/>
      </c>
    </row>
    <row r="193" spans="2:27" x14ac:dyDescent="0.2">
      <c r="B193" s="44" t="str">
        <f t="array" ref="B193">IFERROR(INDEX(pbp_Pitcher,MATCH(0,COUNTIF($B$5:B192,pbp_Pitcher)+(pbp_Pitcher=""),0)),"")</f>
        <v/>
      </c>
      <c r="C193" s="61" t="str">
        <f>IF($B193="","",IFERROR(INDEX(pbp_PitTeam,MATCH($B193,pbp_Pitcher,0)),""))</f>
        <v/>
      </c>
      <c r="D193" s="61" t="str">
        <f>IF($B193="","",IFERROR(INDEX(pbp_PitHand,MATCH($B193,pbp_Pitcher,0)),""))</f>
        <v/>
      </c>
      <c r="E193" s="42" t="str">
        <f>IF($B193="","",SUMPRODUCT(COUNTIFS(pbp_PlayType,EM_Type,pbp_Pitcher,$B193)*EM_PA))</f>
        <v/>
      </c>
      <c r="F193" s="42" t="str">
        <f>IF($B193="","",SUMIFS(pbp_Outs,pbp_Pitcher,$B193))</f>
        <v/>
      </c>
      <c r="G193" s="70" t="str">
        <f t="shared" si="18"/>
        <v/>
      </c>
      <c r="H193" s="42" t="str">
        <f>IF($B193="","",SUMPRODUCT(COUNTIFS(pbp_PlayType,EM_Type,pbp_Pitcher,$B193)*EM_H))</f>
        <v/>
      </c>
      <c r="I193" s="42" t="str">
        <f>IF($B193="","",SUMPRODUCT(COUNTIFS(pbp_PlayType,EM_Type,pbp_Pitcher,$B193)*EM_HR))</f>
        <v/>
      </c>
      <c r="J193" s="42" t="str">
        <f>IF($B193="","",SUMPRODUCT(COUNTIFS(pbp_PlayType,EM_Type,pbp_Pitcher,$B193)*EM_BB))</f>
        <v/>
      </c>
      <c r="K193" s="42" t="str">
        <f>IF($B193="","",SUMPRODUCT(COUNTIFS(pbp_PlayType,EM_Type,pbp_Pitcher,$B193)*EM_HBP))</f>
        <v/>
      </c>
      <c r="L193" s="42" t="str">
        <f>IF($B193="","",COUNTIFS(pbp_PlayType,"?*",pbp_Desc,"*struck out*",pbp_Pitcher,$B193))</f>
        <v/>
      </c>
      <c r="M193" s="42" t="str">
        <f>IF($B193="","",SUMIFS(pbp_Runs,pbp_Pitcher,$B193))</f>
        <v/>
      </c>
      <c r="N193" s="42" t="str">
        <f>IF($B193="","",SUMPRODUCT(COUNTIFS(pbp_PlayType,EM_Type,pbp_Pitcher,$B193)*EM_AB))</f>
        <v/>
      </c>
      <c r="O193" s="42" t="str">
        <f>IF($B193="","",SUMPRODUCT(COUNTIFS(pbp_PlayType,EM_Type,pbp_Pitcher,$B193)*EM_SF))</f>
        <v/>
      </c>
      <c r="P193" s="42" t="str">
        <f>IF($B193="","",SUMIFS(pbp_Pitches,pbp_Pitcher,$B193,pbp_PlayType,"?*"))</f>
        <v/>
      </c>
      <c r="Q193" s="60" t="str">
        <f t="shared" si="19"/>
        <v/>
      </c>
      <c r="R193" s="59" t="str">
        <f>IF($B193="","",IF(E193=0,"",1-SUMPRODUCT((pbp_Pitcher=$B193)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193)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93" s="59" t="str">
        <f>IF($B193="","",IF((SUMPRODUCT((pbp_Pitcher=$B193)*(LEN(pbp_PlayType)&gt;0)))=0,"",(SUMPRODUCT((pbp_Pitcher=$B193)*(LEN(pbp_PlayType)&gt;0)*ISNUMBER(MATCH(LEFT(TRIM(pbp_Seq)&amp;"/",FIND("/",TRIM(pbp_Seq)&amp;"/")-1),{"S","F","FT","FB","IN","MB","POS"},0))))/(SUMPRODUCT((pbp_Pitcher=$B193)*(LEN(pbp_PlayType)&gt;0)))))</f>
        <v/>
      </c>
      <c r="T193" s="59" t="str">
        <f t="shared" si="20"/>
        <v/>
      </c>
      <c r="U193" s="59" t="str">
        <f t="shared" si="21"/>
        <v/>
      </c>
      <c r="V193" s="59" t="str">
        <f t="shared" si="22"/>
        <v/>
      </c>
      <c r="W193" s="60" t="str">
        <f t="shared" si="23"/>
        <v/>
      </c>
      <c r="X193" s="60" t="str">
        <f t="shared" si="24"/>
        <v/>
      </c>
      <c r="Y193" s="58" t="str">
        <f t="shared" si="25"/>
        <v/>
      </c>
      <c r="Z193" s="58" t="str">
        <f t="shared" si="26"/>
        <v/>
      </c>
      <c r="AA193" s="62" t="str">
        <f>IF($B193="","",IF(OR(E193&lt;MinBF,X193=""),"",COUNTIFS($E$6:$E$255,"&gt;="&amp;MinBF,$X$6:$X$255,"&lt;"&amp;X193)+COUNTIFS($E$5:E192,"&gt;="&amp;MinBF,$X$5:X192,X193)+1))</f>
        <v/>
      </c>
    </row>
    <row r="194" spans="2:27" x14ac:dyDescent="0.2">
      <c r="B194" s="44" t="str">
        <f t="array" ref="B194">IFERROR(INDEX(pbp_Pitcher,MATCH(0,COUNTIF($B$5:B193,pbp_Pitcher)+(pbp_Pitcher=""),0)),"")</f>
        <v/>
      </c>
      <c r="C194" s="61" t="str">
        <f>IF($B194="","",IFERROR(INDEX(pbp_PitTeam,MATCH($B194,pbp_Pitcher,0)),""))</f>
        <v/>
      </c>
      <c r="D194" s="61" t="str">
        <f>IF($B194="","",IFERROR(INDEX(pbp_PitHand,MATCH($B194,pbp_Pitcher,0)),""))</f>
        <v/>
      </c>
      <c r="E194" s="42" t="str">
        <f>IF($B194="","",SUMPRODUCT(COUNTIFS(pbp_PlayType,EM_Type,pbp_Pitcher,$B194)*EM_PA))</f>
        <v/>
      </c>
      <c r="F194" s="42" t="str">
        <f>IF($B194="","",SUMIFS(pbp_Outs,pbp_Pitcher,$B194))</f>
        <v/>
      </c>
      <c r="G194" s="70" t="str">
        <f t="shared" si="18"/>
        <v/>
      </c>
      <c r="H194" s="42" t="str">
        <f>IF($B194="","",SUMPRODUCT(COUNTIFS(pbp_PlayType,EM_Type,pbp_Pitcher,$B194)*EM_H))</f>
        <v/>
      </c>
      <c r="I194" s="42" t="str">
        <f>IF($B194="","",SUMPRODUCT(COUNTIFS(pbp_PlayType,EM_Type,pbp_Pitcher,$B194)*EM_HR))</f>
        <v/>
      </c>
      <c r="J194" s="42" t="str">
        <f>IF($B194="","",SUMPRODUCT(COUNTIFS(pbp_PlayType,EM_Type,pbp_Pitcher,$B194)*EM_BB))</f>
        <v/>
      </c>
      <c r="K194" s="42" t="str">
        <f>IF($B194="","",SUMPRODUCT(COUNTIFS(pbp_PlayType,EM_Type,pbp_Pitcher,$B194)*EM_HBP))</f>
        <v/>
      </c>
      <c r="L194" s="42" t="str">
        <f>IF($B194="","",COUNTIFS(pbp_PlayType,"?*",pbp_Desc,"*struck out*",pbp_Pitcher,$B194))</f>
        <v/>
      </c>
      <c r="M194" s="42" t="str">
        <f>IF($B194="","",SUMIFS(pbp_Runs,pbp_Pitcher,$B194))</f>
        <v/>
      </c>
      <c r="N194" s="42" t="str">
        <f>IF($B194="","",SUMPRODUCT(COUNTIFS(pbp_PlayType,EM_Type,pbp_Pitcher,$B194)*EM_AB))</f>
        <v/>
      </c>
      <c r="O194" s="42" t="str">
        <f>IF($B194="","",SUMPRODUCT(COUNTIFS(pbp_PlayType,EM_Type,pbp_Pitcher,$B194)*EM_SF))</f>
        <v/>
      </c>
      <c r="P194" s="42" t="str">
        <f>IF($B194="","",SUMIFS(pbp_Pitches,pbp_Pitcher,$B194,pbp_PlayType,"?*"))</f>
        <v/>
      </c>
      <c r="Q194" s="60" t="str">
        <f t="shared" si="19"/>
        <v/>
      </c>
      <c r="R194" s="59" t="str">
        <f>IF($B194="","",IF(E194=0,"",1-SUMPRODUCT((pbp_Pitcher=$B194)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194)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94" s="59" t="str">
        <f>IF($B194="","",IF((SUMPRODUCT((pbp_Pitcher=$B194)*(LEN(pbp_PlayType)&gt;0)))=0,"",(SUMPRODUCT((pbp_Pitcher=$B194)*(LEN(pbp_PlayType)&gt;0)*ISNUMBER(MATCH(LEFT(TRIM(pbp_Seq)&amp;"/",FIND("/",TRIM(pbp_Seq)&amp;"/")-1),{"S","F","FT","FB","IN","MB","POS"},0))))/(SUMPRODUCT((pbp_Pitcher=$B194)*(LEN(pbp_PlayType)&gt;0)))))</f>
        <v/>
      </c>
      <c r="T194" s="59" t="str">
        <f t="shared" si="20"/>
        <v/>
      </c>
      <c r="U194" s="59" t="str">
        <f t="shared" si="21"/>
        <v/>
      </c>
      <c r="V194" s="59" t="str">
        <f t="shared" si="22"/>
        <v/>
      </c>
      <c r="W194" s="60" t="str">
        <f t="shared" si="23"/>
        <v/>
      </c>
      <c r="X194" s="60" t="str">
        <f t="shared" si="24"/>
        <v/>
      </c>
      <c r="Y194" s="58" t="str">
        <f t="shared" si="25"/>
        <v/>
      </c>
      <c r="Z194" s="58" t="str">
        <f t="shared" si="26"/>
        <v/>
      </c>
      <c r="AA194" s="62" t="str">
        <f>IF($B194="","",IF(OR(E194&lt;MinBF,X194=""),"",COUNTIFS($E$6:$E$255,"&gt;="&amp;MinBF,$X$6:$X$255,"&lt;"&amp;X194)+COUNTIFS($E$5:E193,"&gt;="&amp;MinBF,$X$5:X193,X194)+1))</f>
        <v/>
      </c>
    </row>
    <row r="195" spans="2:27" x14ac:dyDescent="0.2">
      <c r="B195" s="44" t="str">
        <f t="array" ref="B195">IFERROR(INDEX(pbp_Pitcher,MATCH(0,COUNTIF($B$5:B194,pbp_Pitcher)+(pbp_Pitcher=""),0)),"")</f>
        <v/>
      </c>
      <c r="C195" s="61" t="str">
        <f>IF($B195="","",IFERROR(INDEX(pbp_PitTeam,MATCH($B195,pbp_Pitcher,0)),""))</f>
        <v/>
      </c>
      <c r="D195" s="61" t="str">
        <f>IF($B195="","",IFERROR(INDEX(pbp_PitHand,MATCH($B195,pbp_Pitcher,0)),""))</f>
        <v/>
      </c>
      <c r="E195" s="42" t="str">
        <f>IF($B195="","",SUMPRODUCT(COUNTIFS(pbp_PlayType,EM_Type,pbp_Pitcher,$B195)*EM_PA))</f>
        <v/>
      </c>
      <c r="F195" s="42" t="str">
        <f>IF($B195="","",SUMIFS(pbp_Outs,pbp_Pitcher,$B195))</f>
        <v/>
      </c>
      <c r="G195" s="70" t="str">
        <f t="shared" si="18"/>
        <v/>
      </c>
      <c r="H195" s="42" t="str">
        <f>IF($B195="","",SUMPRODUCT(COUNTIFS(pbp_PlayType,EM_Type,pbp_Pitcher,$B195)*EM_H))</f>
        <v/>
      </c>
      <c r="I195" s="42" t="str">
        <f>IF($B195="","",SUMPRODUCT(COUNTIFS(pbp_PlayType,EM_Type,pbp_Pitcher,$B195)*EM_HR))</f>
        <v/>
      </c>
      <c r="J195" s="42" t="str">
        <f>IF($B195="","",SUMPRODUCT(COUNTIFS(pbp_PlayType,EM_Type,pbp_Pitcher,$B195)*EM_BB))</f>
        <v/>
      </c>
      <c r="K195" s="42" t="str">
        <f>IF($B195="","",SUMPRODUCT(COUNTIFS(pbp_PlayType,EM_Type,pbp_Pitcher,$B195)*EM_HBP))</f>
        <v/>
      </c>
      <c r="L195" s="42" t="str">
        <f>IF($B195="","",COUNTIFS(pbp_PlayType,"?*",pbp_Desc,"*struck out*",pbp_Pitcher,$B195))</f>
        <v/>
      </c>
      <c r="M195" s="42" t="str">
        <f>IF($B195="","",SUMIFS(pbp_Runs,pbp_Pitcher,$B195))</f>
        <v/>
      </c>
      <c r="N195" s="42" t="str">
        <f>IF($B195="","",SUMPRODUCT(COUNTIFS(pbp_PlayType,EM_Type,pbp_Pitcher,$B195)*EM_AB))</f>
        <v/>
      </c>
      <c r="O195" s="42" t="str">
        <f>IF($B195="","",SUMPRODUCT(COUNTIFS(pbp_PlayType,EM_Type,pbp_Pitcher,$B195)*EM_SF))</f>
        <v/>
      </c>
      <c r="P195" s="42" t="str">
        <f>IF($B195="","",SUMIFS(pbp_Pitches,pbp_Pitcher,$B195,pbp_PlayType,"?*"))</f>
        <v/>
      </c>
      <c r="Q195" s="60" t="str">
        <f t="shared" si="19"/>
        <v/>
      </c>
      <c r="R195" s="59" t="str">
        <f>IF($B195="","",IF(E195=0,"",1-SUMPRODUCT((pbp_Pitcher=$B195)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195)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95" s="59" t="str">
        <f>IF($B195="","",IF((SUMPRODUCT((pbp_Pitcher=$B195)*(LEN(pbp_PlayType)&gt;0)))=0,"",(SUMPRODUCT((pbp_Pitcher=$B195)*(LEN(pbp_PlayType)&gt;0)*ISNUMBER(MATCH(LEFT(TRIM(pbp_Seq)&amp;"/",FIND("/",TRIM(pbp_Seq)&amp;"/")-1),{"S","F","FT","FB","IN","MB","POS"},0))))/(SUMPRODUCT((pbp_Pitcher=$B195)*(LEN(pbp_PlayType)&gt;0)))))</f>
        <v/>
      </c>
      <c r="T195" s="59" t="str">
        <f t="shared" si="20"/>
        <v/>
      </c>
      <c r="U195" s="59" t="str">
        <f t="shared" si="21"/>
        <v/>
      </c>
      <c r="V195" s="59" t="str">
        <f t="shared" si="22"/>
        <v/>
      </c>
      <c r="W195" s="60" t="str">
        <f t="shared" si="23"/>
        <v/>
      </c>
      <c r="X195" s="60" t="str">
        <f t="shared" si="24"/>
        <v/>
      </c>
      <c r="Y195" s="58" t="str">
        <f t="shared" si="25"/>
        <v/>
      </c>
      <c r="Z195" s="58" t="str">
        <f t="shared" si="26"/>
        <v/>
      </c>
      <c r="AA195" s="62" t="str">
        <f>IF($B195="","",IF(OR(E195&lt;MinBF,X195=""),"",COUNTIFS($E$6:$E$255,"&gt;="&amp;MinBF,$X$6:$X$255,"&lt;"&amp;X195)+COUNTIFS($E$5:E194,"&gt;="&amp;MinBF,$X$5:X194,X195)+1))</f>
        <v/>
      </c>
    </row>
    <row r="196" spans="2:27" x14ac:dyDescent="0.2">
      <c r="B196" s="44" t="str">
        <f t="array" ref="B196">IFERROR(INDEX(pbp_Pitcher,MATCH(0,COUNTIF($B$5:B195,pbp_Pitcher)+(pbp_Pitcher=""),0)),"")</f>
        <v/>
      </c>
      <c r="C196" s="61" t="str">
        <f>IF($B196="","",IFERROR(INDEX(pbp_PitTeam,MATCH($B196,pbp_Pitcher,0)),""))</f>
        <v/>
      </c>
      <c r="D196" s="61" t="str">
        <f>IF($B196="","",IFERROR(INDEX(pbp_PitHand,MATCH($B196,pbp_Pitcher,0)),""))</f>
        <v/>
      </c>
      <c r="E196" s="42" t="str">
        <f>IF($B196="","",SUMPRODUCT(COUNTIFS(pbp_PlayType,EM_Type,pbp_Pitcher,$B196)*EM_PA))</f>
        <v/>
      </c>
      <c r="F196" s="42" t="str">
        <f>IF($B196="","",SUMIFS(pbp_Outs,pbp_Pitcher,$B196))</f>
        <v/>
      </c>
      <c r="G196" s="70" t="str">
        <f t="shared" si="18"/>
        <v/>
      </c>
      <c r="H196" s="42" t="str">
        <f>IF($B196="","",SUMPRODUCT(COUNTIFS(pbp_PlayType,EM_Type,pbp_Pitcher,$B196)*EM_H))</f>
        <v/>
      </c>
      <c r="I196" s="42" t="str">
        <f>IF($B196="","",SUMPRODUCT(COUNTIFS(pbp_PlayType,EM_Type,pbp_Pitcher,$B196)*EM_HR))</f>
        <v/>
      </c>
      <c r="J196" s="42" t="str">
        <f>IF($B196="","",SUMPRODUCT(COUNTIFS(pbp_PlayType,EM_Type,pbp_Pitcher,$B196)*EM_BB))</f>
        <v/>
      </c>
      <c r="K196" s="42" t="str">
        <f>IF($B196="","",SUMPRODUCT(COUNTIFS(pbp_PlayType,EM_Type,pbp_Pitcher,$B196)*EM_HBP))</f>
        <v/>
      </c>
      <c r="L196" s="42" t="str">
        <f>IF($B196="","",COUNTIFS(pbp_PlayType,"?*",pbp_Desc,"*struck out*",pbp_Pitcher,$B196))</f>
        <v/>
      </c>
      <c r="M196" s="42" t="str">
        <f>IF($B196="","",SUMIFS(pbp_Runs,pbp_Pitcher,$B196))</f>
        <v/>
      </c>
      <c r="N196" s="42" t="str">
        <f>IF($B196="","",SUMPRODUCT(COUNTIFS(pbp_PlayType,EM_Type,pbp_Pitcher,$B196)*EM_AB))</f>
        <v/>
      </c>
      <c r="O196" s="42" t="str">
        <f>IF($B196="","",SUMPRODUCT(COUNTIFS(pbp_PlayType,EM_Type,pbp_Pitcher,$B196)*EM_SF))</f>
        <v/>
      </c>
      <c r="P196" s="42" t="str">
        <f>IF($B196="","",SUMIFS(pbp_Pitches,pbp_Pitcher,$B196,pbp_PlayType,"?*"))</f>
        <v/>
      </c>
      <c r="Q196" s="60" t="str">
        <f t="shared" si="19"/>
        <v/>
      </c>
      <c r="R196" s="59" t="str">
        <f>IF($B196="","",IF(E196=0,"",1-SUMPRODUCT((pbp_Pitcher=$B196)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196)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96" s="59" t="str">
        <f>IF($B196="","",IF((SUMPRODUCT((pbp_Pitcher=$B196)*(LEN(pbp_PlayType)&gt;0)))=0,"",(SUMPRODUCT((pbp_Pitcher=$B196)*(LEN(pbp_PlayType)&gt;0)*ISNUMBER(MATCH(LEFT(TRIM(pbp_Seq)&amp;"/",FIND("/",TRIM(pbp_Seq)&amp;"/")-1),{"S","F","FT","FB","IN","MB","POS"},0))))/(SUMPRODUCT((pbp_Pitcher=$B196)*(LEN(pbp_PlayType)&gt;0)))))</f>
        <v/>
      </c>
      <c r="T196" s="59" t="str">
        <f t="shared" si="20"/>
        <v/>
      </c>
      <c r="U196" s="59" t="str">
        <f t="shared" si="21"/>
        <v/>
      </c>
      <c r="V196" s="59" t="str">
        <f t="shared" si="22"/>
        <v/>
      </c>
      <c r="W196" s="60" t="str">
        <f t="shared" si="23"/>
        <v/>
      </c>
      <c r="X196" s="60" t="str">
        <f t="shared" si="24"/>
        <v/>
      </c>
      <c r="Y196" s="58" t="str">
        <f t="shared" si="25"/>
        <v/>
      </c>
      <c r="Z196" s="58" t="str">
        <f t="shared" si="26"/>
        <v/>
      </c>
      <c r="AA196" s="62" t="str">
        <f>IF($B196="","",IF(OR(E196&lt;MinBF,X196=""),"",COUNTIFS($E$6:$E$255,"&gt;="&amp;MinBF,$X$6:$X$255,"&lt;"&amp;X196)+COUNTIFS($E$5:E195,"&gt;="&amp;MinBF,$X$5:X195,X196)+1))</f>
        <v/>
      </c>
    </row>
    <row r="197" spans="2:27" x14ac:dyDescent="0.2">
      <c r="B197" s="44" t="str">
        <f t="array" ref="B197">IFERROR(INDEX(pbp_Pitcher,MATCH(0,COUNTIF($B$5:B196,pbp_Pitcher)+(pbp_Pitcher=""),0)),"")</f>
        <v/>
      </c>
      <c r="C197" s="61" t="str">
        <f>IF($B197="","",IFERROR(INDEX(pbp_PitTeam,MATCH($B197,pbp_Pitcher,0)),""))</f>
        <v/>
      </c>
      <c r="D197" s="61" t="str">
        <f>IF($B197="","",IFERROR(INDEX(pbp_PitHand,MATCH($B197,pbp_Pitcher,0)),""))</f>
        <v/>
      </c>
      <c r="E197" s="42" t="str">
        <f>IF($B197="","",SUMPRODUCT(COUNTIFS(pbp_PlayType,EM_Type,pbp_Pitcher,$B197)*EM_PA))</f>
        <v/>
      </c>
      <c r="F197" s="42" t="str">
        <f>IF($B197="","",SUMIFS(pbp_Outs,pbp_Pitcher,$B197))</f>
        <v/>
      </c>
      <c r="G197" s="70" t="str">
        <f t="shared" si="18"/>
        <v/>
      </c>
      <c r="H197" s="42" t="str">
        <f>IF($B197="","",SUMPRODUCT(COUNTIFS(pbp_PlayType,EM_Type,pbp_Pitcher,$B197)*EM_H))</f>
        <v/>
      </c>
      <c r="I197" s="42" t="str">
        <f>IF($B197="","",SUMPRODUCT(COUNTIFS(pbp_PlayType,EM_Type,pbp_Pitcher,$B197)*EM_HR))</f>
        <v/>
      </c>
      <c r="J197" s="42" t="str">
        <f>IF($B197="","",SUMPRODUCT(COUNTIFS(pbp_PlayType,EM_Type,pbp_Pitcher,$B197)*EM_BB))</f>
        <v/>
      </c>
      <c r="K197" s="42" t="str">
        <f>IF($B197="","",SUMPRODUCT(COUNTIFS(pbp_PlayType,EM_Type,pbp_Pitcher,$B197)*EM_HBP))</f>
        <v/>
      </c>
      <c r="L197" s="42" t="str">
        <f>IF($B197="","",COUNTIFS(pbp_PlayType,"?*",pbp_Desc,"*struck out*",pbp_Pitcher,$B197))</f>
        <v/>
      </c>
      <c r="M197" s="42" t="str">
        <f>IF($B197="","",SUMIFS(pbp_Runs,pbp_Pitcher,$B197))</f>
        <v/>
      </c>
      <c r="N197" s="42" t="str">
        <f>IF($B197="","",SUMPRODUCT(COUNTIFS(pbp_PlayType,EM_Type,pbp_Pitcher,$B197)*EM_AB))</f>
        <v/>
      </c>
      <c r="O197" s="42" t="str">
        <f>IF($B197="","",SUMPRODUCT(COUNTIFS(pbp_PlayType,EM_Type,pbp_Pitcher,$B197)*EM_SF))</f>
        <v/>
      </c>
      <c r="P197" s="42" t="str">
        <f>IF($B197="","",SUMIFS(pbp_Pitches,pbp_Pitcher,$B197,pbp_PlayType,"?*"))</f>
        <v/>
      </c>
      <c r="Q197" s="60" t="str">
        <f t="shared" si="19"/>
        <v/>
      </c>
      <c r="R197" s="59" t="str">
        <f>IF($B197="","",IF(E197=0,"",1-SUMPRODUCT((pbp_Pitcher=$B197)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197)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97" s="59" t="str">
        <f>IF($B197="","",IF((SUMPRODUCT((pbp_Pitcher=$B197)*(LEN(pbp_PlayType)&gt;0)))=0,"",(SUMPRODUCT((pbp_Pitcher=$B197)*(LEN(pbp_PlayType)&gt;0)*ISNUMBER(MATCH(LEFT(TRIM(pbp_Seq)&amp;"/",FIND("/",TRIM(pbp_Seq)&amp;"/")-1),{"S","F","FT","FB","IN","MB","POS"},0))))/(SUMPRODUCT((pbp_Pitcher=$B197)*(LEN(pbp_PlayType)&gt;0)))))</f>
        <v/>
      </c>
      <c r="T197" s="59" t="str">
        <f t="shared" si="20"/>
        <v/>
      </c>
      <c r="U197" s="59" t="str">
        <f t="shared" si="21"/>
        <v/>
      </c>
      <c r="V197" s="59" t="str">
        <f t="shared" si="22"/>
        <v/>
      </c>
      <c r="W197" s="60" t="str">
        <f t="shared" si="23"/>
        <v/>
      </c>
      <c r="X197" s="60" t="str">
        <f t="shared" si="24"/>
        <v/>
      </c>
      <c r="Y197" s="58" t="str">
        <f t="shared" si="25"/>
        <v/>
      </c>
      <c r="Z197" s="58" t="str">
        <f t="shared" si="26"/>
        <v/>
      </c>
      <c r="AA197" s="62" t="str">
        <f>IF($B197="","",IF(OR(E197&lt;MinBF,X197=""),"",COUNTIFS($E$6:$E$255,"&gt;="&amp;MinBF,$X$6:$X$255,"&lt;"&amp;X197)+COUNTIFS($E$5:E196,"&gt;="&amp;MinBF,$X$5:X196,X197)+1))</f>
        <v/>
      </c>
    </row>
    <row r="198" spans="2:27" x14ac:dyDescent="0.2">
      <c r="B198" s="44" t="str">
        <f t="array" ref="B198">IFERROR(INDEX(pbp_Pitcher,MATCH(0,COUNTIF($B$5:B197,pbp_Pitcher)+(pbp_Pitcher=""),0)),"")</f>
        <v/>
      </c>
      <c r="C198" s="61" t="str">
        <f>IF($B198="","",IFERROR(INDEX(pbp_PitTeam,MATCH($B198,pbp_Pitcher,0)),""))</f>
        <v/>
      </c>
      <c r="D198" s="61" t="str">
        <f>IF($B198="","",IFERROR(INDEX(pbp_PitHand,MATCH($B198,pbp_Pitcher,0)),""))</f>
        <v/>
      </c>
      <c r="E198" s="42" t="str">
        <f>IF($B198="","",SUMPRODUCT(COUNTIFS(pbp_PlayType,EM_Type,pbp_Pitcher,$B198)*EM_PA))</f>
        <v/>
      </c>
      <c r="F198" s="42" t="str">
        <f>IF($B198="","",SUMIFS(pbp_Outs,pbp_Pitcher,$B198))</f>
        <v/>
      </c>
      <c r="G198" s="70" t="str">
        <f t="shared" ref="G198:G255" si="27">IF($B198="","",INT(F198/3)+MOD(F198,3)/10)</f>
        <v/>
      </c>
      <c r="H198" s="42" t="str">
        <f>IF($B198="","",SUMPRODUCT(COUNTIFS(pbp_PlayType,EM_Type,pbp_Pitcher,$B198)*EM_H))</f>
        <v/>
      </c>
      <c r="I198" s="42" t="str">
        <f>IF($B198="","",SUMPRODUCT(COUNTIFS(pbp_PlayType,EM_Type,pbp_Pitcher,$B198)*EM_HR))</f>
        <v/>
      </c>
      <c r="J198" s="42" t="str">
        <f>IF($B198="","",SUMPRODUCT(COUNTIFS(pbp_PlayType,EM_Type,pbp_Pitcher,$B198)*EM_BB))</f>
        <v/>
      </c>
      <c r="K198" s="42" t="str">
        <f>IF($B198="","",SUMPRODUCT(COUNTIFS(pbp_PlayType,EM_Type,pbp_Pitcher,$B198)*EM_HBP))</f>
        <v/>
      </c>
      <c r="L198" s="42" t="str">
        <f>IF($B198="","",COUNTIFS(pbp_PlayType,"?*",pbp_Desc,"*struck out*",pbp_Pitcher,$B198))</f>
        <v/>
      </c>
      <c r="M198" s="42" t="str">
        <f>IF($B198="","",SUMIFS(pbp_Runs,pbp_Pitcher,$B198))</f>
        <v/>
      </c>
      <c r="N198" s="42" t="str">
        <f>IF($B198="","",SUMPRODUCT(COUNTIFS(pbp_PlayType,EM_Type,pbp_Pitcher,$B198)*EM_AB))</f>
        <v/>
      </c>
      <c r="O198" s="42" t="str">
        <f>IF($B198="","",SUMPRODUCT(COUNTIFS(pbp_PlayType,EM_Type,pbp_Pitcher,$B198)*EM_SF))</f>
        <v/>
      </c>
      <c r="P198" s="42" t="str">
        <f>IF($B198="","",SUMIFS(pbp_Pitches,pbp_Pitcher,$B198,pbp_PlayType,"?*"))</f>
        <v/>
      </c>
      <c r="Q198" s="60" t="str">
        <f t="shared" ref="Q198:Q255" si="28">IF($B198="","",IF((E198)=0,"",(P198)/(E198)))</f>
        <v/>
      </c>
      <c r="R198" s="59" t="str">
        <f>IF($B198="","",IF(E198=0,"",1-SUMPRODUCT((pbp_Pitcher=$B198)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198)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98" s="59" t="str">
        <f>IF($B198="","",IF((SUMPRODUCT((pbp_Pitcher=$B198)*(LEN(pbp_PlayType)&gt;0)))=0,"",(SUMPRODUCT((pbp_Pitcher=$B198)*(LEN(pbp_PlayType)&gt;0)*ISNUMBER(MATCH(LEFT(TRIM(pbp_Seq)&amp;"/",FIND("/",TRIM(pbp_Seq)&amp;"/")-1),{"S","F","FT","FB","IN","MB","POS"},0))))/(SUMPRODUCT((pbp_Pitcher=$B198)*(LEN(pbp_PlayType)&gt;0)))))</f>
        <v/>
      </c>
      <c r="T198" s="59" t="str">
        <f t="shared" ref="T198:T255" si="29">IF($B198="","",IF((E198)=0,"",(L198)/(E198)))</f>
        <v/>
      </c>
      <c r="U198" s="59" t="str">
        <f t="shared" ref="U198:U255" si="30">IF($B198="","",IF((E198)=0,"",(J198)/(E198)))</f>
        <v/>
      </c>
      <c r="V198" s="59" t="str">
        <f t="shared" ref="V198:V255" si="31">IF($B198="","",IF(E198=0,"",T198-U198))</f>
        <v/>
      </c>
      <c r="W198" s="60" t="str">
        <f t="shared" ref="W198:W255" si="32">IF($B198="","",IF((F198)=0,"",(3*(H198+J198))/(F198)))</f>
        <v/>
      </c>
      <c r="X198" s="60" t="str">
        <f t="shared" ref="X198:X255" si="33">IF($B198="","",IF(F198=0,"",(13*I198+3*(J198+K198)-2*L198)/(F198/3)+FIP_C))</f>
        <v/>
      </c>
      <c r="Y198" s="58" t="str">
        <f t="shared" ref="Y198:Y255" si="34">IF($B198="","",IF((N198)=0,"",(H198)/(N198)))</f>
        <v/>
      </c>
      <c r="Z198" s="58" t="str">
        <f t="shared" ref="Z198:Z255" si="35">IF($B198="","",IF(((N198-L198-I198+O198))=0,"",((H198-I198))/((N198-L198-I198+O198))))</f>
        <v/>
      </c>
      <c r="AA198" s="62" t="str">
        <f>IF($B198="","",IF(OR(E198&lt;MinBF,X198=""),"",COUNTIFS($E$6:$E$255,"&gt;="&amp;MinBF,$X$6:$X$255,"&lt;"&amp;X198)+COUNTIFS($E$5:E197,"&gt;="&amp;MinBF,$X$5:X197,X198)+1))</f>
        <v/>
      </c>
    </row>
    <row r="199" spans="2:27" x14ac:dyDescent="0.2">
      <c r="B199" s="44" t="str">
        <f t="array" ref="B199">IFERROR(INDEX(pbp_Pitcher,MATCH(0,COUNTIF($B$5:B198,pbp_Pitcher)+(pbp_Pitcher=""),0)),"")</f>
        <v/>
      </c>
      <c r="C199" s="61" t="str">
        <f>IF($B199="","",IFERROR(INDEX(pbp_PitTeam,MATCH($B199,pbp_Pitcher,0)),""))</f>
        <v/>
      </c>
      <c r="D199" s="61" t="str">
        <f>IF($B199="","",IFERROR(INDEX(pbp_PitHand,MATCH($B199,pbp_Pitcher,0)),""))</f>
        <v/>
      </c>
      <c r="E199" s="42" t="str">
        <f>IF($B199="","",SUMPRODUCT(COUNTIFS(pbp_PlayType,EM_Type,pbp_Pitcher,$B199)*EM_PA))</f>
        <v/>
      </c>
      <c r="F199" s="42" t="str">
        <f>IF($B199="","",SUMIFS(pbp_Outs,pbp_Pitcher,$B199))</f>
        <v/>
      </c>
      <c r="G199" s="70" t="str">
        <f t="shared" si="27"/>
        <v/>
      </c>
      <c r="H199" s="42" t="str">
        <f>IF($B199="","",SUMPRODUCT(COUNTIFS(pbp_PlayType,EM_Type,pbp_Pitcher,$B199)*EM_H))</f>
        <v/>
      </c>
      <c r="I199" s="42" t="str">
        <f>IF($B199="","",SUMPRODUCT(COUNTIFS(pbp_PlayType,EM_Type,pbp_Pitcher,$B199)*EM_HR))</f>
        <v/>
      </c>
      <c r="J199" s="42" t="str">
        <f>IF($B199="","",SUMPRODUCT(COUNTIFS(pbp_PlayType,EM_Type,pbp_Pitcher,$B199)*EM_BB))</f>
        <v/>
      </c>
      <c r="K199" s="42" t="str">
        <f>IF($B199="","",SUMPRODUCT(COUNTIFS(pbp_PlayType,EM_Type,pbp_Pitcher,$B199)*EM_HBP))</f>
        <v/>
      </c>
      <c r="L199" s="42" t="str">
        <f>IF($B199="","",COUNTIFS(pbp_PlayType,"?*",pbp_Desc,"*struck out*",pbp_Pitcher,$B199))</f>
        <v/>
      </c>
      <c r="M199" s="42" t="str">
        <f>IF($B199="","",SUMIFS(pbp_Runs,pbp_Pitcher,$B199))</f>
        <v/>
      </c>
      <c r="N199" s="42" t="str">
        <f>IF($B199="","",SUMPRODUCT(COUNTIFS(pbp_PlayType,EM_Type,pbp_Pitcher,$B199)*EM_AB))</f>
        <v/>
      </c>
      <c r="O199" s="42" t="str">
        <f>IF($B199="","",SUMPRODUCT(COUNTIFS(pbp_PlayType,EM_Type,pbp_Pitcher,$B199)*EM_SF))</f>
        <v/>
      </c>
      <c r="P199" s="42" t="str">
        <f>IF($B199="","",SUMIFS(pbp_Pitches,pbp_Pitcher,$B199,pbp_PlayType,"?*"))</f>
        <v/>
      </c>
      <c r="Q199" s="60" t="str">
        <f t="shared" si="28"/>
        <v/>
      </c>
      <c r="R199" s="59" t="str">
        <f>IF($B199="","",IF(E199=0,"",1-SUMPRODUCT((pbp_Pitcher=$B199)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199)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199" s="59" t="str">
        <f>IF($B199="","",IF((SUMPRODUCT((pbp_Pitcher=$B199)*(LEN(pbp_PlayType)&gt;0)))=0,"",(SUMPRODUCT((pbp_Pitcher=$B199)*(LEN(pbp_PlayType)&gt;0)*ISNUMBER(MATCH(LEFT(TRIM(pbp_Seq)&amp;"/",FIND("/",TRIM(pbp_Seq)&amp;"/")-1),{"S","F","FT","FB","IN","MB","POS"},0))))/(SUMPRODUCT((pbp_Pitcher=$B199)*(LEN(pbp_PlayType)&gt;0)))))</f>
        <v/>
      </c>
      <c r="T199" s="59" t="str">
        <f t="shared" si="29"/>
        <v/>
      </c>
      <c r="U199" s="59" t="str">
        <f t="shared" si="30"/>
        <v/>
      </c>
      <c r="V199" s="59" t="str">
        <f t="shared" si="31"/>
        <v/>
      </c>
      <c r="W199" s="60" t="str">
        <f t="shared" si="32"/>
        <v/>
      </c>
      <c r="X199" s="60" t="str">
        <f t="shared" si="33"/>
        <v/>
      </c>
      <c r="Y199" s="58" t="str">
        <f t="shared" si="34"/>
        <v/>
      </c>
      <c r="Z199" s="58" t="str">
        <f t="shared" si="35"/>
        <v/>
      </c>
      <c r="AA199" s="62" t="str">
        <f>IF($B199="","",IF(OR(E199&lt;MinBF,X199=""),"",COUNTIFS($E$6:$E$255,"&gt;="&amp;MinBF,$X$6:$X$255,"&lt;"&amp;X199)+COUNTIFS($E$5:E198,"&gt;="&amp;MinBF,$X$5:X198,X199)+1))</f>
        <v/>
      </c>
    </row>
    <row r="200" spans="2:27" x14ac:dyDescent="0.2">
      <c r="B200" s="44" t="str">
        <f t="array" ref="B200">IFERROR(INDEX(pbp_Pitcher,MATCH(0,COUNTIF($B$5:B199,pbp_Pitcher)+(pbp_Pitcher=""),0)),"")</f>
        <v/>
      </c>
      <c r="C200" s="61" t="str">
        <f>IF($B200="","",IFERROR(INDEX(pbp_PitTeam,MATCH($B200,pbp_Pitcher,0)),""))</f>
        <v/>
      </c>
      <c r="D200" s="61" t="str">
        <f>IF($B200="","",IFERROR(INDEX(pbp_PitHand,MATCH($B200,pbp_Pitcher,0)),""))</f>
        <v/>
      </c>
      <c r="E200" s="42" t="str">
        <f>IF($B200="","",SUMPRODUCT(COUNTIFS(pbp_PlayType,EM_Type,pbp_Pitcher,$B200)*EM_PA))</f>
        <v/>
      </c>
      <c r="F200" s="42" t="str">
        <f>IF($B200="","",SUMIFS(pbp_Outs,pbp_Pitcher,$B200))</f>
        <v/>
      </c>
      <c r="G200" s="70" t="str">
        <f t="shared" si="27"/>
        <v/>
      </c>
      <c r="H200" s="42" t="str">
        <f>IF($B200="","",SUMPRODUCT(COUNTIFS(pbp_PlayType,EM_Type,pbp_Pitcher,$B200)*EM_H))</f>
        <v/>
      </c>
      <c r="I200" s="42" t="str">
        <f>IF($B200="","",SUMPRODUCT(COUNTIFS(pbp_PlayType,EM_Type,pbp_Pitcher,$B200)*EM_HR))</f>
        <v/>
      </c>
      <c r="J200" s="42" t="str">
        <f>IF($B200="","",SUMPRODUCT(COUNTIFS(pbp_PlayType,EM_Type,pbp_Pitcher,$B200)*EM_BB))</f>
        <v/>
      </c>
      <c r="K200" s="42" t="str">
        <f>IF($B200="","",SUMPRODUCT(COUNTIFS(pbp_PlayType,EM_Type,pbp_Pitcher,$B200)*EM_HBP))</f>
        <v/>
      </c>
      <c r="L200" s="42" t="str">
        <f>IF($B200="","",COUNTIFS(pbp_PlayType,"?*",pbp_Desc,"*struck out*",pbp_Pitcher,$B200))</f>
        <v/>
      </c>
      <c r="M200" s="42" t="str">
        <f>IF($B200="","",SUMIFS(pbp_Runs,pbp_Pitcher,$B200))</f>
        <v/>
      </c>
      <c r="N200" s="42" t="str">
        <f>IF($B200="","",SUMPRODUCT(COUNTIFS(pbp_PlayType,EM_Type,pbp_Pitcher,$B200)*EM_AB))</f>
        <v/>
      </c>
      <c r="O200" s="42" t="str">
        <f>IF($B200="","",SUMPRODUCT(COUNTIFS(pbp_PlayType,EM_Type,pbp_Pitcher,$B200)*EM_SF))</f>
        <v/>
      </c>
      <c r="P200" s="42" t="str">
        <f>IF($B200="","",SUMIFS(pbp_Pitches,pbp_Pitcher,$B200,pbp_PlayType,"?*"))</f>
        <v/>
      </c>
      <c r="Q200" s="60" t="str">
        <f t="shared" si="28"/>
        <v/>
      </c>
      <c r="R200" s="59" t="str">
        <f>IF($B200="","",IF(E200=0,"",1-SUMPRODUCT((pbp_Pitcher=$B200)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200)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00" s="59" t="str">
        <f>IF($B200="","",IF((SUMPRODUCT((pbp_Pitcher=$B200)*(LEN(pbp_PlayType)&gt;0)))=0,"",(SUMPRODUCT((pbp_Pitcher=$B200)*(LEN(pbp_PlayType)&gt;0)*ISNUMBER(MATCH(LEFT(TRIM(pbp_Seq)&amp;"/",FIND("/",TRIM(pbp_Seq)&amp;"/")-1),{"S","F","FT","FB","IN","MB","POS"},0))))/(SUMPRODUCT((pbp_Pitcher=$B200)*(LEN(pbp_PlayType)&gt;0)))))</f>
        <v/>
      </c>
      <c r="T200" s="59" t="str">
        <f t="shared" si="29"/>
        <v/>
      </c>
      <c r="U200" s="59" t="str">
        <f t="shared" si="30"/>
        <v/>
      </c>
      <c r="V200" s="59" t="str">
        <f t="shared" si="31"/>
        <v/>
      </c>
      <c r="W200" s="60" t="str">
        <f t="shared" si="32"/>
        <v/>
      </c>
      <c r="X200" s="60" t="str">
        <f t="shared" si="33"/>
        <v/>
      </c>
      <c r="Y200" s="58" t="str">
        <f t="shared" si="34"/>
        <v/>
      </c>
      <c r="Z200" s="58" t="str">
        <f t="shared" si="35"/>
        <v/>
      </c>
      <c r="AA200" s="62" t="str">
        <f>IF($B200="","",IF(OR(E200&lt;MinBF,X200=""),"",COUNTIFS($E$6:$E$255,"&gt;="&amp;MinBF,$X$6:$X$255,"&lt;"&amp;X200)+COUNTIFS($E$5:E199,"&gt;="&amp;MinBF,$X$5:X199,X200)+1))</f>
        <v/>
      </c>
    </row>
    <row r="201" spans="2:27" x14ac:dyDescent="0.2">
      <c r="B201" s="44" t="str">
        <f t="array" ref="B201">IFERROR(INDEX(pbp_Pitcher,MATCH(0,COUNTIF($B$5:B200,pbp_Pitcher)+(pbp_Pitcher=""),0)),"")</f>
        <v/>
      </c>
      <c r="C201" s="61" t="str">
        <f>IF($B201="","",IFERROR(INDEX(pbp_PitTeam,MATCH($B201,pbp_Pitcher,0)),""))</f>
        <v/>
      </c>
      <c r="D201" s="61" t="str">
        <f>IF($B201="","",IFERROR(INDEX(pbp_PitHand,MATCH($B201,pbp_Pitcher,0)),""))</f>
        <v/>
      </c>
      <c r="E201" s="42" t="str">
        <f>IF($B201="","",SUMPRODUCT(COUNTIFS(pbp_PlayType,EM_Type,pbp_Pitcher,$B201)*EM_PA))</f>
        <v/>
      </c>
      <c r="F201" s="42" t="str">
        <f>IF($B201="","",SUMIFS(pbp_Outs,pbp_Pitcher,$B201))</f>
        <v/>
      </c>
      <c r="G201" s="70" t="str">
        <f t="shared" si="27"/>
        <v/>
      </c>
      <c r="H201" s="42" t="str">
        <f>IF($B201="","",SUMPRODUCT(COUNTIFS(pbp_PlayType,EM_Type,pbp_Pitcher,$B201)*EM_H))</f>
        <v/>
      </c>
      <c r="I201" s="42" t="str">
        <f>IF($B201="","",SUMPRODUCT(COUNTIFS(pbp_PlayType,EM_Type,pbp_Pitcher,$B201)*EM_HR))</f>
        <v/>
      </c>
      <c r="J201" s="42" t="str">
        <f>IF($B201="","",SUMPRODUCT(COUNTIFS(pbp_PlayType,EM_Type,pbp_Pitcher,$B201)*EM_BB))</f>
        <v/>
      </c>
      <c r="K201" s="42" t="str">
        <f>IF($B201="","",SUMPRODUCT(COUNTIFS(pbp_PlayType,EM_Type,pbp_Pitcher,$B201)*EM_HBP))</f>
        <v/>
      </c>
      <c r="L201" s="42" t="str">
        <f>IF($B201="","",COUNTIFS(pbp_PlayType,"?*",pbp_Desc,"*struck out*",pbp_Pitcher,$B201))</f>
        <v/>
      </c>
      <c r="M201" s="42" t="str">
        <f>IF($B201="","",SUMIFS(pbp_Runs,pbp_Pitcher,$B201))</f>
        <v/>
      </c>
      <c r="N201" s="42" t="str">
        <f>IF($B201="","",SUMPRODUCT(COUNTIFS(pbp_PlayType,EM_Type,pbp_Pitcher,$B201)*EM_AB))</f>
        <v/>
      </c>
      <c r="O201" s="42" t="str">
        <f>IF($B201="","",SUMPRODUCT(COUNTIFS(pbp_PlayType,EM_Type,pbp_Pitcher,$B201)*EM_SF))</f>
        <v/>
      </c>
      <c r="P201" s="42" t="str">
        <f>IF($B201="","",SUMIFS(pbp_Pitches,pbp_Pitcher,$B201,pbp_PlayType,"?*"))</f>
        <v/>
      </c>
      <c r="Q201" s="60" t="str">
        <f t="shared" si="28"/>
        <v/>
      </c>
      <c r="R201" s="59" t="str">
        <f>IF($B201="","",IF(E201=0,"",1-SUMPRODUCT((pbp_Pitcher=$B201)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201)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01" s="59" t="str">
        <f>IF($B201="","",IF((SUMPRODUCT((pbp_Pitcher=$B201)*(LEN(pbp_PlayType)&gt;0)))=0,"",(SUMPRODUCT((pbp_Pitcher=$B201)*(LEN(pbp_PlayType)&gt;0)*ISNUMBER(MATCH(LEFT(TRIM(pbp_Seq)&amp;"/",FIND("/",TRIM(pbp_Seq)&amp;"/")-1),{"S","F","FT","FB","IN","MB","POS"},0))))/(SUMPRODUCT((pbp_Pitcher=$B201)*(LEN(pbp_PlayType)&gt;0)))))</f>
        <v/>
      </c>
      <c r="T201" s="59" t="str">
        <f t="shared" si="29"/>
        <v/>
      </c>
      <c r="U201" s="59" t="str">
        <f t="shared" si="30"/>
        <v/>
      </c>
      <c r="V201" s="59" t="str">
        <f t="shared" si="31"/>
        <v/>
      </c>
      <c r="W201" s="60" t="str">
        <f t="shared" si="32"/>
        <v/>
      </c>
      <c r="X201" s="60" t="str">
        <f t="shared" si="33"/>
        <v/>
      </c>
      <c r="Y201" s="58" t="str">
        <f t="shared" si="34"/>
        <v/>
      </c>
      <c r="Z201" s="58" t="str">
        <f t="shared" si="35"/>
        <v/>
      </c>
      <c r="AA201" s="62" t="str">
        <f>IF($B201="","",IF(OR(E201&lt;MinBF,X201=""),"",COUNTIFS($E$6:$E$255,"&gt;="&amp;MinBF,$X$6:$X$255,"&lt;"&amp;X201)+COUNTIFS($E$5:E200,"&gt;="&amp;MinBF,$X$5:X200,X201)+1))</f>
        <v/>
      </c>
    </row>
    <row r="202" spans="2:27" x14ac:dyDescent="0.2">
      <c r="B202" s="44" t="str">
        <f t="array" ref="B202">IFERROR(INDEX(pbp_Pitcher,MATCH(0,COUNTIF($B$5:B201,pbp_Pitcher)+(pbp_Pitcher=""),0)),"")</f>
        <v/>
      </c>
      <c r="C202" s="61" t="str">
        <f>IF($B202="","",IFERROR(INDEX(pbp_PitTeam,MATCH($B202,pbp_Pitcher,0)),""))</f>
        <v/>
      </c>
      <c r="D202" s="61" t="str">
        <f>IF($B202="","",IFERROR(INDEX(pbp_PitHand,MATCH($B202,pbp_Pitcher,0)),""))</f>
        <v/>
      </c>
      <c r="E202" s="42" t="str">
        <f>IF($B202="","",SUMPRODUCT(COUNTIFS(pbp_PlayType,EM_Type,pbp_Pitcher,$B202)*EM_PA))</f>
        <v/>
      </c>
      <c r="F202" s="42" t="str">
        <f>IF($B202="","",SUMIFS(pbp_Outs,pbp_Pitcher,$B202))</f>
        <v/>
      </c>
      <c r="G202" s="70" t="str">
        <f t="shared" si="27"/>
        <v/>
      </c>
      <c r="H202" s="42" t="str">
        <f>IF($B202="","",SUMPRODUCT(COUNTIFS(pbp_PlayType,EM_Type,pbp_Pitcher,$B202)*EM_H))</f>
        <v/>
      </c>
      <c r="I202" s="42" t="str">
        <f>IF($B202="","",SUMPRODUCT(COUNTIFS(pbp_PlayType,EM_Type,pbp_Pitcher,$B202)*EM_HR))</f>
        <v/>
      </c>
      <c r="J202" s="42" t="str">
        <f>IF($B202="","",SUMPRODUCT(COUNTIFS(pbp_PlayType,EM_Type,pbp_Pitcher,$B202)*EM_BB))</f>
        <v/>
      </c>
      <c r="K202" s="42" t="str">
        <f>IF($B202="","",SUMPRODUCT(COUNTIFS(pbp_PlayType,EM_Type,pbp_Pitcher,$B202)*EM_HBP))</f>
        <v/>
      </c>
      <c r="L202" s="42" t="str">
        <f>IF($B202="","",COUNTIFS(pbp_PlayType,"?*",pbp_Desc,"*struck out*",pbp_Pitcher,$B202))</f>
        <v/>
      </c>
      <c r="M202" s="42" t="str">
        <f>IF($B202="","",SUMIFS(pbp_Runs,pbp_Pitcher,$B202))</f>
        <v/>
      </c>
      <c r="N202" s="42" t="str">
        <f>IF($B202="","",SUMPRODUCT(COUNTIFS(pbp_PlayType,EM_Type,pbp_Pitcher,$B202)*EM_AB))</f>
        <v/>
      </c>
      <c r="O202" s="42" t="str">
        <f>IF($B202="","",SUMPRODUCT(COUNTIFS(pbp_PlayType,EM_Type,pbp_Pitcher,$B202)*EM_SF))</f>
        <v/>
      </c>
      <c r="P202" s="42" t="str">
        <f>IF($B202="","",SUMIFS(pbp_Pitches,pbp_Pitcher,$B202,pbp_PlayType,"?*"))</f>
        <v/>
      </c>
      <c r="Q202" s="60" t="str">
        <f t="shared" si="28"/>
        <v/>
      </c>
      <c r="R202" s="59" t="str">
        <f>IF($B202="","",IF(E202=0,"",1-SUMPRODUCT((pbp_Pitcher=$B202)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202)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02" s="59" t="str">
        <f>IF($B202="","",IF((SUMPRODUCT((pbp_Pitcher=$B202)*(LEN(pbp_PlayType)&gt;0)))=0,"",(SUMPRODUCT((pbp_Pitcher=$B202)*(LEN(pbp_PlayType)&gt;0)*ISNUMBER(MATCH(LEFT(TRIM(pbp_Seq)&amp;"/",FIND("/",TRIM(pbp_Seq)&amp;"/")-1),{"S","F","FT","FB","IN","MB","POS"},0))))/(SUMPRODUCT((pbp_Pitcher=$B202)*(LEN(pbp_PlayType)&gt;0)))))</f>
        <v/>
      </c>
      <c r="T202" s="59" t="str">
        <f t="shared" si="29"/>
        <v/>
      </c>
      <c r="U202" s="59" t="str">
        <f t="shared" si="30"/>
        <v/>
      </c>
      <c r="V202" s="59" t="str">
        <f t="shared" si="31"/>
        <v/>
      </c>
      <c r="W202" s="60" t="str">
        <f t="shared" si="32"/>
        <v/>
      </c>
      <c r="X202" s="60" t="str">
        <f t="shared" si="33"/>
        <v/>
      </c>
      <c r="Y202" s="58" t="str">
        <f t="shared" si="34"/>
        <v/>
      </c>
      <c r="Z202" s="58" t="str">
        <f t="shared" si="35"/>
        <v/>
      </c>
      <c r="AA202" s="62" t="str">
        <f>IF($B202="","",IF(OR(E202&lt;MinBF,X202=""),"",COUNTIFS($E$6:$E$255,"&gt;="&amp;MinBF,$X$6:$X$255,"&lt;"&amp;X202)+COUNTIFS($E$5:E201,"&gt;="&amp;MinBF,$X$5:X201,X202)+1))</f>
        <v/>
      </c>
    </row>
    <row r="203" spans="2:27" x14ac:dyDescent="0.2">
      <c r="B203" s="44" t="str">
        <f t="array" ref="B203">IFERROR(INDEX(pbp_Pitcher,MATCH(0,COUNTIF($B$5:B202,pbp_Pitcher)+(pbp_Pitcher=""),0)),"")</f>
        <v/>
      </c>
      <c r="C203" s="61" t="str">
        <f>IF($B203="","",IFERROR(INDEX(pbp_PitTeam,MATCH($B203,pbp_Pitcher,0)),""))</f>
        <v/>
      </c>
      <c r="D203" s="61" t="str">
        <f>IF($B203="","",IFERROR(INDEX(pbp_PitHand,MATCH($B203,pbp_Pitcher,0)),""))</f>
        <v/>
      </c>
      <c r="E203" s="42" t="str">
        <f>IF($B203="","",SUMPRODUCT(COUNTIFS(pbp_PlayType,EM_Type,pbp_Pitcher,$B203)*EM_PA))</f>
        <v/>
      </c>
      <c r="F203" s="42" t="str">
        <f>IF($B203="","",SUMIFS(pbp_Outs,pbp_Pitcher,$B203))</f>
        <v/>
      </c>
      <c r="G203" s="70" t="str">
        <f t="shared" si="27"/>
        <v/>
      </c>
      <c r="H203" s="42" t="str">
        <f>IF($B203="","",SUMPRODUCT(COUNTIFS(pbp_PlayType,EM_Type,pbp_Pitcher,$B203)*EM_H))</f>
        <v/>
      </c>
      <c r="I203" s="42" t="str">
        <f>IF($B203="","",SUMPRODUCT(COUNTIFS(pbp_PlayType,EM_Type,pbp_Pitcher,$B203)*EM_HR))</f>
        <v/>
      </c>
      <c r="J203" s="42" t="str">
        <f>IF($B203="","",SUMPRODUCT(COUNTIFS(pbp_PlayType,EM_Type,pbp_Pitcher,$B203)*EM_BB))</f>
        <v/>
      </c>
      <c r="K203" s="42" t="str">
        <f>IF($B203="","",SUMPRODUCT(COUNTIFS(pbp_PlayType,EM_Type,pbp_Pitcher,$B203)*EM_HBP))</f>
        <v/>
      </c>
      <c r="L203" s="42" t="str">
        <f>IF($B203="","",COUNTIFS(pbp_PlayType,"?*",pbp_Desc,"*struck out*",pbp_Pitcher,$B203))</f>
        <v/>
      </c>
      <c r="M203" s="42" t="str">
        <f>IF($B203="","",SUMIFS(pbp_Runs,pbp_Pitcher,$B203))</f>
        <v/>
      </c>
      <c r="N203" s="42" t="str">
        <f>IF($B203="","",SUMPRODUCT(COUNTIFS(pbp_PlayType,EM_Type,pbp_Pitcher,$B203)*EM_AB))</f>
        <v/>
      </c>
      <c r="O203" s="42" t="str">
        <f>IF($B203="","",SUMPRODUCT(COUNTIFS(pbp_PlayType,EM_Type,pbp_Pitcher,$B203)*EM_SF))</f>
        <v/>
      </c>
      <c r="P203" s="42" t="str">
        <f>IF($B203="","",SUMIFS(pbp_Pitches,pbp_Pitcher,$B203,pbp_PlayType,"?*"))</f>
        <v/>
      </c>
      <c r="Q203" s="60" t="str">
        <f t="shared" si="28"/>
        <v/>
      </c>
      <c r="R203" s="59" t="str">
        <f>IF($B203="","",IF(E203=0,"",1-SUMPRODUCT((pbp_Pitcher=$B203)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203)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03" s="59" t="str">
        <f>IF($B203="","",IF((SUMPRODUCT((pbp_Pitcher=$B203)*(LEN(pbp_PlayType)&gt;0)))=0,"",(SUMPRODUCT((pbp_Pitcher=$B203)*(LEN(pbp_PlayType)&gt;0)*ISNUMBER(MATCH(LEFT(TRIM(pbp_Seq)&amp;"/",FIND("/",TRIM(pbp_Seq)&amp;"/")-1),{"S","F","FT","FB","IN","MB","POS"},0))))/(SUMPRODUCT((pbp_Pitcher=$B203)*(LEN(pbp_PlayType)&gt;0)))))</f>
        <v/>
      </c>
      <c r="T203" s="59" t="str">
        <f t="shared" si="29"/>
        <v/>
      </c>
      <c r="U203" s="59" t="str">
        <f t="shared" si="30"/>
        <v/>
      </c>
      <c r="V203" s="59" t="str">
        <f t="shared" si="31"/>
        <v/>
      </c>
      <c r="W203" s="60" t="str">
        <f t="shared" si="32"/>
        <v/>
      </c>
      <c r="X203" s="60" t="str">
        <f t="shared" si="33"/>
        <v/>
      </c>
      <c r="Y203" s="58" t="str">
        <f t="shared" si="34"/>
        <v/>
      </c>
      <c r="Z203" s="58" t="str">
        <f t="shared" si="35"/>
        <v/>
      </c>
      <c r="AA203" s="62" t="str">
        <f>IF($B203="","",IF(OR(E203&lt;MinBF,X203=""),"",COUNTIFS($E$6:$E$255,"&gt;="&amp;MinBF,$X$6:$X$255,"&lt;"&amp;X203)+COUNTIFS($E$5:E202,"&gt;="&amp;MinBF,$X$5:X202,X203)+1))</f>
        <v/>
      </c>
    </row>
    <row r="204" spans="2:27" x14ac:dyDescent="0.2">
      <c r="B204" s="44" t="str">
        <f t="array" ref="B204">IFERROR(INDEX(pbp_Pitcher,MATCH(0,COUNTIF($B$5:B203,pbp_Pitcher)+(pbp_Pitcher=""),0)),"")</f>
        <v/>
      </c>
      <c r="C204" s="61" t="str">
        <f>IF($B204="","",IFERROR(INDEX(pbp_PitTeam,MATCH($B204,pbp_Pitcher,0)),""))</f>
        <v/>
      </c>
      <c r="D204" s="61" t="str">
        <f>IF($B204="","",IFERROR(INDEX(pbp_PitHand,MATCH($B204,pbp_Pitcher,0)),""))</f>
        <v/>
      </c>
      <c r="E204" s="42" t="str">
        <f>IF($B204="","",SUMPRODUCT(COUNTIFS(pbp_PlayType,EM_Type,pbp_Pitcher,$B204)*EM_PA))</f>
        <v/>
      </c>
      <c r="F204" s="42" t="str">
        <f>IF($B204="","",SUMIFS(pbp_Outs,pbp_Pitcher,$B204))</f>
        <v/>
      </c>
      <c r="G204" s="70" t="str">
        <f t="shared" si="27"/>
        <v/>
      </c>
      <c r="H204" s="42" t="str">
        <f>IF($B204="","",SUMPRODUCT(COUNTIFS(pbp_PlayType,EM_Type,pbp_Pitcher,$B204)*EM_H))</f>
        <v/>
      </c>
      <c r="I204" s="42" t="str">
        <f>IF($B204="","",SUMPRODUCT(COUNTIFS(pbp_PlayType,EM_Type,pbp_Pitcher,$B204)*EM_HR))</f>
        <v/>
      </c>
      <c r="J204" s="42" t="str">
        <f>IF($B204="","",SUMPRODUCT(COUNTIFS(pbp_PlayType,EM_Type,pbp_Pitcher,$B204)*EM_BB))</f>
        <v/>
      </c>
      <c r="K204" s="42" t="str">
        <f>IF($B204="","",SUMPRODUCT(COUNTIFS(pbp_PlayType,EM_Type,pbp_Pitcher,$B204)*EM_HBP))</f>
        <v/>
      </c>
      <c r="L204" s="42" t="str">
        <f>IF($B204="","",COUNTIFS(pbp_PlayType,"?*",pbp_Desc,"*struck out*",pbp_Pitcher,$B204))</f>
        <v/>
      </c>
      <c r="M204" s="42" t="str">
        <f>IF($B204="","",SUMIFS(pbp_Runs,pbp_Pitcher,$B204))</f>
        <v/>
      </c>
      <c r="N204" s="42" t="str">
        <f>IF($B204="","",SUMPRODUCT(COUNTIFS(pbp_PlayType,EM_Type,pbp_Pitcher,$B204)*EM_AB))</f>
        <v/>
      </c>
      <c r="O204" s="42" t="str">
        <f>IF($B204="","",SUMPRODUCT(COUNTIFS(pbp_PlayType,EM_Type,pbp_Pitcher,$B204)*EM_SF))</f>
        <v/>
      </c>
      <c r="P204" s="42" t="str">
        <f>IF($B204="","",SUMIFS(pbp_Pitches,pbp_Pitcher,$B204,pbp_PlayType,"?*"))</f>
        <v/>
      </c>
      <c r="Q204" s="60" t="str">
        <f t="shared" si="28"/>
        <v/>
      </c>
      <c r="R204" s="59" t="str">
        <f>IF($B204="","",IF(E204=0,"",1-SUMPRODUCT((pbp_Pitcher=$B204)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204)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04" s="59" t="str">
        <f>IF($B204="","",IF((SUMPRODUCT((pbp_Pitcher=$B204)*(LEN(pbp_PlayType)&gt;0)))=0,"",(SUMPRODUCT((pbp_Pitcher=$B204)*(LEN(pbp_PlayType)&gt;0)*ISNUMBER(MATCH(LEFT(TRIM(pbp_Seq)&amp;"/",FIND("/",TRIM(pbp_Seq)&amp;"/")-1),{"S","F","FT","FB","IN","MB","POS"},0))))/(SUMPRODUCT((pbp_Pitcher=$B204)*(LEN(pbp_PlayType)&gt;0)))))</f>
        <v/>
      </c>
      <c r="T204" s="59" t="str">
        <f t="shared" si="29"/>
        <v/>
      </c>
      <c r="U204" s="59" t="str">
        <f t="shared" si="30"/>
        <v/>
      </c>
      <c r="V204" s="59" t="str">
        <f t="shared" si="31"/>
        <v/>
      </c>
      <c r="W204" s="60" t="str">
        <f t="shared" si="32"/>
        <v/>
      </c>
      <c r="X204" s="60" t="str">
        <f t="shared" si="33"/>
        <v/>
      </c>
      <c r="Y204" s="58" t="str">
        <f t="shared" si="34"/>
        <v/>
      </c>
      <c r="Z204" s="58" t="str">
        <f t="shared" si="35"/>
        <v/>
      </c>
      <c r="AA204" s="62" t="str">
        <f>IF($B204="","",IF(OR(E204&lt;MinBF,X204=""),"",COUNTIFS($E$6:$E$255,"&gt;="&amp;MinBF,$X$6:$X$255,"&lt;"&amp;X204)+COUNTIFS($E$5:E203,"&gt;="&amp;MinBF,$X$5:X203,X204)+1))</f>
        <v/>
      </c>
    </row>
    <row r="205" spans="2:27" x14ac:dyDescent="0.2">
      <c r="B205" s="44" t="str">
        <f t="array" ref="B205">IFERROR(INDEX(pbp_Pitcher,MATCH(0,COUNTIF($B$5:B204,pbp_Pitcher)+(pbp_Pitcher=""),0)),"")</f>
        <v/>
      </c>
      <c r="C205" s="61" t="str">
        <f>IF($B205="","",IFERROR(INDEX(pbp_PitTeam,MATCH($B205,pbp_Pitcher,0)),""))</f>
        <v/>
      </c>
      <c r="D205" s="61" t="str">
        <f>IF($B205="","",IFERROR(INDEX(pbp_PitHand,MATCH($B205,pbp_Pitcher,0)),""))</f>
        <v/>
      </c>
      <c r="E205" s="42" t="str">
        <f>IF($B205="","",SUMPRODUCT(COUNTIFS(pbp_PlayType,EM_Type,pbp_Pitcher,$B205)*EM_PA))</f>
        <v/>
      </c>
      <c r="F205" s="42" t="str">
        <f>IF($B205="","",SUMIFS(pbp_Outs,pbp_Pitcher,$B205))</f>
        <v/>
      </c>
      <c r="G205" s="70" t="str">
        <f t="shared" si="27"/>
        <v/>
      </c>
      <c r="H205" s="42" t="str">
        <f>IF($B205="","",SUMPRODUCT(COUNTIFS(pbp_PlayType,EM_Type,pbp_Pitcher,$B205)*EM_H))</f>
        <v/>
      </c>
      <c r="I205" s="42" t="str">
        <f>IF($B205="","",SUMPRODUCT(COUNTIFS(pbp_PlayType,EM_Type,pbp_Pitcher,$B205)*EM_HR))</f>
        <v/>
      </c>
      <c r="J205" s="42" t="str">
        <f>IF($B205="","",SUMPRODUCT(COUNTIFS(pbp_PlayType,EM_Type,pbp_Pitcher,$B205)*EM_BB))</f>
        <v/>
      </c>
      <c r="K205" s="42" t="str">
        <f>IF($B205="","",SUMPRODUCT(COUNTIFS(pbp_PlayType,EM_Type,pbp_Pitcher,$B205)*EM_HBP))</f>
        <v/>
      </c>
      <c r="L205" s="42" t="str">
        <f>IF($B205="","",COUNTIFS(pbp_PlayType,"?*",pbp_Desc,"*struck out*",pbp_Pitcher,$B205))</f>
        <v/>
      </c>
      <c r="M205" s="42" t="str">
        <f>IF($B205="","",SUMIFS(pbp_Runs,pbp_Pitcher,$B205))</f>
        <v/>
      </c>
      <c r="N205" s="42" t="str">
        <f>IF($B205="","",SUMPRODUCT(COUNTIFS(pbp_PlayType,EM_Type,pbp_Pitcher,$B205)*EM_AB))</f>
        <v/>
      </c>
      <c r="O205" s="42" t="str">
        <f>IF($B205="","",SUMPRODUCT(COUNTIFS(pbp_PlayType,EM_Type,pbp_Pitcher,$B205)*EM_SF))</f>
        <v/>
      </c>
      <c r="P205" s="42" t="str">
        <f>IF($B205="","",SUMIFS(pbp_Pitches,pbp_Pitcher,$B205,pbp_PlayType,"?*"))</f>
        <v/>
      </c>
      <c r="Q205" s="60" t="str">
        <f t="shared" si="28"/>
        <v/>
      </c>
      <c r="R205" s="59" t="str">
        <f>IF($B205="","",IF(E205=0,"",1-SUMPRODUCT((pbp_Pitcher=$B205)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205)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05" s="59" t="str">
        <f>IF($B205="","",IF((SUMPRODUCT((pbp_Pitcher=$B205)*(LEN(pbp_PlayType)&gt;0)))=0,"",(SUMPRODUCT((pbp_Pitcher=$B205)*(LEN(pbp_PlayType)&gt;0)*ISNUMBER(MATCH(LEFT(TRIM(pbp_Seq)&amp;"/",FIND("/",TRIM(pbp_Seq)&amp;"/")-1),{"S","F","FT","FB","IN","MB","POS"},0))))/(SUMPRODUCT((pbp_Pitcher=$B205)*(LEN(pbp_PlayType)&gt;0)))))</f>
        <v/>
      </c>
      <c r="T205" s="59" t="str">
        <f t="shared" si="29"/>
        <v/>
      </c>
      <c r="U205" s="59" t="str">
        <f t="shared" si="30"/>
        <v/>
      </c>
      <c r="V205" s="59" t="str">
        <f t="shared" si="31"/>
        <v/>
      </c>
      <c r="W205" s="60" t="str">
        <f t="shared" si="32"/>
        <v/>
      </c>
      <c r="X205" s="60" t="str">
        <f t="shared" si="33"/>
        <v/>
      </c>
      <c r="Y205" s="58" t="str">
        <f t="shared" si="34"/>
        <v/>
      </c>
      <c r="Z205" s="58" t="str">
        <f t="shared" si="35"/>
        <v/>
      </c>
      <c r="AA205" s="62" t="str">
        <f>IF($B205="","",IF(OR(E205&lt;MinBF,X205=""),"",COUNTIFS($E$6:$E$255,"&gt;="&amp;MinBF,$X$6:$X$255,"&lt;"&amp;X205)+COUNTIFS($E$5:E204,"&gt;="&amp;MinBF,$X$5:X204,X205)+1))</f>
        <v/>
      </c>
    </row>
    <row r="206" spans="2:27" x14ac:dyDescent="0.2">
      <c r="B206" s="44" t="str">
        <f t="array" ref="B206">IFERROR(INDEX(pbp_Pitcher,MATCH(0,COUNTIF($B$5:B205,pbp_Pitcher)+(pbp_Pitcher=""),0)),"")</f>
        <v/>
      </c>
      <c r="C206" s="61" t="str">
        <f>IF($B206="","",IFERROR(INDEX(pbp_PitTeam,MATCH($B206,pbp_Pitcher,0)),""))</f>
        <v/>
      </c>
      <c r="D206" s="61" t="str">
        <f>IF($B206="","",IFERROR(INDEX(pbp_PitHand,MATCH($B206,pbp_Pitcher,0)),""))</f>
        <v/>
      </c>
      <c r="E206" s="42" t="str">
        <f>IF($B206="","",SUMPRODUCT(COUNTIFS(pbp_PlayType,EM_Type,pbp_Pitcher,$B206)*EM_PA))</f>
        <v/>
      </c>
      <c r="F206" s="42" t="str">
        <f>IF($B206="","",SUMIFS(pbp_Outs,pbp_Pitcher,$B206))</f>
        <v/>
      </c>
      <c r="G206" s="70" t="str">
        <f t="shared" si="27"/>
        <v/>
      </c>
      <c r="H206" s="42" t="str">
        <f>IF($B206="","",SUMPRODUCT(COUNTIFS(pbp_PlayType,EM_Type,pbp_Pitcher,$B206)*EM_H))</f>
        <v/>
      </c>
      <c r="I206" s="42" t="str">
        <f>IF($B206="","",SUMPRODUCT(COUNTIFS(pbp_PlayType,EM_Type,pbp_Pitcher,$B206)*EM_HR))</f>
        <v/>
      </c>
      <c r="J206" s="42" t="str">
        <f>IF($B206="","",SUMPRODUCT(COUNTIFS(pbp_PlayType,EM_Type,pbp_Pitcher,$B206)*EM_BB))</f>
        <v/>
      </c>
      <c r="K206" s="42" t="str">
        <f>IF($B206="","",SUMPRODUCT(COUNTIFS(pbp_PlayType,EM_Type,pbp_Pitcher,$B206)*EM_HBP))</f>
        <v/>
      </c>
      <c r="L206" s="42" t="str">
        <f>IF($B206="","",COUNTIFS(pbp_PlayType,"?*",pbp_Desc,"*struck out*",pbp_Pitcher,$B206))</f>
        <v/>
      </c>
      <c r="M206" s="42" t="str">
        <f>IF($B206="","",SUMIFS(pbp_Runs,pbp_Pitcher,$B206))</f>
        <v/>
      </c>
      <c r="N206" s="42" t="str">
        <f>IF($B206="","",SUMPRODUCT(COUNTIFS(pbp_PlayType,EM_Type,pbp_Pitcher,$B206)*EM_AB))</f>
        <v/>
      </c>
      <c r="O206" s="42" t="str">
        <f>IF($B206="","",SUMPRODUCT(COUNTIFS(pbp_PlayType,EM_Type,pbp_Pitcher,$B206)*EM_SF))</f>
        <v/>
      </c>
      <c r="P206" s="42" t="str">
        <f>IF($B206="","",SUMIFS(pbp_Pitches,pbp_Pitcher,$B206,pbp_PlayType,"?*"))</f>
        <v/>
      </c>
      <c r="Q206" s="60" t="str">
        <f t="shared" si="28"/>
        <v/>
      </c>
      <c r="R206" s="59" t="str">
        <f>IF($B206="","",IF(E206=0,"",1-SUMPRODUCT((pbp_Pitcher=$B206)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206)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06" s="59" t="str">
        <f>IF($B206="","",IF((SUMPRODUCT((pbp_Pitcher=$B206)*(LEN(pbp_PlayType)&gt;0)))=0,"",(SUMPRODUCT((pbp_Pitcher=$B206)*(LEN(pbp_PlayType)&gt;0)*ISNUMBER(MATCH(LEFT(TRIM(pbp_Seq)&amp;"/",FIND("/",TRIM(pbp_Seq)&amp;"/")-1),{"S","F","FT","FB","IN","MB","POS"},0))))/(SUMPRODUCT((pbp_Pitcher=$B206)*(LEN(pbp_PlayType)&gt;0)))))</f>
        <v/>
      </c>
      <c r="T206" s="59" t="str">
        <f t="shared" si="29"/>
        <v/>
      </c>
      <c r="U206" s="59" t="str">
        <f t="shared" si="30"/>
        <v/>
      </c>
      <c r="V206" s="59" t="str">
        <f t="shared" si="31"/>
        <v/>
      </c>
      <c r="W206" s="60" t="str">
        <f t="shared" si="32"/>
        <v/>
      </c>
      <c r="X206" s="60" t="str">
        <f t="shared" si="33"/>
        <v/>
      </c>
      <c r="Y206" s="58" t="str">
        <f t="shared" si="34"/>
        <v/>
      </c>
      <c r="Z206" s="58" t="str">
        <f t="shared" si="35"/>
        <v/>
      </c>
      <c r="AA206" s="62" t="str">
        <f>IF($B206="","",IF(OR(E206&lt;MinBF,X206=""),"",COUNTIFS($E$6:$E$255,"&gt;="&amp;MinBF,$X$6:$X$255,"&lt;"&amp;X206)+COUNTIFS($E$5:E205,"&gt;="&amp;MinBF,$X$5:X205,X206)+1))</f>
        <v/>
      </c>
    </row>
    <row r="207" spans="2:27" x14ac:dyDescent="0.2">
      <c r="B207" s="44" t="str">
        <f t="array" ref="B207">IFERROR(INDEX(pbp_Pitcher,MATCH(0,COUNTIF($B$5:B206,pbp_Pitcher)+(pbp_Pitcher=""),0)),"")</f>
        <v/>
      </c>
      <c r="C207" s="61" t="str">
        <f>IF($B207="","",IFERROR(INDEX(pbp_PitTeam,MATCH($B207,pbp_Pitcher,0)),""))</f>
        <v/>
      </c>
      <c r="D207" s="61" t="str">
        <f>IF($B207="","",IFERROR(INDEX(pbp_PitHand,MATCH($B207,pbp_Pitcher,0)),""))</f>
        <v/>
      </c>
      <c r="E207" s="42" t="str">
        <f>IF($B207="","",SUMPRODUCT(COUNTIFS(pbp_PlayType,EM_Type,pbp_Pitcher,$B207)*EM_PA))</f>
        <v/>
      </c>
      <c r="F207" s="42" t="str">
        <f>IF($B207="","",SUMIFS(pbp_Outs,pbp_Pitcher,$B207))</f>
        <v/>
      </c>
      <c r="G207" s="70" t="str">
        <f t="shared" si="27"/>
        <v/>
      </c>
      <c r="H207" s="42" t="str">
        <f>IF($B207="","",SUMPRODUCT(COUNTIFS(pbp_PlayType,EM_Type,pbp_Pitcher,$B207)*EM_H))</f>
        <v/>
      </c>
      <c r="I207" s="42" t="str">
        <f>IF($B207="","",SUMPRODUCT(COUNTIFS(pbp_PlayType,EM_Type,pbp_Pitcher,$B207)*EM_HR))</f>
        <v/>
      </c>
      <c r="J207" s="42" t="str">
        <f>IF($B207="","",SUMPRODUCT(COUNTIFS(pbp_PlayType,EM_Type,pbp_Pitcher,$B207)*EM_BB))</f>
        <v/>
      </c>
      <c r="K207" s="42" t="str">
        <f>IF($B207="","",SUMPRODUCT(COUNTIFS(pbp_PlayType,EM_Type,pbp_Pitcher,$B207)*EM_HBP))</f>
        <v/>
      </c>
      <c r="L207" s="42" t="str">
        <f>IF($B207="","",COUNTIFS(pbp_PlayType,"?*",pbp_Desc,"*struck out*",pbp_Pitcher,$B207))</f>
        <v/>
      </c>
      <c r="M207" s="42" t="str">
        <f>IF($B207="","",SUMIFS(pbp_Runs,pbp_Pitcher,$B207))</f>
        <v/>
      </c>
      <c r="N207" s="42" t="str">
        <f>IF($B207="","",SUMPRODUCT(COUNTIFS(pbp_PlayType,EM_Type,pbp_Pitcher,$B207)*EM_AB))</f>
        <v/>
      </c>
      <c r="O207" s="42" t="str">
        <f>IF($B207="","",SUMPRODUCT(COUNTIFS(pbp_PlayType,EM_Type,pbp_Pitcher,$B207)*EM_SF))</f>
        <v/>
      </c>
      <c r="P207" s="42" t="str">
        <f>IF($B207="","",SUMIFS(pbp_Pitches,pbp_Pitcher,$B207,pbp_PlayType,"?*"))</f>
        <v/>
      </c>
      <c r="Q207" s="60" t="str">
        <f t="shared" si="28"/>
        <v/>
      </c>
      <c r="R207" s="59" t="str">
        <f>IF($B207="","",IF(E207=0,"",1-SUMPRODUCT((pbp_Pitcher=$B207)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207)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07" s="59" t="str">
        <f>IF($B207="","",IF((SUMPRODUCT((pbp_Pitcher=$B207)*(LEN(pbp_PlayType)&gt;0)))=0,"",(SUMPRODUCT((pbp_Pitcher=$B207)*(LEN(pbp_PlayType)&gt;0)*ISNUMBER(MATCH(LEFT(TRIM(pbp_Seq)&amp;"/",FIND("/",TRIM(pbp_Seq)&amp;"/")-1),{"S","F","FT","FB","IN","MB","POS"},0))))/(SUMPRODUCT((pbp_Pitcher=$B207)*(LEN(pbp_PlayType)&gt;0)))))</f>
        <v/>
      </c>
      <c r="T207" s="59" t="str">
        <f t="shared" si="29"/>
        <v/>
      </c>
      <c r="U207" s="59" t="str">
        <f t="shared" si="30"/>
        <v/>
      </c>
      <c r="V207" s="59" t="str">
        <f t="shared" si="31"/>
        <v/>
      </c>
      <c r="W207" s="60" t="str">
        <f t="shared" si="32"/>
        <v/>
      </c>
      <c r="X207" s="60" t="str">
        <f t="shared" si="33"/>
        <v/>
      </c>
      <c r="Y207" s="58" t="str">
        <f t="shared" si="34"/>
        <v/>
      </c>
      <c r="Z207" s="58" t="str">
        <f t="shared" si="35"/>
        <v/>
      </c>
      <c r="AA207" s="62" t="str">
        <f>IF($B207="","",IF(OR(E207&lt;MinBF,X207=""),"",COUNTIFS($E$6:$E$255,"&gt;="&amp;MinBF,$X$6:$X$255,"&lt;"&amp;X207)+COUNTIFS($E$5:E206,"&gt;="&amp;MinBF,$X$5:X206,X207)+1))</f>
        <v/>
      </c>
    </row>
    <row r="208" spans="2:27" x14ac:dyDescent="0.2">
      <c r="B208" s="44" t="str">
        <f t="array" ref="B208">IFERROR(INDEX(pbp_Pitcher,MATCH(0,COUNTIF($B$5:B207,pbp_Pitcher)+(pbp_Pitcher=""),0)),"")</f>
        <v/>
      </c>
      <c r="C208" s="61" t="str">
        <f>IF($B208="","",IFERROR(INDEX(pbp_PitTeam,MATCH($B208,pbp_Pitcher,0)),""))</f>
        <v/>
      </c>
      <c r="D208" s="61" t="str">
        <f>IF($B208="","",IFERROR(INDEX(pbp_PitHand,MATCH($B208,pbp_Pitcher,0)),""))</f>
        <v/>
      </c>
      <c r="E208" s="42" t="str">
        <f>IF($B208="","",SUMPRODUCT(COUNTIFS(pbp_PlayType,EM_Type,pbp_Pitcher,$B208)*EM_PA))</f>
        <v/>
      </c>
      <c r="F208" s="42" t="str">
        <f>IF($B208="","",SUMIFS(pbp_Outs,pbp_Pitcher,$B208))</f>
        <v/>
      </c>
      <c r="G208" s="70" t="str">
        <f t="shared" si="27"/>
        <v/>
      </c>
      <c r="H208" s="42" t="str">
        <f>IF($B208="","",SUMPRODUCT(COUNTIFS(pbp_PlayType,EM_Type,pbp_Pitcher,$B208)*EM_H))</f>
        <v/>
      </c>
      <c r="I208" s="42" t="str">
        <f>IF($B208="","",SUMPRODUCT(COUNTIFS(pbp_PlayType,EM_Type,pbp_Pitcher,$B208)*EM_HR))</f>
        <v/>
      </c>
      <c r="J208" s="42" t="str">
        <f>IF($B208="","",SUMPRODUCT(COUNTIFS(pbp_PlayType,EM_Type,pbp_Pitcher,$B208)*EM_BB))</f>
        <v/>
      </c>
      <c r="K208" s="42" t="str">
        <f>IF($B208="","",SUMPRODUCT(COUNTIFS(pbp_PlayType,EM_Type,pbp_Pitcher,$B208)*EM_HBP))</f>
        <v/>
      </c>
      <c r="L208" s="42" t="str">
        <f>IF($B208="","",COUNTIFS(pbp_PlayType,"?*",pbp_Desc,"*struck out*",pbp_Pitcher,$B208))</f>
        <v/>
      </c>
      <c r="M208" s="42" t="str">
        <f>IF($B208="","",SUMIFS(pbp_Runs,pbp_Pitcher,$B208))</f>
        <v/>
      </c>
      <c r="N208" s="42" t="str">
        <f>IF($B208="","",SUMPRODUCT(COUNTIFS(pbp_PlayType,EM_Type,pbp_Pitcher,$B208)*EM_AB))</f>
        <v/>
      </c>
      <c r="O208" s="42" t="str">
        <f>IF($B208="","",SUMPRODUCT(COUNTIFS(pbp_PlayType,EM_Type,pbp_Pitcher,$B208)*EM_SF))</f>
        <v/>
      </c>
      <c r="P208" s="42" t="str">
        <f>IF($B208="","",SUMIFS(pbp_Pitches,pbp_Pitcher,$B208,pbp_PlayType,"?*"))</f>
        <v/>
      </c>
      <c r="Q208" s="60" t="str">
        <f t="shared" si="28"/>
        <v/>
      </c>
      <c r="R208" s="59" t="str">
        <f>IF($B208="","",IF(E208=0,"",1-SUMPRODUCT((pbp_Pitcher=$B208)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208)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08" s="59" t="str">
        <f>IF($B208="","",IF((SUMPRODUCT((pbp_Pitcher=$B208)*(LEN(pbp_PlayType)&gt;0)))=0,"",(SUMPRODUCT((pbp_Pitcher=$B208)*(LEN(pbp_PlayType)&gt;0)*ISNUMBER(MATCH(LEFT(TRIM(pbp_Seq)&amp;"/",FIND("/",TRIM(pbp_Seq)&amp;"/")-1),{"S","F","FT","FB","IN","MB","POS"},0))))/(SUMPRODUCT((pbp_Pitcher=$B208)*(LEN(pbp_PlayType)&gt;0)))))</f>
        <v/>
      </c>
      <c r="T208" s="59" t="str">
        <f t="shared" si="29"/>
        <v/>
      </c>
      <c r="U208" s="59" t="str">
        <f t="shared" si="30"/>
        <v/>
      </c>
      <c r="V208" s="59" t="str">
        <f t="shared" si="31"/>
        <v/>
      </c>
      <c r="W208" s="60" t="str">
        <f t="shared" si="32"/>
        <v/>
      </c>
      <c r="X208" s="60" t="str">
        <f t="shared" si="33"/>
        <v/>
      </c>
      <c r="Y208" s="58" t="str">
        <f t="shared" si="34"/>
        <v/>
      </c>
      <c r="Z208" s="58" t="str">
        <f t="shared" si="35"/>
        <v/>
      </c>
      <c r="AA208" s="62" t="str">
        <f>IF($B208="","",IF(OR(E208&lt;MinBF,X208=""),"",COUNTIFS($E$6:$E$255,"&gt;="&amp;MinBF,$X$6:$X$255,"&lt;"&amp;X208)+COUNTIFS($E$5:E207,"&gt;="&amp;MinBF,$X$5:X207,X208)+1))</f>
        <v/>
      </c>
    </row>
    <row r="209" spans="2:27" x14ac:dyDescent="0.2">
      <c r="B209" s="44" t="str">
        <f t="array" ref="B209">IFERROR(INDEX(pbp_Pitcher,MATCH(0,COUNTIF($B$5:B208,pbp_Pitcher)+(pbp_Pitcher=""),0)),"")</f>
        <v/>
      </c>
      <c r="C209" s="61" t="str">
        <f>IF($B209="","",IFERROR(INDEX(pbp_PitTeam,MATCH($B209,pbp_Pitcher,0)),""))</f>
        <v/>
      </c>
      <c r="D209" s="61" t="str">
        <f>IF($B209="","",IFERROR(INDEX(pbp_PitHand,MATCH($B209,pbp_Pitcher,0)),""))</f>
        <v/>
      </c>
      <c r="E209" s="42" t="str">
        <f>IF($B209="","",SUMPRODUCT(COUNTIFS(pbp_PlayType,EM_Type,pbp_Pitcher,$B209)*EM_PA))</f>
        <v/>
      </c>
      <c r="F209" s="42" t="str">
        <f>IF($B209="","",SUMIFS(pbp_Outs,pbp_Pitcher,$B209))</f>
        <v/>
      </c>
      <c r="G209" s="70" t="str">
        <f t="shared" si="27"/>
        <v/>
      </c>
      <c r="H209" s="42" t="str">
        <f>IF($B209="","",SUMPRODUCT(COUNTIFS(pbp_PlayType,EM_Type,pbp_Pitcher,$B209)*EM_H))</f>
        <v/>
      </c>
      <c r="I209" s="42" t="str">
        <f>IF($B209="","",SUMPRODUCT(COUNTIFS(pbp_PlayType,EM_Type,pbp_Pitcher,$B209)*EM_HR))</f>
        <v/>
      </c>
      <c r="J209" s="42" t="str">
        <f>IF($B209="","",SUMPRODUCT(COUNTIFS(pbp_PlayType,EM_Type,pbp_Pitcher,$B209)*EM_BB))</f>
        <v/>
      </c>
      <c r="K209" s="42" t="str">
        <f>IF($B209="","",SUMPRODUCT(COUNTIFS(pbp_PlayType,EM_Type,pbp_Pitcher,$B209)*EM_HBP))</f>
        <v/>
      </c>
      <c r="L209" s="42" t="str">
        <f>IF($B209="","",COUNTIFS(pbp_PlayType,"?*",pbp_Desc,"*struck out*",pbp_Pitcher,$B209))</f>
        <v/>
      </c>
      <c r="M209" s="42" t="str">
        <f>IF($B209="","",SUMIFS(pbp_Runs,pbp_Pitcher,$B209))</f>
        <v/>
      </c>
      <c r="N209" s="42" t="str">
        <f>IF($B209="","",SUMPRODUCT(COUNTIFS(pbp_PlayType,EM_Type,pbp_Pitcher,$B209)*EM_AB))</f>
        <v/>
      </c>
      <c r="O209" s="42" t="str">
        <f>IF($B209="","",SUMPRODUCT(COUNTIFS(pbp_PlayType,EM_Type,pbp_Pitcher,$B209)*EM_SF))</f>
        <v/>
      </c>
      <c r="P209" s="42" t="str">
        <f>IF($B209="","",SUMIFS(pbp_Pitches,pbp_Pitcher,$B209,pbp_PlayType,"?*"))</f>
        <v/>
      </c>
      <c r="Q209" s="60" t="str">
        <f t="shared" si="28"/>
        <v/>
      </c>
      <c r="R209" s="59" t="str">
        <f>IF($B209="","",IF(E209=0,"",1-SUMPRODUCT((pbp_Pitcher=$B209)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209)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09" s="59" t="str">
        <f>IF($B209="","",IF((SUMPRODUCT((pbp_Pitcher=$B209)*(LEN(pbp_PlayType)&gt;0)))=0,"",(SUMPRODUCT((pbp_Pitcher=$B209)*(LEN(pbp_PlayType)&gt;0)*ISNUMBER(MATCH(LEFT(TRIM(pbp_Seq)&amp;"/",FIND("/",TRIM(pbp_Seq)&amp;"/")-1),{"S","F","FT","FB","IN","MB","POS"},0))))/(SUMPRODUCT((pbp_Pitcher=$B209)*(LEN(pbp_PlayType)&gt;0)))))</f>
        <v/>
      </c>
      <c r="T209" s="59" t="str">
        <f t="shared" si="29"/>
        <v/>
      </c>
      <c r="U209" s="59" t="str">
        <f t="shared" si="30"/>
        <v/>
      </c>
      <c r="V209" s="59" t="str">
        <f t="shared" si="31"/>
        <v/>
      </c>
      <c r="W209" s="60" t="str">
        <f t="shared" si="32"/>
        <v/>
      </c>
      <c r="X209" s="60" t="str">
        <f t="shared" si="33"/>
        <v/>
      </c>
      <c r="Y209" s="58" t="str">
        <f t="shared" si="34"/>
        <v/>
      </c>
      <c r="Z209" s="58" t="str">
        <f t="shared" si="35"/>
        <v/>
      </c>
      <c r="AA209" s="62" t="str">
        <f>IF($B209="","",IF(OR(E209&lt;MinBF,X209=""),"",COUNTIFS($E$6:$E$255,"&gt;="&amp;MinBF,$X$6:$X$255,"&lt;"&amp;X209)+COUNTIFS($E$5:E208,"&gt;="&amp;MinBF,$X$5:X208,X209)+1))</f>
        <v/>
      </c>
    </row>
    <row r="210" spans="2:27" x14ac:dyDescent="0.2">
      <c r="B210" s="44" t="str">
        <f t="array" ref="B210">IFERROR(INDEX(pbp_Pitcher,MATCH(0,COUNTIF($B$5:B209,pbp_Pitcher)+(pbp_Pitcher=""),0)),"")</f>
        <v/>
      </c>
      <c r="C210" s="61" t="str">
        <f>IF($B210="","",IFERROR(INDEX(pbp_PitTeam,MATCH($B210,pbp_Pitcher,0)),""))</f>
        <v/>
      </c>
      <c r="D210" s="61" t="str">
        <f>IF($B210="","",IFERROR(INDEX(pbp_PitHand,MATCH($B210,pbp_Pitcher,0)),""))</f>
        <v/>
      </c>
      <c r="E210" s="42" t="str">
        <f>IF($B210="","",SUMPRODUCT(COUNTIFS(pbp_PlayType,EM_Type,pbp_Pitcher,$B210)*EM_PA))</f>
        <v/>
      </c>
      <c r="F210" s="42" t="str">
        <f>IF($B210="","",SUMIFS(pbp_Outs,pbp_Pitcher,$B210))</f>
        <v/>
      </c>
      <c r="G210" s="70" t="str">
        <f t="shared" si="27"/>
        <v/>
      </c>
      <c r="H210" s="42" t="str">
        <f>IF($B210="","",SUMPRODUCT(COUNTIFS(pbp_PlayType,EM_Type,pbp_Pitcher,$B210)*EM_H))</f>
        <v/>
      </c>
      <c r="I210" s="42" t="str">
        <f>IF($B210="","",SUMPRODUCT(COUNTIFS(pbp_PlayType,EM_Type,pbp_Pitcher,$B210)*EM_HR))</f>
        <v/>
      </c>
      <c r="J210" s="42" t="str">
        <f>IF($B210="","",SUMPRODUCT(COUNTIFS(pbp_PlayType,EM_Type,pbp_Pitcher,$B210)*EM_BB))</f>
        <v/>
      </c>
      <c r="K210" s="42" t="str">
        <f>IF($B210="","",SUMPRODUCT(COUNTIFS(pbp_PlayType,EM_Type,pbp_Pitcher,$B210)*EM_HBP))</f>
        <v/>
      </c>
      <c r="L210" s="42" t="str">
        <f>IF($B210="","",COUNTIFS(pbp_PlayType,"?*",pbp_Desc,"*struck out*",pbp_Pitcher,$B210))</f>
        <v/>
      </c>
      <c r="M210" s="42" t="str">
        <f>IF($B210="","",SUMIFS(pbp_Runs,pbp_Pitcher,$B210))</f>
        <v/>
      </c>
      <c r="N210" s="42" t="str">
        <f>IF($B210="","",SUMPRODUCT(COUNTIFS(pbp_PlayType,EM_Type,pbp_Pitcher,$B210)*EM_AB))</f>
        <v/>
      </c>
      <c r="O210" s="42" t="str">
        <f>IF($B210="","",SUMPRODUCT(COUNTIFS(pbp_PlayType,EM_Type,pbp_Pitcher,$B210)*EM_SF))</f>
        <v/>
      </c>
      <c r="P210" s="42" t="str">
        <f>IF($B210="","",SUMIFS(pbp_Pitches,pbp_Pitcher,$B210,pbp_PlayType,"?*"))</f>
        <v/>
      </c>
      <c r="Q210" s="60" t="str">
        <f t="shared" si="28"/>
        <v/>
      </c>
      <c r="R210" s="59" t="str">
        <f>IF($B210="","",IF(E210=0,"",1-SUMPRODUCT((pbp_Pitcher=$B210)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210)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10" s="59" t="str">
        <f>IF($B210="","",IF((SUMPRODUCT((pbp_Pitcher=$B210)*(LEN(pbp_PlayType)&gt;0)))=0,"",(SUMPRODUCT((pbp_Pitcher=$B210)*(LEN(pbp_PlayType)&gt;0)*ISNUMBER(MATCH(LEFT(TRIM(pbp_Seq)&amp;"/",FIND("/",TRIM(pbp_Seq)&amp;"/")-1),{"S","F","FT","FB","IN","MB","POS"},0))))/(SUMPRODUCT((pbp_Pitcher=$B210)*(LEN(pbp_PlayType)&gt;0)))))</f>
        <v/>
      </c>
      <c r="T210" s="59" t="str">
        <f t="shared" si="29"/>
        <v/>
      </c>
      <c r="U210" s="59" t="str">
        <f t="shared" si="30"/>
        <v/>
      </c>
      <c r="V210" s="59" t="str">
        <f t="shared" si="31"/>
        <v/>
      </c>
      <c r="W210" s="60" t="str">
        <f t="shared" si="32"/>
        <v/>
      </c>
      <c r="X210" s="60" t="str">
        <f t="shared" si="33"/>
        <v/>
      </c>
      <c r="Y210" s="58" t="str">
        <f t="shared" si="34"/>
        <v/>
      </c>
      <c r="Z210" s="58" t="str">
        <f t="shared" si="35"/>
        <v/>
      </c>
      <c r="AA210" s="62" t="str">
        <f>IF($B210="","",IF(OR(E210&lt;MinBF,X210=""),"",COUNTIFS($E$6:$E$255,"&gt;="&amp;MinBF,$X$6:$X$255,"&lt;"&amp;X210)+COUNTIFS($E$5:E209,"&gt;="&amp;MinBF,$X$5:X209,X210)+1))</f>
        <v/>
      </c>
    </row>
    <row r="211" spans="2:27" x14ac:dyDescent="0.2">
      <c r="B211" s="44" t="str">
        <f t="array" ref="B211">IFERROR(INDEX(pbp_Pitcher,MATCH(0,COUNTIF($B$5:B210,pbp_Pitcher)+(pbp_Pitcher=""),0)),"")</f>
        <v/>
      </c>
      <c r="C211" s="61" t="str">
        <f>IF($B211="","",IFERROR(INDEX(pbp_PitTeam,MATCH($B211,pbp_Pitcher,0)),""))</f>
        <v/>
      </c>
      <c r="D211" s="61" t="str">
        <f>IF($B211="","",IFERROR(INDEX(pbp_PitHand,MATCH($B211,pbp_Pitcher,0)),""))</f>
        <v/>
      </c>
      <c r="E211" s="42" t="str">
        <f>IF($B211="","",SUMPRODUCT(COUNTIFS(pbp_PlayType,EM_Type,pbp_Pitcher,$B211)*EM_PA))</f>
        <v/>
      </c>
      <c r="F211" s="42" t="str">
        <f>IF($B211="","",SUMIFS(pbp_Outs,pbp_Pitcher,$B211))</f>
        <v/>
      </c>
      <c r="G211" s="70" t="str">
        <f t="shared" si="27"/>
        <v/>
      </c>
      <c r="H211" s="42" t="str">
        <f>IF($B211="","",SUMPRODUCT(COUNTIFS(pbp_PlayType,EM_Type,pbp_Pitcher,$B211)*EM_H))</f>
        <v/>
      </c>
      <c r="I211" s="42" t="str">
        <f>IF($B211="","",SUMPRODUCT(COUNTIFS(pbp_PlayType,EM_Type,pbp_Pitcher,$B211)*EM_HR))</f>
        <v/>
      </c>
      <c r="J211" s="42" t="str">
        <f>IF($B211="","",SUMPRODUCT(COUNTIFS(pbp_PlayType,EM_Type,pbp_Pitcher,$B211)*EM_BB))</f>
        <v/>
      </c>
      <c r="K211" s="42" t="str">
        <f>IF($B211="","",SUMPRODUCT(COUNTIFS(pbp_PlayType,EM_Type,pbp_Pitcher,$B211)*EM_HBP))</f>
        <v/>
      </c>
      <c r="L211" s="42" t="str">
        <f>IF($B211="","",COUNTIFS(pbp_PlayType,"?*",pbp_Desc,"*struck out*",pbp_Pitcher,$B211))</f>
        <v/>
      </c>
      <c r="M211" s="42" t="str">
        <f>IF($B211="","",SUMIFS(pbp_Runs,pbp_Pitcher,$B211))</f>
        <v/>
      </c>
      <c r="N211" s="42" t="str">
        <f>IF($B211="","",SUMPRODUCT(COUNTIFS(pbp_PlayType,EM_Type,pbp_Pitcher,$B211)*EM_AB))</f>
        <v/>
      </c>
      <c r="O211" s="42" t="str">
        <f>IF($B211="","",SUMPRODUCT(COUNTIFS(pbp_PlayType,EM_Type,pbp_Pitcher,$B211)*EM_SF))</f>
        <v/>
      </c>
      <c r="P211" s="42" t="str">
        <f>IF($B211="","",SUMIFS(pbp_Pitches,pbp_Pitcher,$B211,pbp_PlayType,"?*"))</f>
        <v/>
      </c>
      <c r="Q211" s="60" t="str">
        <f t="shared" si="28"/>
        <v/>
      </c>
      <c r="R211" s="59" t="str">
        <f>IF($B211="","",IF(E211=0,"",1-SUMPRODUCT((pbp_Pitcher=$B211)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211)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11" s="59" t="str">
        <f>IF($B211="","",IF((SUMPRODUCT((pbp_Pitcher=$B211)*(LEN(pbp_PlayType)&gt;0)))=0,"",(SUMPRODUCT((pbp_Pitcher=$B211)*(LEN(pbp_PlayType)&gt;0)*ISNUMBER(MATCH(LEFT(TRIM(pbp_Seq)&amp;"/",FIND("/",TRIM(pbp_Seq)&amp;"/")-1),{"S","F","FT","FB","IN","MB","POS"},0))))/(SUMPRODUCT((pbp_Pitcher=$B211)*(LEN(pbp_PlayType)&gt;0)))))</f>
        <v/>
      </c>
      <c r="T211" s="59" t="str">
        <f t="shared" si="29"/>
        <v/>
      </c>
      <c r="U211" s="59" t="str">
        <f t="shared" si="30"/>
        <v/>
      </c>
      <c r="V211" s="59" t="str">
        <f t="shared" si="31"/>
        <v/>
      </c>
      <c r="W211" s="60" t="str">
        <f t="shared" si="32"/>
        <v/>
      </c>
      <c r="X211" s="60" t="str">
        <f t="shared" si="33"/>
        <v/>
      </c>
      <c r="Y211" s="58" t="str">
        <f t="shared" si="34"/>
        <v/>
      </c>
      <c r="Z211" s="58" t="str">
        <f t="shared" si="35"/>
        <v/>
      </c>
      <c r="AA211" s="62" t="str">
        <f>IF($B211="","",IF(OR(E211&lt;MinBF,X211=""),"",COUNTIFS($E$6:$E$255,"&gt;="&amp;MinBF,$X$6:$X$255,"&lt;"&amp;X211)+COUNTIFS($E$5:E210,"&gt;="&amp;MinBF,$X$5:X210,X211)+1))</f>
        <v/>
      </c>
    </row>
    <row r="212" spans="2:27" x14ac:dyDescent="0.2">
      <c r="B212" s="44" t="str">
        <f t="array" ref="B212">IFERROR(INDEX(pbp_Pitcher,MATCH(0,COUNTIF($B$5:B211,pbp_Pitcher)+(pbp_Pitcher=""),0)),"")</f>
        <v/>
      </c>
      <c r="C212" s="61" t="str">
        <f>IF($B212="","",IFERROR(INDEX(pbp_PitTeam,MATCH($B212,pbp_Pitcher,0)),""))</f>
        <v/>
      </c>
      <c r="D212" s="61" t="str">
        <f>IF($B212="","",IFERROR(INDEX(pbp_PitHand,MATCH($B212,pbp_Pitcher,0)),""))</f>
        <v/>
      </c>
      <c r="E212" s="42" t="str">
        <f>IF($B212="","",SUMPRODUCT(COUNTIFS(pbp_PlayType,EM_Type,pbp_Pitcher,$B212)*EM_PA))</f>
        <v/>
      </c>
      <c r="F212" s="42" t="str">
        <f>IF($B212="","",SUMIFS(pbp_Outs,pbp_Pitcher,$B212))</f>
        <v/>
      </c>
      <c r="G212" s="70" t="str">
        <f t="shared" si="27"/>
        <v/>
      </c>
      <c r="H212" s="42" t="str">
        <f>IF($B212="","",SUMPRODUCT(COUNTIFS(pbp_PlayType,EM_Type,pbp_Pitcher,$B212)*EM_H))</f>
        <v/>
      </c>
      <c r="I212" s="42" t="str">
        <f>IF($B212="","",SUMPRODUCT(COUNTIFS(pbp_PlayType,EM_Type,pbp_Pitcher,$B212)*EM_HR))</f>
        <v/>
      </c>
      <c r="J212" s="42" t="str">
        <f>IF($B212="","",SUMPRODUCT(COUNTIFS(pbp_PlayType,EM_Type,pbp_Pitcher,$B212)*EM_BB))</f>
        <v/>
      </c>
      <c r="K212" s="42" t="str">
        <f>IF($B212="","",SUMPRODUCT(COUNTIFS(pbp_PlayType,EM_Type,pbp_Pitcher,$B212)*EM_HBP))</f>
        <v/>
      </c>
      <c r="L212" s="42" t="str">
        <f>IF($B212="","",COUNTIFS(pbp_PlayType,"?*",pbp_Desc,"*struck out*",pbp_Pitcher,$B212))</f>
        <v/>
      </c>
      <c r="M212" s="42" t="str">
        <f>IF($B212="","",SUMIFS(pbp_Runs,pbp_Pitcher,$B212))</f>
        <v/>
      </c>
      <c r="N212" s="42" t="str">
        <f>IF($B212="","",SUMPRODUCT(COUNTIFS(pbp_PlayType,EM_Type,pbp_Pitcher,$B212)*EM_AB))</f>
        <v/>
      </c>
      <c r="O212" s="42" t="str">
        <f>IF($B212="","",SUMPRODUCT(COUNTIFS(pbp_PlayType,EM_Type,pbp_Pitcher,$B212)*EM_SF))</f>
        <v/>
      </c>
      <c r="P212" s="42" t="str">
        <f>IF($B212="","",SUMIFS(pbp_Pitches,pbp_Pitcher,$B212,pbp_PlayType,"?*"))</f>
        <v/>
      </c>
      <c r="Q212" s="60" t="str">
        <f t="shared" si="28"/>
        <v/>
      </c>
      <c r="R212" s="59" t="str">
        <f>IF($B212="","",IF(E212=0,"",1-SUMPRODUCT((pbp_Pitcher=$B212)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212)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12" s="59" t="str">
        <f>IF($B212="","",IF((SUMPRODUCT((pbp_Pitcher=$B212)*(LEN(pbp_PlayType)&gt;0)))=0,"",(SUMPRODUCT((pbp_Pitcher=$B212)*(LEN(pbp_PlayType)&gt;0)*ISNUMBER(MATCH(LEFT(TRIM(pbp_Seq)&amp;"/",FIND("/",TRIM(pbp_Seq)&amp;"/")-1),{"S","F","FT","FB","IN","MB","POS"},0))))/(SUMPRODUCT((pbp_Pitcher=$B212)*(LEN(pbp_PlayType)&gt;0)))))</f>
        <v/>
      </c>
      <c r="T212" s="59" t="str">
        <f t="shared" si="29"/>
        <v/>
      </c>
      <c r="U212" s="59" t="str">
        <f t="shared" si="30"/>
        <v/>
      </c>
      <c r="V212" s="59" t="str">
        <f t="shared" si="31"/>
        <v/>
      </c>
      <c r="W212" s="60" t="str">
        <f t="shared" si="32"/>
        <v/>
      </c>
      <c r="X212" s="60" t="str">
        <f t="shared" si="33"/>
        <v/>
      </c>
      <c r="Y212" s="58" t="str">
        <f t="shared" si="34"/>
        <v/>
      </c>
      <c r="Z212" s="58" t="str">
        <f t="shared" si="35"/>
        <v/>
      </c>
      <c r="AA212" s="62" t="str">
        <f>IF($B212="","",IF(OR(E212&lt;MinBF,X212=""),"",COUNTIFS($E$6:$E$255,"&gt;="&amp;MinBF,$X$6:$X$255,"&lt;"&amp;X212)+COUNTIFS($E$5:E211,"&gt;="&amp;MinBF,$X$5:X211,X212)+1))</f>
        <v/>
      </c>
    </row>
    <row r="213" spans="2:27" x14ac:dyDescent="0.2">
      <c r="B213" s="44" t="str">
        <f t="array" ref="B213">IFERROR(INDEX(pbp_Pitcher,MATCH(0,COUNTIF($B$5:B212,pbp_Pitcher)+(pbp_Pitcher=""),0)),"")</f>
        <v/>
      </c>
      <c r="C213" s="61" t="str">
        <f>IF($B213="","",IFERROR(INDEX(pbp_PitTeam,MATCH($B213,pbp_Pitcher,0)),""))</f>
        <v/>
      </c>
      <c r="D213" s="61" t="str">
        <f>IF($B213="","",IFERROR(INDEX(pbp_PitHand,MATCH($B213,pbp_Pitcher,0)),""))</f>
        <v/>
      </c>
      <c r="E213" s="42" t="str">
        <f>IF($B213="","",SUMPRODUCT(COUNTIFS(pbp_PlayType,EM_Type,pbp_Pitcher,$B213)*EM_PA))</f>
        <v/>
      </c>
      <c r="F213" s="42" t="str">
        <f>IF($B213="","",SUMIFS(pbp_Outs,pbp_Pitcher,$B213))</f>
        <v/>
      </c>
      <c r="G213" s="70" t="str">
        <f t="shared" si="27"/>
        <v/>
      </c>
      <c r="H213" s="42" t="str">
        <f>IF($B213="","",SUMPRODUCT(COUNTIFS(pbp_PlayType,EM_Type,pbp_Pitcher,$B213)*EM_H))</f>
        <v/>
      </c>
      <c r="I213" s="42" t="str">
        <f>IF($B213="","",SUMPRODUCT(COUNTIFS(pbp_PlayType,EM_Type,pbp_Pitcher,$B213)*EM_HR))</f>
        <v/>
      </c>
      <c r="J213" s="42" t="str">
        <f>IF($B213="","",SUMPRODUCT(COUNTIFS(pbp_PlayType,EM_Type,pbp_Pitcher,$B213)*EM_BB))</f>
        <v/>
      </c>
      <c r="K213" s="42" t="str">
        <f>IF($B213="","",SUMPRODUCT(COUNTIFS(pbp_PlayType,EM_Type,pbp_Pitcher,$B213)*EM_HBP))</f>
        <v/>
      </c>
      <c r="L213" s="42" t="str">
        <f>IF($B213="","",COUNTIFS(pbp_PlayType,"?*",pbp_Desc,"*struck out*",pbp_Pitcher,$B213))</f>
        <v/>
      </c>
      <c r="M213" s="42" t="str">
        <f>IF($B213="","",SUMIFS(pbp_Runs,pbp_Pitcher,$B213))</f>
        <v/>
      </c>
      <c r="N213" s="42" t="str">
        <f>IF($B213="","",SUMPRODUCT(COUNTIFS(pbp_PlayType,EM_Type,pbp_Pitcher,$B213)*EM_AB))</f>
        <v/>
      </c>
      <c r="O213" s="42" t="str">
        <f>IF($B213="","",SUMPRODUCT(COUNTIFS(pbp_PlayType,EM_Type,pbp_Pitcher,$B213)*EM_SF))</f>
        <v/>
      </c>
      <c r="P213" s="42" t="str">
        <f>IF($B213="","",SUMIFS(pbp_Pitches,pbp_Pitcher,$B213,pbp_PlayType,"?*"))</f>
        <v/>
      </c>
      <c r="Q213" s="60" t="str">
        <f t="shared" si="28"/>
        <v/>
      </c>
      <c r="R213" s="59" t="str">
        <f>IF($B213="","",IF(E213=0,"",1-SUMPRODUCT((pbp_Pitcher=$B213)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213)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13" s="59" t="str">
        <f>IF($B213="","",IF((SUMPRODUCT((pbp_Pitcher=$B213)*(LEN(pbp_PlayType)&gt;0)))=0,"",(SUMPRODUCT((pbp_Pitcher=$B213)*(LEN(pbp_PlayType)&gt;0)*ISNUMBER(MATCH(LEFT(TRIM(pbp_Seq)&amp;"/",FIND("/",TRIM(pbp_Seq)&amp;"/")-1),{"S","F","FT","FB","IN","MB","POS"},0))))/(SUMPRODUCT((pbp_Pitcher=$B213)*(LEN(pbp_PlayType)&gt;0)))))</f>
        <v/>
      </c>
      <c r="T213" s="59" t="str">
        <f t="shared" si="29"/>
        <v/>
      </c>
      <c r="U213" s="59" t="str">
        <f t="shared" si="30"/>
        <v/>
      </c>
      <c r="V213" s="59" t="str">
        <f t="shared" si="31"/>
        <v/>
      </c>
      <c r="W213" s="60" t="str">
        <f t="shared" si="32"/>
        <v/>
      </c>
      <c r="X213" s="60" t="str">
        <f t="shared" si="33"/>
        <v/>
      </c>
      <c r="Y213" s="58" t="str">
        <f t="shared" si="34"/>
        <v/>
      </c>
      <c r="Z213" s="58" t="str">
        <f t="shared" si="35"/>
        <v/>
      </c>
      <c r="AA213" s="62" t="str">
        <f>IF($B213="","",IF(OR(E213&lt;MinBF,X213=""),"",COUNTIFS($E$6:$E$255,"&gt;="&amp;MinBF,$X$6:$X$255,"&lt;"&amp;X213)+COUNTIFS($E$5:E212,"&gt;="&amp;MinBF,$X$5:X212,X213)+1))</f>
        <v/>
      </c>
    </row>
    <row r="214" spans="2:27" x14ac:dyDescent="0.2">
      <c r="B214" s="44" t="str">
        <f t="array" ref="B214">IFERROR(INDEX(pbp_Pitcher,MATCH(0,COUNTIF($B$5:B213,pbp_Pitcher)+(pbp_Pitcher=""),0)),"")</f>
        <v/>
      </c>
      <c r="C214" s="61" t="str">
        <f>IF($B214="","",IFERROR(INDEX(pbp_PitTeam,MATCH($B214,pbp_Pitcher,0)),""))</f>
        <v/>
      </c>
      <c r="D214" s="61" t="str">
        <f>IF($B214="","",IFERROR(INDEX(pbp_PitHand,MATCH($B214,pbp_Pitcher,0)),""))</f>
        <v/>
      </c>
      <c r="E214" s="42" t="str">
        <f>IF($B214="","",SUMPRODUCT(COUNTIFS(pbp_PlayType,EM_Type,pbp_Pitcher,$B214)*EM_PA))</f>
        <v/>
      </c>
      <c r="F214" s="42" t="str">
        <f>IF($B214="","",SUMIFS(pbp_Outs,pbp_Pitcher,$B214))</f>
        <v/>
      </c>
      <c r="G214" s="70" t="str">
        <f t="shared" si="27"/>
        <v/>
      </c>
      <c r="H214" s="42" t="str">
        <f>IF($B214="","",SUMPRODUCT(COUNTIFS(pbp_PlayType,EM_Type,pbp_Pitcher,$B214)*EM_H))</f>
        <v/>
      </c>
      <c r="I214" s="42" t="str">
        <f>IF($B214="","",SUMPRODUCT(COUNTIFS(pbp_PlayType,EM_Type,pbp_Pitcher,$B214)*EM_HR))</f>
        <v/>
      </c>
      <c r="J214" s="42" t="str">
        <f>IF($B214="","",SUMPRODUCT(COUNTIFS(pbp_PlayType,EM_Type,pbp_Pitcher,$B214)*EM_BB))</f>
        <v/>
      </c>
      <c r="K214" s="42" t="str">
        <f>IF($B214="","",SUMPRODUCT(COUNTIFS(pbp_PlayType,EM_Type,pbp_Pitcher,$B214)*EM_HBP))</f>
        <v/>
      </c>
      <c r="L214" s="42" t="str">
        <f>IF($B214="","",COUNTIFS(pbp_PlayType,"?*",pbp_Desc,"*struck out*",pbp_Pitcher,$B214))</f>
        <v/>
      </c>
      <c r="M214" s="42" t="str">
        <f>IF($B214="","",SUMIFS(pbp_Runs,pbp_Pitcher,$B214))</f>
        <v/>
      </c>
      <c r="N214" s="42" t="str">
        <f>IF($B214="","",SUMPRODUCT(COUNTIFS(pbp_PlayType,EM_Type,pbp_Pitcher,$B214)*EM_AB))</f>
        <v/>
      </c>
      <c r="O214" s="42" t="str">
        <f>IF($B214="","",SUMPRODUCT(COUNTIFS(pbp_PlayType,EM_Type,pbp_Pitcher,$B214)*EM_SF))</f>
        <v/>
      </c>
      <c r="P214" s="42" t="str">
        <f>IF($B214="","",SUMIFS(pbp_Pitches,pbp_Pitcher,$B214,pbp_PlayType,"?*"))</f>
        <v/>
      </c>
      <c r="Q214" s="60" t="str">
        <f t="shared" si="28"/>
        <v/>
      </c>
      <c r="R214" s="59" t="str">
        <f>IF($B214="","",IF(E214=0,"",1-SUMPRODUCT((pbp_Pitcher=$B214)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214)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14" s="59" t="str">
        <f>IF($B214="","",IF((SUMPRODUCT((pbp_Pitcher=$B214)*(LEN(pbp_PlayType)&gt;0)))=0,"",(SUMPRODUCT((pbp_Pitcher=$B214)*(LEN(pbp_PlayType)&gt;0)*ISNUMBER(MATCH(LEFT(TRIM(pbp_Seq)&amp;"/",FIND("/",TRIM(pbp_Seq)&amp;"/")-1),{"S","F","FT","FB","IN","MB","POS"},0))))/(SUMPRODUCT((pbp_Pitcher=$B214)*(LEN(pbp_PlayType)&gt;0)))))</f>
        <v/>
      </c>
      <c r="T214" s="59" t="str">
        <f t="shared" si="29"/>
        <v/>
      </c>
      <c r="U214" s="59" t="str">
        <f t="shared" si="30"/>
        <v/>
      </c>
      <c r="V214" s="59" t="str">
        <f t="shared" si="31"/>
        <v/>
      </c>
      <c r="W214" s="60" t="str">
        <f t="shared" si="32"/>
        <v/>
      </c>
      <c r="X214" s="60" t="str">
        <f t="shared" si="33"/>
        <v/>
      </c>
      <c r="Y214" s="58" t="str">
        <f t="shared" si="34"/>
        <v/>
      </c>
      <c r="Z214" s="58" t="str">
        <f t="shared" si="35"/>
        <v/>
      </c>
      <c r="AA214" s="62" t="str">
        <f>IF($B214="","",IF(OR(E214&lt;MinBF,X214=""),"",COUNTIFS($E$6:$E$255,"&gt;="&amp;MinBF,$X$6:$X$255,"&lt;"&amp;X214)+COUNTIFS($E$5:E213,"&gt;="&amp;MinBF,$X$5:X213,X214)+1))</f>
        <v/>
      </c>
    </row>
    <row r="215" spans="2:27" x14ac:dyDescent="0.2">
      <c r="B215" s="44" t="str">
        <f t="array" ref="B215">IFERROR(INDEX(pbp_Pitcher,MATCH(0,COUNTIF($B$5:B214,pbp_Pitcher)+(pbp_Pitcher=""),0)),"")</f>
        <v/>
      </c>
      <c r="C215" s="61" t="str">
        <f>IF($B215="","",IFERROR(INDEX(pbp_PitTeam,MATCH($B215,pbp_Pitcher,0)),""))</f>
        <v/>
      </c>
      <c r="D215" s="61" t="str">
        <f>IF($B215="","",IFERROR(INDEX(pbp_PitHand,MATCH($B215,pbp_Pitcher,0)),""))</f>
        <v/>
      </c>
      <c r="E215" s="42" t="str">
        <f>IF($B215="","",SUMPRODUCT(COUNTIFS(pbp_PlayType,EM_Type,pbp_Pitcher,$B215)*EM_PA))</f>
        <v/>
      </c>
      <c r="F215" s="42" t="str">
        <f>IF($B215="","",SUMIFS(pbp_Outs,pbp_Pitcher,$B215))</f>
        <v/>
      </c>
      <c r="G215" s="70" t="str">
        <f t="shared" si="27"/>
        <v/>
      </c>
      <c r="H215" s="42" t="str">
        <f>IF($B215="","",SUMPRODUCT(COUNTIFS(pbp_PlayType,EM_Type,pbp_Pitcher,$B215)*EM_H))</f>
        <v/>
      </c>
      <c r="I215" s="42" t="str">
        <f>IF($B215="","",SUMPRODUCT(COUNTIFS(pbp_PlayType,EM_Type,pbp_Pitcher,$B215)*EM_HR))</f>
        <v/>
      </c>
      <c r="J215" s="42" t="str">
        <f>IF($B215="","",SUMPRODUCT(COUNTIFS(pbp_PlayType,EM_Type,pbp_Pitcher,$B215)*EM_BB))</f>
        <v/>
      </c>
      <c r="K215" s="42" t="str">
        <f>IF($B215="","",SUMPRODUCT(COUNTIFS(pbp_PlayType,EM_Type,pbp_Pitcher,$B215)*EM_HBP))</f>
        <v/>
      </c>
      <c r="L215" s="42" t="str">
        <f>IF($B215="","",COUNTIFS(pbp_PlayType,"?*",pbp_Desc,"*struck out*",pbp_Pitcher,$B215))</f>
        <v/>
      </c>
      <c r="M215" s="42" t="str">
        <f>IF($B215="","",SUMIFS(pbp_Runs,pbp_Pitcher,$B215))</f>
        <v/>
      </c>
      <c r="N215" s="42" t="str">
        <f>IF($B215="","",SUMPRODUCT(COUNTIFS(pbp_PlayType,EM_Type,pbp_Pitcher,$B215)*EM_AB))</f>
        <v/>
      </c>
      <c r="O215" s="42" t="str">
        <f>IF($B215="","",SUMPRODUCT(COUNTIFS(pbp_PlayType,EM_Type,pbp_Pitcher,$B215)*EM_SF))</f>
        <v/>
      </c>
      <c r="P215" s="42" t="str">
        <f>IF($B215="","",SUMIFS(pbp_Pitches,pbp_Pitcher,$B215,pbp_PlayType,"?*"))</f>
        <v/>
      </c>
      <c r="Q215" s="60" t="str">
        <f t="shared" si="28"/>
        <v/>
      </c>
      <c r="R215" s="59" t="str">
        <f>IF($B215="","",IF(E215=0,"",1-SUMPRODUCT((pbp_Pitcher=$B215)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215)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15" s="59" t="str">
        <f>IF($B215="","",IF((SUMPRODUCT((pbp_Pitcher=$B215)*(LEN(pbp_PlayType)&gt;0)))=0,"",(SUMPRODUCT((pbp_Pitcher=$B215)*(LEN(pbp_PlayType)&gt;0)*ISNUMBER(MATCH(LEFT(TRIM(pbp_Seq)&amp;"/",FIND("/",TRIM(pbp_Seq)&amp;"/")-1),{"S","F","FT","FB","IN","MB","POS"},0))))/(SUMPRODUCT((pbp_Pitcher=$B215)*(LEN(pbp_PlayType)&gt;0)))))</f>
        <v/>
      </c>
      <c r="T215" s="59" t="str">
        <f t="shared" si="29"/>
        <v/>
      </c>
      <c r="U215" s="59" t="str">
        <f t="shared" si="30"/>
        <v/>
      </c>
      <c r="V215" s="59" t="str">
        <f t="shared" si="31"/>
        <v/>
      </c>
      <c r="W215" s="60" t="str">
        <f t="shared" si="32"/>
        <v/>
      </c>
      <c r="X215" s="60" t="str">
        <f t="shared" si="33"/>
        <v/>
      </c>
      <c r="Y215" s="58" t="str">
        <f t="shared" si="34"/>
        <v/>
      </c>
      <c r="Z215" s="58" t="str">
        <f t="shared" si="35"/>
        <v/>
      </c>
      <c r="AA215" s="62" t="str">
        <f>IF($B215="","",IF(OR(E215&lt;MinBF,X215=""),"",COUNTIFS($E$6:$E$255,"&gt;="&amp;MinBF,$X$6:$X$255,"&lt;"&amp;X215)+COUNTIFS($E$5:E214,"&gt;="&amp;MinBF,$X$5:X214,X215)+1))</f>
        <v/>
      </c>
    </row>
    <row r="216" spans="2:27" x14ac:dyDescent="0.2">
      <c r="B216" s="44" t="str">
        <f t="array" ref="B216">IFERROR(INDEX(pbp_Pitcher,MATCH(0,COUNTIF($B$5:B215,pbp_Pitcher)+(pbp_Pitcher=""),0)),"")</f>
        <v/>
      </c>
      <c r="C216" s="61" t="str">
        <f>IF($B216="","",IFERROR(INDEX(pbp_PitTeam,MATCH($B216,pbp_Pitcher,0)),""))</f>
        <v/>
      </c>
      <c r="D216" s="61" t="str">
        <f>IF($B216="","",IFERROR(INDEX(pbp_PitHand,MATCH($B216,pbp_Pitcher,0)),""))</f>
        <v/>
      </c>
      <c r="E216" s="42" t="str">
        <f>IF($B216="","",SUMPRODUCT(COUNTIFS(pbp_PlayType,EM_Type,pbp_Pitcher,$B216)*EM_PA))</f>
        <v/>
      </c>
      <c r="F216" s="42" t="str">
        <f>IF($B216="","",SUMIFS(pbp_Outs,pbp_Pitcher,$B216))</f>
        <v/>
      </c>
      <c r="G216" s="70" t="str">
        <f t="shared" si="27"/>
        <v/>
      </c>
      <c r="H216" s="42" t="str">
        <f>IF($B216="","",SUMPRODUCT(COUNTIFS(pbp_PlayType,EM_Type,pbp_Pitcher,$B216)*EM_H))</f>
        <v/>
      </c>
      <c r="I216" s="42" t="str">
        <f>IF($B216="","",SUMPRODUCT(COUNTIFS(pbp_PlayType,EM_Type,pbp_Pitcher,$B216)*EM_HR))</f>
        <v/>
      </c>
      <c r="J216" s="42" t="str">
        <f>IF($B216="","",SUMPRODUCT(COUNTIFS(pbp_PlayType,EM_Type,pbp_Pitcher,$B216)*EM_BB))</f>
        <v/>
      </c>
      <c r="K216" s="42" t="str">
        <f>IF($B216="","",SUMPRODUCT(COUNTIFS(pbp_PlayType,EM_Type,pbp_Pitcher,$B216)*EM_HBP))</f>
        <v/>
      </c>
      <c r="L216" s="42" t="str">
        <f>IF($B216="","",COUNTIFS(pbp_PlayType,"?*",pbp_Desc,"*struck out*",pbp_Pitcher,$B216))</f>
        <v/>
      </c>
      <c r="M216" s="42" t="str">
        <f>IF($B216="","",SUMIFS(pbp_Runs,pbp_Pitcher,$B216))</f>
        <v/>
      </c>
      <c r="N216" s="42" t="str">
        <f>IF($B216="","",SUMPRODUCT(COUNTIFS(pbp_PlayType,EM_Type,pbp_Pitcher,$B216)*EM_AB))</f>
        <v/>
      </c>
      <c r="O216" s="42" t="str">
        <f>IF($B216="","",SUMPRODUCT(COUNTIFS(pbp_PlayType,EM_Type,pbp_Pitcher,$B216)*EM_SF))</f>
        <v/>
      </c>
      <c r="P216" s="42" t="str">
        <f>IF($B216="","",SUMIFS(pbp_Pitches,pbp_Pitcher,$B216,pbp_PlayType,"?*"))</f>
        <v/>
      </c>
      <c r="Q216" s="60" t="str">
        <f t="shared" si="28"/>
        <v/>
      </c>
      <c r="R216" s="59" t="str">
        <f>IF($B216="","",IF(E216=0,"",1-SUMPRODUCT((pbp_Pitcher=$B216)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216)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16" s="59" t="str">
        <f>IF($B216="","",IF((SUMPRODUCT((pbp_Pitcher=$B216)*(LEN(pbp_PlayType)&gt;0)))=0,"",(SUMPRODUCT((pbp_Pitcher=$B216)*(LEN(pbp_PlayType)&gt;0)*ISNUMBER(MATCH(LEFT(TRIM(pbp_Seq)&amp;"/",FIND("/",TRIM(pbp_Seq)&amp;"/")-1),{"S","F","FT","FB","IN","MB","POS"},0))))/(SUMPRODUCT((pbp_Pitcher=$B216)*(LEN(pbp_PlayType)&gt;0)))))</f>
        <v/>
      </c>
      <c r="T216" s="59" t="str">
        <f t="shared" si="29"/>
        <v/>
      </c>
      <c r="U216" s="59" t="str">
        <f t="shared" si="30"/>
        <v/>
      </c>
      <c r="V216" s="59" t="str">
        <f t="shared" si="31"/>
        <v/>
      </c>
      <c r="W216" s="60" t="str">
        <f t="shared" si="32"/>
        <v/>
      </c>
      <c r="X216" s="60" t="str">
        <f t="shared" si="33"/>
        <v/>
      </c>
      <c r="Y216" s="58" t="str">
        <f t="shared" si="34"/>
        <v/>
      </c>
      <c r="Z216" s="58" t="str">
        <f t="shared" si="35"/>
        <v/>
      </c>
      <c r="AA216" s="62" t="str">
        <f>IF($B216="","",IF(OR(E216&lt;MinBF,X216=""),"",COUNTIFS($E$6:$E$255,"&gt;="&amp;MinBF,$X$6:$X$255,"&lt;"&amp;X216)+COUNTIFS($E$5:E215,"&gt;="&amp;MinBF,$X$5:X215,X216)+1))</f>
        <v/>
      </c>
    </row>
    <row r="217" spans="2:27" x14ac:dyDescent="0.2">
      <c r="B217" s="44" t="str">
        <f t="array" ref="B217">IFERROR(INDEX(pbp_Pitcher,MATCH(0,COUNTIF($B$5:B216,pbp_Pitcher)+(pbp_Pitcher=""),0)),"")</f>
        <v/>
      </c>
      <c r="C217" s="61" t="str">
        <f>IF($B217="","",IFERROR(INDEX(pbp_PitTeam,MATCH($B217,pbp_Pitcher,0)),""))</f>
        <v/>
      </c>
      <c r="D217" s="61" t="str">
        <f>IF($B217="","",IFERROR(INDEX(pbp_PitHand,MATCH($B217,pbp_Pitcher,0)),""))</f>
        <v/>
      </c>
      <c r="E217" s="42" t="str">
        <f>IF($B217="","",SUMPRODUCT(COUNTIFS(pbp_PlayType,EM_Type,pbp_Pitcher,$B217)*EM_PA))</f>
        <v/>
      </c>
      <c r="F217" s="42" t="str">
        <f>IF($B217="","",SUMIFS(pbp_Outs,pbp_Pitcher,$B217))</f>
        <v/>
      </c>
      <c r="G217" s="70" t="str">
        <f t="shared" si="27"/>
        <v/>
      </c>
      <c r="H217" s="42" t="str">
        <f>IF($B217="","",SUMPRODUCT(COUNTIFS(pbp_PlayType,EM_Type,pbp_Pitcher,$B217)*EM_H))</f>
        <v/>
      </c>
      <c r="I217" s="42" t="str">
        <f>IF($B217="","",SUMPRODUCT(COUNTIFS(pbp_PlayType,EM_Type,pbp_Pitcher,$B217)*EM_HR))</f>
        <v/>
      </c>
      <c r="J217" s="42" t="str">
        <f>IF($B217="","",SUMPRODUCT(COUNTIFS(pbp_PlayType,EM_Type,pbp_Pitcher,$B217)*EM_BB))</f>
        <v/>
      </c>
      <c r="K217" s="42" t="str">
        <f>IF($B217="","",SUMPRODUCT(COUNTIFS(pbp_PlayType,EM_Type,pbp_Pitcher,$B217)*EM_HBP))</f>
        <v/>
      </c>
      <c r="L217" s="42" t="str">
        <f>IF($B217="","",COUNTIFS(pbp_PlayType,"?*",pbp_Desc,"*struck out*",pbp_Pitcher,$B217))</f>
        <v/>
      </c>
      <c r="M217" s="42" t="str">
        <f>IF($B217="","",SUMIFS(pbp_Runs,pbp_Pitcher,$B217))</f>
        <v/>
      </c>
      <c r="N217" s="42" t="str">
        <f>IF($B217="","",SUMPRODUCT(COUNTIFS(pbp_PlayType,EM_Type,pbp_Pitcher,$B217)*EM_AB))</f>
        <v/>
      </c>
      <c r="O217" s="42" t="str">
        <f>IF($B217="","",SUMPRODUCT(COUNTIFS(pbp_PlayType,EM_Type,pbp_Pitcher,$B217)*EM_SF))</f>
        <v/>
      </c>
      <c r="P217" s="42" t="str">
        <f>IF($B217="","",SUMIFS(pbp_Pitches,pbp_Pitcher,$B217,pbp_PlayType,"?*"))</f>
        <v/>
      </c>
      <c r="Q217" s="60" t="str">
        <f t="shared" si="28"/>
        <v/>
      </c>
      <c r="R217" s="59" t="str">
        <f>IF($B217="","",IF(E217=0,"",1-SUMPRODUCT((pbp_Pitcher=$B217)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217)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17" s="59" t="str">
        <f>IF($B217="","",IF((SUMPRODUCT((pbp_Pitcher=$B217)*(LEN(pbp_PlayType)&gt;0)))=0,"",(SUMPRODUCT((pbp_Pitcher=$B217)*(LEN(pbp_PlayType)&gt;0)*ISNUMBER(MATCH(LEFT(TRIM(pbp_Seq)&amp;"/",FIND("/",TRIM(pbp_Seq)&amp;"/")-1),{"S","F","FT","FB","IN","MB","POS"},0))))/(SUMPRODUCT((pbp_Pitcher=$B217)*(LEN(pbp_PlayType)&gt;0)))))</f>
        <v/>
      </c>
      <c r="T217" s="59" t="str">
        <f t="shared" si="29"/>
        <v/>
      </c>
      <c r="U217" s="59" t="str">
        <f t="shared" si="30"/>
        <v/>
      </c>
      <c r="V217" s="59" t="str">
        <f t="shared" si="31"/>
        <v/>
      </c>
      <c r="W217" s="60" t="str">
        <f t="shared" si="32"/>
        <v/>
      </c>
      <c r="X217" s="60" t="str">
        <f t="shared" si="33"/>
        <v/>
      </c>
      <c r="Y217" s="58" t="str">
        <f t="shared" si="34"/>
        <v/>
      </c>
      <c r="Z217" s="58" t="str">
        <f t="shared" si="35"/>
        <v/>
      </c>
      <c r="AA217" s="62" t="str">
        <f>IF($B217="","",IF(OR(E217&lt;MinBF,X217=""),"",COUNTIFS($E$6:$E$255,"&gt;="&amp;MinBF,$X$6:$X$255,"&lt;"&amp;X217)+COUNTIFS($E$5:E216,"&gt;="&amp;MinBF,$X$5:X216,X217)+1))</f>
        <v/>
      </c>
    </row>
    <row r="218" spans="2:27" x14ac:dyDescent="0.2">
      <c r="B218" s="44" t="str">
        <f t="array" ref="B218">IFERROR(INDEX(pbp_Pitcher,MATCH(0,COUNTIF($B$5:B217,pbp_Pitcher)+(pbp_Pitcher=""),0)),"")</f>
        <v/>
      </c>
      <c r="C218" s="61" t="str">
        <f>IF($B218="","",IFERROR(INDEX(pbp_PitTeam,MATCH($B218,pbp_Pitcher,0)),""))</f>
        <v/>
      </c>
      <c r="D218" s="61" t="str">
        <f>IF($B218="","",IFERROR(INDEX(pbp_PitHand,MATCH($B218,pbp_Pitcher,0)),""))</f>
        <v/>
      </c>
      <c r="E218" s="42" t="str">
        <f>IF($B218="","",SUMPRODUCT(COUNTIFS(pbp_PlayType,EM_Type,pbp_Pitcher,$B218)*EM_PA))</f>
        <v/>
      </c>
      <c r="F218" s="42" t="str">
        <f>IF($B218="","",SUMIFS(pbp_Outs,pbp_Pitcher,$B218))</f>
        <v/>
      </c>
      <c r="G218" s="70" t="str">
        <f t="shared" si="27"/>
        <v/>
      </c>
      <c r="H218" s="42" t="str">
        <f>IF($B218="","",SUMPRODUCT(COUNTIFS(pbp_PlayType,EM_Type,pbp_Pitcher,$B218)*EM_H))</f>
        <v/>
      </c>
      <c r="I218" s="42" t="str">
        <f>IF($B218="","",SUMPRODUCT(COUNTIFS(pbp_PlayType,EM_Type,pbp_Pitcher,$B218)*EM_HR))</f>
        <v/>
      </c>
      <c r="J218" s="42" t="str">
        <f>IF($B218="","",SUMPRODUCT(COUNTIFS(pbp_PlayType,EM_Type,pbp_Pitcher,$B218)*EM_BB))</f>
        <v/>
      </c>
      <c r="K218" s="42" t="str">
        <f>IF($B218="","",SUMPRODUCT(COUNTIFS(pbp_PlayType,EM_Type,pbp_Pitcher,$B218)*EM_HBP))</f>
        <v/>
      </c>
      <c r="L218" s="42" t="str">
        <f>IF($B218="","",COUNTIFS(pbp_PlayType,"?*",pbp_Desc,"*struck out*",pbp_Pitcher,$B218))</f>
        <v/>
      </c>
      <c r="M218" s="42" t="str">
        <f>IF($B218="","",SUMIFS(pbp_Runs,pbp_Pitcher,$B218))</f>
        <v/>
      </c>
      <c r="N218" s="42" t="str">
        <f>IF($B218="","",SUMPRODUCT(COUNTIFS(pbp_PlayType,EM_Type,pbp_Pitcher,$B218)*EM_AB))</f>
        <v/>
      </c>
      <c r="O218" s="42" t="str">
        <f>IF($B218="","",SUMPRODUCT(COUNTIFS(pbp_PlayType,EM_Type,pbp_Pitcher,$B218)*EM_SF))</f>
        <v/>
      </c>
      <c r="P218" s="42" t="str">
        <f>IF($B218="","",SUMIFS(pbp_Pitches,pbp_Pitcher,$B218,pbp_PlayType,"?*"))</f>
        <v/>
      </c>
      <c r="Q218" s="60" t="str">
        <f t="shared" si="28"/>
        <v/>
      </c>
      <c r="R218" s="59" t="str">
        <f>IF($B218="","",IF(E218=0,"",1-SUMPRODUCT((pbp_Pitcher=$B218)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218)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18" s="59" t="str">
        <f>IF($B218="","",IF((SUMPRODUCT((pbp_Pitcher=$B218)*(LEN(pbp_PlayType)&gt;0)))=0,"",(SUMPRODUCT((pbp_Pitcher=$B218)*(LEN(pbp_PlayType)&gt;0)*ISNUMBER(MATCH(LEFT(TRIM(pbp_Seq)&amp;"/",FIND("/",TRIM(pbp_Seq)&amp;"/")-1),{"S","F","FT","FB","IN","MB","POS"},0))))/(SUMPRODUCT((pbp_Pitcher=$B218)*(LEN(pbp_PlayType)&gt;0)))))</f>
        <v/>
      </c>
      <c r="T218" s="59" t="str">
        <f t="shared" si="29"/>
        <v/>
      </c>
      <c r="U218" s="59" t="str">
        <f t="shared" si="30"/>
        <v/>
      </c>
      <c r="V218" s="59" t="str">
        <f t="shared" si="31"/>
        <v/>
      </c>
      <c r="W218" s="60" t="str">
        <f t="shared" si="32"/>
        <v/>
      </c>
      <c r="X218" s="60" t="str">
        <f t="shared" si="33"/>
        <v/>
      </c>
      <c r="Y218" s="58" t="str">
        <f t="shared" si="34"/>
        <v/>
      </c>
      <c r="Z218" s="58" t="str">
        <f t="shared" si="35"/>
        <v/>
      </c>
      <c r="AA218" s="62" t="str">
        <f>IF($B218="","",IF(OR(E218&lt;MinBF,X218=""),"",COUNTIFS($E$6:$E$255,"&gt;="&amp;MinBF,$X$6:$X$255,"&lt;"&amp;X218)+COUNTIFS($E$5:E217,"&gt;="&amp;MinBF,$X$5:X217,X218)+1))</f>
        <v/>
      </c>
    </row>
    <row r="219" spans="2:27" x14ac:dyDescent="0.2">
      <c r="B219" s="44" t="str">
        <f t="array" ref="B219">IFERROR(INDEX(pbp_Pitcher,MATCH(0,COUNTIF($B$5:B218,pbp_Pitcher)+(pbp_Pitcher=""),0)),"")</f>
        <v/>
      </c>
      <c r="C219" s="61" t="str">
        <f>IF($B219="","",IFERROR(INDEX(pbp_PitTeam,MATCH($B219,pbp_Pitcher,0)),""))</f>
        <v/>
      </c>
      <c r="D219" s="61" t="str">
        <f>IF($B219="","",IFERROR(INDEX(pbp_PitHand,MATCH($B219,pbp_Pitcher,0)),""))</f>
        <v/>
      </c>
      <c r="E219" s="42" t="str">
        <f>IF($B219="","",SUMPRODUCT(COUNTIFS(pbp_PlayType,EM_Type,pbp_Pitcher,$B219)*EM_PA))</f>
        <v/>
      </c>
      <c r="F219" s="42" t="str">
        <f>IF($B219="","",SUMIFS(pbp_Outs,pbp_Pitcher,$B219))</f>
        <v/>
      </c>
      <c r="G219" s="70" t="str">
        <f t="shared" si="27"/>
        <v/>
      </c>
      <c r="H219" s="42" t="str">
        <f>IF($B219="","",SUMPRODUCT(COUNTIFS(pbp_PlayType,EM_Type,pbp_Pitcher,$B219)*EM_H))</f>
        <v/>
      </c>
      <c r="I219" s="42" t="str">
        <f>IF($B219="","",SUMPRODUCT(COUNTIFS(pbp_PlayType,EM_Type,pbp_Pitcher,$B219)*EM_HR))</f>
        <v/>
      </c>
      <c r="J219" s="42" t="str">
        <f>IF($B219="","",SUMPRODUCT(COUNTIFS(pbp_PlayType,EM_Type,pbp_Pitcher,$B219)*EM_BB))</f>
        <v/>
      </c>
      <c r="K219" s="42" t="str">
        <f>IF($B219="","",SUMPRODUCT(COUNTIFS(pbp_PlayType,EM_Type,pbp_Pitcher,$B219)*EM_HBP))</f>
        <v/>
      </c>
      <c r="L219" s="42" t="str">
        <f>IF($B219="","",COUNTIFS(pbp_PlayType,"?*",pbp_Desc,"*struck out*",pbp_Pitcher,$B219))</f>
        <v/>
      </c>
      <c r="M219" s="42" t="str">
        <f>IF($B219="","",SUMIFS(pbp_Runs,pbp_Pitcher,$B219))</f>
        <v/>
      </c>
      <c r="N219" s="42" t="str">
        <f>IF($B219="","",SUMPRODUCT(COUNTIFS(pbp_PlayType,EM_Type,pbp_Pitcher,$B219)*EM_AB))</f>
        <v/>
      </c>
      <c r="O219" s="42" t="str">
        <f>IF($B219="","",SUMPRODUCT(COUNTIFS(pbp_PlayType,EM_Type,pbp_Pitcher,$B219)*EM_SF))</f>
        <v/>
      </c>
      <c r="P219" s="42" t="str">
        <f>IF($B219="","",SUMIFS(pbp_Pitches,pbp_Pitcher,$B219,pbp_PlayType,"?*"))</f>
        <v/>
      </c>
      <c r="Q219" s="60" t="str">
        <f t="shared" si="28"/>
        <v/>
      </c>
      <c r="R219" s="59" t="str">
        <f>IF($B219="","",IF(E219=0,"",1-SUMPRODUCT((pbp_Pitcher=$B219)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219)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19" s="59" t="str">
        <f>IF($B219="","",IF((SUMPRODUCT((pbp_Pitcher=$B219)*(LEN(pbp_PlayType)&gt;0)))=0,"",(SUMPRODUCT((pbp_Pitcher=$B219)*(LEN(pbp_PlayType)&gt;0)*ISNUMBER(MATCH(LEFT(TRIM(pbp_Seq)&amp;"/",FIND("/",TRIM(pbp_Seq)&amp;"/")-1),{"S","F","FT","FB","IN","MB","POS"},0))))/(SUMPRODUCT((pbp_Pitcher=$B219)*(LEN(pbp_PlayType)&gt;0)))))</f>
        <v/>
      </c>
      <c r="T219" s="59" t="str">
        <f t="shared" si="29"/>
        <v/>
      </c>
      <c r="U219" s="59" t="str">
        <f t="shared" si="30"/>
        <v/>
      </c>
      <c r="V219" s="59" t="str">
        <f t="shared" si="31"/>
        <v/>
      </c>
      <c r="W219" s="60" t="str">
        <f t="shared" si="32"/>
        <v/>
      </c>
      <c r="X219" s="60" t="str">
        <f t="shared" si="33"/>
        <v/>
      </c>
      <c r="Y219" s="58" t="str">
        <f t="shared" si="34"/>
        <v/>
      </c>
      <c r="Z219" s="58" t="str">
        <f t="shared" si="35"/>
        <v/>
      </c>
      <c r="AA219" s="62" t="str">
        <f>IF($B219="","",IF(OR(E219&lt;MinBF,X219=""),"",COUNTIFS($E$6:$E$255,"&gt;="&amp;MinBF,$X$6:$X$255,"&lt;"&amp;X219)+COUNTIFS($E$5:E218,"&gt;="&amp;MinBF,$X$5:X218,X219)+1))</f>
        <v/>
      </c>
    </row>
    <row r="220" spans="2:27" x14ac:dyDescent="0.2">
      <c r="B220" s="44" t="str">
        <f t="array" ref="B220">IFERROR(INDEX(pbp_Pitcher,MATCH(0,COUNTIF($B$5:B219,pbp_Pitcher)+(pbp_Pitcher=""),0)),"")</f>
        <v/>
      </c>
      <c r="C220" s="61" t="str">
        <f>IF($B220="","",IFERROR(INDEX(pbp_PitTeam,MATCH($B220,pbp_Pitcher,0)),""))</f>
        <v/>
      </c>
      <c r="D220" s="61" t="str">
        <f>IF($B220="","",IFERROR(INDEX(pbp_PitHand,MATCH($B220,pbp_Pitcher,0)),""))</f>
        <v/>
      </c>
      <c r="E220" s="42" t="str">
        <f>IF($B220="","",SUMPRODUCT(COUNTIFS(pbp_PlayType,EM_Type,pbp_Pitcher,$B220)*EM_PA))</f>
        <v/>
      </c>
      <c r="F220" s="42" t="str">
        <f>IF($B220="","",SUMIFS(pbp_Outs,pbp_Pitcher,$B220))</f>
        <v/>
      </c>
      <c r="G220" s="70" t="str">
        <f t="shared" si="27"/>
        <v/>
      </c>
      <c r="H220" s="42" t="str">
        <f>IF($B220="","",SUMPRODUCT(COUNTIFS(pbp_PlayType,EM_Type,pbp_Pitcher,$B220)*EM_H))</f>
        <v/>
      </c>
      <c r="I220" s="42" t="str">
        <f>IF($B220="","",SUMPRODUCT(COUNTIFS(pbp_PlayType,EM_Type,pbp_Pitcher,$B220)*EM_HR))</f>
        <v/>
      </c>
      <c r="J220" s="42" t="str">
        <f>IF($B220="","",SUMPRODUCT(COUNTIFS(pbp_PlayType,EM_Type,pbp_Pitcher,$B220)*EM_BB))</f>
        <v/>
      </c>
      <c r="K220" s="42" t="str">
        <f>IF($B220="","",SUMPRODUCT(COUNTIFS(pbp_PlayType,EM_Type,pbp_Pitcher,$B220)*EM_HBP))</f>
        <v/>
      </c>
      <c r="L220" s="42" t="str">
        <f>IF($B220="","",COUNTIFS(pbp_PlayType,"?*",pbp_Desc,"*struck out*",pbp_Pitcher,$B220))</f>
        <v/>
      </c>
      <c r="M220" s="42" t="str">
        <f>IF($B220="","",SUMIFS(pbp_Runs,pbp_Pitcher,$B220))</f>
        <v/>
      </c>
      <c r="N220" s="42" t="str">
        <f>IF($B220="","",SUMPRODUCT(COUNTIFS(pbp_PlayType,EM_Type,pbp_Pitcher,$B220)*EM_AB))</f>
        <v/>
      </c>
      <c r="O220" s="42" t="str">
        <f>IF($B220="","",SUMPRODUCT(COUNTIFS(pbp_PlayType,EM_Type,pbp_Pitcher,$B220)*EM_SF))</f>
        <v/>
      </c>
      <c r="P220" s="42" t="str">
        <f>IF($B220="","",SUMIFS(pbp_Pitches,pbp_Pitcher,$B220,pbp_PlayType,"?*"))</f>
        <v/>
      </c>
      <c r="Q220" s="60" t="str">
        <f t="shared" si="28"/>
        <v/>
      </c>
      <c r="R220" s="59" t="str">
        <f>IF($B220="","",IF(E220=0,"",1-SUMPRODUCT((pbp_Pitcher=$B220)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220)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20" s="59" t="str">
        <f>IF($B220="","",IF((SUMPRODUCT((pbp_Pitcher=$B220)*(LEN(pbp_PlayType)&gt;0)))=0,"",(SUMPRODUCT((pbp_Pitcher=$B220)*(LEN(pbp_PlayType)&gt;0)*ISNUMBER(MATCH(LEFT(TRIM(pbp_Seq)&amp;"/",FIND("/",TRIM(pbp_Seq)&amp;"/")-1),{"S","F","FT","FB","IN","MB","POS"},0))))/(SUMPRODUCT((pbp_Pitcher=$B220)*(LEN(pbp_PlayType)&gt;0)))))</f>
        <v/>
      </c>
      <c r="T220" s="59" t="str">
        <f t="shared" si="29"/>
        <v/>
      </c>
      <c r="U220" s="59" t="str">
        <f t="shared" si="30"/>
        <v/>
      </c>
      <c r="V220" s="59" t="str">
        <f t="shared" si="31"/>
        <v/>
      </c>
      <c r="W220" s="60" t="str">
        <f t="shared" si="32"/>
        <v/>
      </c>
      <c r="X220" s="60" t="str">
        <f t="shared" si="33"/>
        <v/>
      </c>
      <c r="Y220" s="58" t="str">
        <f t="shared" si="34"/>
        <v/>
      </c>
      <c r="Z220" s="58" t="str">
        <f t="shared" si="35"/>
        <v/>
      </c>
      <c r="AA220" s="62" t="str">
        <f>IF($B220="","",IF(OR(E220&lt;MinBF,X220=""),"",COUNTIFS($E$6:$E$255,"&gt;="&amp;MinBF,$X$6:$X$255,"&lt;"&amp;X220)+COUNTIFS($E$5:E219,"&gt;="&amp;MinBF,$X$5:X219,X220)+1))</f>
        <v/>
      </c>
    </row>
    <row r="221" spans="2:27" x14ac:dyDescent="0.2">
      <c r="B221" s="44" t="str">
        <f t="array" ref="B221">IFERROR(INDEX(pbp_Pitcher,MATCH(0,COUNTIF($B$5:B220,pbp_Pitcher)+(pbp_Pitcher=""),0)),"")</f>
        <v/>
      </c>
      <c r="C221" s="61" t="str">
        <f>IF($B221="","",IFERROR(INDEX(pbp_PitTeam,MATCH($B221,pbp_Pitcher,0)),""))</f>
        <v/>
      </c>
      <c r="D221" s="61" t="str">
        <f>IF($B221="","",IFERROR(INDEX(pbp_PitHand,MATCH($B221,pbp_Pitcher,0)),""))</f>
        <v/>
      </c>
      <c r="E221" s="42" t="str">
        <f>IF($B221="","",SUMPRODUCT(COUNTIFS(pbp_PlayType,EM_Type,pbp_Pitcher,$B221)*EM_PA))</f>
        <v/>
      </c>
      <c r="F221" s="42" t="str">
        <f>IF($B221="","",SUMIFS(pbp_Outs,pbp_Pitcher,$B221))</f>
        <v/>
      </c>
      <c r="G221" s="70" t="str">
        <f t="shared" si="27"/>
        <v/>
      </c>
      <c r="H221" s="42" t="str">
        <f>IF($B221="","",SUMPRODUCT(COUNTIFS(pbp_PlayType,EM_Type,pbp_Pitcher,$B221)*EM_H))</f>
        <v/>
      </c>
      <c r="I221" s="42" t="str">
        <f>IF($B221="","",SUMPRODUCT(COUNTIFS(pbp_PlayType,EM_Type,pbp_Pitcher,$B221)*EM_HR))</f>
        <v/>
      </c>
      <c r="J221" s="42" t="str">
        <f>IF($B221="","",SUMPRODUCT(COUNTIFS(pbp_PlayType,EM_Type,pbp_Pitcher,$B221)*EM_BB))</f>
        <v/>
      </c>
      <c r="K221" s="42" t="str">
        <f>IF($B221="","",SUMPRODUCT(COUNTIFS(pbp_PlayType,EM_Type,pbp_Pitcher,$B221)*EM_HBP))</f>
        <v/>
      </c>
      <c r="L221" s="42" t="str">
        <f>IF($B221="","",COUNTIFS(pbp_PlayType,"?*",pbp_Desc,"*struck out*",pbp_Pitcher,$B221))</f>
        <v/>
      </c>
      <c r="M221" s="42" t="str">
        <f>IF($B221="","",SUMIFS(pbp_Runs,pbp_Pitcher,$B221))</f>
        <v/>
      </c>
      <c r="N221" s="42" t="str">
        <f>IF($B221="","",SUMPRODUCT(COUNTIFS(pbp_PlayType,EM_Type,pbp_Pitcher,$B221)*EM_AB))</f>
        <v/>
      </c>
      <c r="O221" s="42" t="str">
        <f>IF($B221="","",SUMPRODUCT(COUNTIFS(pbp_PlayType,EM_Type,pbp_Pitcher,$B221)*EM_SF))</f>
        <v/>
      </c>
      <c r="P221" s="42" t="str">
        <f>IF($B221="","",SUMIFS(pbp_Pitches,pbp_Pitcher,$B221,pbp_PlayType,"?*"))</f>
        <v/>
      </c>
      <c r="Q221" s="60" t="str">
        <f t="shared" si="28"/>
        <v/>
      </c>
      <c r="R221" s="59" t="str">
        <f>IF($B221="","",IF(E221=0,"",1-SUMPRODUCT((pbp_Pitcher=$B221)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221)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21" s="59" t="str">
        <f>IF($B221="","",IF((SUMPRODUCT((pbp_Pitcher=$B221)*(LEN(pbp_PlayType)&gt;0)))=0,"",(SUMPRODUCT((pbp_Pitcher=$B221)*(LEN(pbp_PlayType)&gt;0)*ISNUMBER(MATCH(LEFT(TRIM(pbp_Seq)&amp;"/",FIND("/",TRIM(pbp_Seq)&amp;"/")-1),{"S","F","FT","FB","IN","MB","POS"},0))))/(SUMPRODUCT((pbp_Pitcher=$B221)*(LEN(pbp_PlayType)&gt;0)))))</f>
        <v/>
      </c>
      <c r="T221" s="59" t="str">
        <f t="shared" si="29"/>
        <v/>
      </c>
      <c r="U221" s="59" t="str">
        <f t="shared" si="30"/>
        <v/>
      </c>
      <c r="V221" s="59" t="str">
        <f t="shared" si="31"/>
        <v/>
      </c>
      <c r="W221" s="60" t="str">
        <f t="shared" si="32"/>
        <v/>
      </c>
      <c r="X221" s="60" t="str">
        <f t="shared" si="33"/>
        <v/>
      </c>
      <c r="Y221" s="58" t="str">
        <f t="shared" si="34"/>
        <v/>
      </c>
      <c r="Z221" s="58" t="str">
        <f t="shared" si="35"/>
        <v/>
      </c>
      <c r="AA221" s="62" t="str">
        <f>IF($B221="","",IF(OR(E221&lt;MinBF,X221=""),"",COUNTIFS($E$6:$E$255,"&gt;="&amp;MinBF,$X$6:$X$255,"&lt;"&amp;X221)+COUNTIFS($E$5:E220,"&gt;="&amp;MinBF,$X$5:X220,X221)+1))</f>
        <v/>
      </c>
    </row>
    <row r="222" spans="2:27" x14ac:dyDescent="0.2">
      <c r="B222" s="44" t="str">
        <f t="array" ref="B222">IFERROR(INDEX(pbp_Pitcher,MATCH(0,COUNTIF($B$5:B221,pbp_Pitcher)+(pbp_Pitcher=""),0)),"")</f>
        <v/>
      </c>
      <c r="C222" s="61" t="str">
        <f>IF($B222="","",IFERROR(INDEX(pbp_PitTeam,MATCH($B222,pbp_Pitcher,0)),""))</f>
        <v/>
      </c>
      <c r="D222" s="61" t="str">
        <f>IF($B222="","",IFERROR(INDEX(pbp_PitHand,MATCH($B222,pbp_Pitcher,0)),""))</f>
        <v/>
      </c>
      <c r="E222" s="42" t="str">
        <f>IF($B222="","",SUMPRODUCT(COUNTIFS(pbp_PlayType,EM_Type,pbp_Pitcher,$B222)*EM_PA))</f>
        <v/>
      </c>
      <c r="F222" s="42" t="str">
        <f>IF($B222="","",SUMIFS(pbp_Outs,pbp_Pitcher,$B222))</f>
        <v/>
      </c>
      <c r="G222" s="70" t="str">
        <f t="shared" si="27"/>
        <v/>
      </c>
      <c r="H222" s="42" t="str">
        <f>IF($B222="","",SUMPRODUCT(COUNTIFS(pbp_PlayType,EM_Type,pbp_Pitcher,$B222)*EM_H))</f>
        <v/>
      </c>
      <c r="I222" s="42" t="str">
        <f>IF($B222="","",SUMPRODUCT(COUNTIFS(pbp_PlayType,EM_Type,pbp_Pitcher,$B222)*EM_HR))</f>
        <v/>
      </c>
      <c r="J222" s="42" t="str">
        <f>IF($B222="","",SUMPRODUCT(COUNTIFS(pbp_PlayType,EM_Type,pbp_Pitcher,$B222)*EM_BB))</f>
        <v/>
      </c>
      <c r="K222" s="42" t="str">
        <f>IF($B222="","",SUMPRODUCT(COUNTIFS(pbp_PlayType,EM_Type,pbp_Pitcher,$B222)*EM_HBP))</f>
        <v/>
      </c>
      <c r="L222" s="42" t="str">
        <f>IF($B222="","",COUNTIFS(pbp_PlayType,"?*",pbp_Desc,"*struck out*",pbp_Pitcher,$B222))</f>
        <v/>
      </c>
      <c r="M222" s="42" t="str">
        <f>IF($B222="","",SUMIFS(pbp_Runs,pbp_Pitcher,$B222))</f>
        <v/>
      </c>
      <c r="N222" s="42" t="str">
        <f>IF($B222="","",SUMPRODUCT(COUNTIFS(pbp_PlayType,EM_Type,pbp_Pitcher,$B222)*EM_AB))</f>
        <v/>
      </c>
      <c r="O222" s="42" t="str">
        <f>IF($B222="","",SUMPRODUCT(COUNTIFS(pbp_PlayType,EM_Type,pbp_Pitcher,$B222)*EM_SF))</f>
        <v/>
      </c>
      <c r="P222" s="42" t="str">
        <f>IF($B222="","",SUMIFS(pbp_Pitches,pbp_Pitcher,$B222,pbp_PlayType,"?*"))</f>
        <v/>
      </c>
      <c r="Q222" s="60" t="str">
        <f t="shared" si="28"/>
        <v/>
      </c>
      <c r="R222" s="59" t="str">
        <f>IF($B222="","",IF(E222=0,"",1-SUMPRODUCT((pbp_Pitcher=$B222)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222)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22" s="59" t="str">
        <f>IF($B222="","",IF((SUMPRODUCT((pbp_Pitcher=$B222)*(LEN(pbp_PlayType)&gt;0)))=0,"",(SUMPRODUCT((pbp_Pitcher=$B222)*(LEN(pbp_PlayType)&gt;0)*ISNUMBER(MATCH(LEFT(TRIM(pbp_Seq)&amp;"/",FIND("/",TRIM(pbp_Seq)&amp;"/")-1),{"S","F","FT","FB","IN","MB","POS"},0))))/(SUMPRODUCT((pbp_Pitcher=$B222)*(LEN(pbp_PlayType)&gt;0)))))</f>
        <v/>
      </c>
      <c r="T222" s="59" t="str">
        <f t="shared" si="29"/>
        <v/>
      </c>
      <c r="U222" s="59" t="str">
        <f t="shared" si="30"/>
        <v/>
      </c>
      <c r="V222" s="59" t="str">
        <f t="shared" si="31"/>
        <v/>
      </c>
      <c r="W222" s="60" t="str">
        <f t="shared" si="32"/>
        <v/>
      </c>
      <c r="X222" s="60" t="str">
        <f t="shared" si="33"/>
        <v/>
      </c>
      <c r="Y222" s="58" t="str">
        <f t="shared" si="34"/>
        <v/>
      </c>
      <c r="Z222" s="58" t="str">
        <f t="shared" si="35"/>
        <v/>
      </c>
      <c r="AA222" s="62" t="str">
        <f>IF($B222="","",IF(OR(E222&lt;MinBF,X222=""),"",COUNTIFS($E$6:$E$255,"&gt;="&amp;MinBF,$X$6:$X$255,"&lt;"&amp;X222)+COUNTIFS($E$5:E221,"&gt;="&amp;MinBF,$X$5:X221,X222)+1))</f>
        <v/>
      </c>
    </row>
    <row r="223" spans="2:27" x14ac:dyDescent="0.2">
      <c r="B223" s="44" t="str">
        <f t="array" ref="B223">IFERROR(INDEX(pbp_Pitcher,MATCH(0,COUNTIF($B$5:B222,pbp_Pitcher)+(pbp_Pitcher=""),0)),"")</f>
        <v/>
      </c>
      <c r="C223" s="61" t="str">
        <f>IF($B223="","",IFERROR(INDEX(pbp_PitTeam,MATCH($B223,pbp_Pitcher,0)),""))</f>
        <v/>
      </c>
      <c r="D223" s="61" t="str">
        <f>IF($B223="","",IFERROR(INDEX(pbp_PitHand,MATCH($B223,pbp_Pitcher,0)),""))</f>
        <v/>
      </c>
      <c r="E223" s="42" t="str">
        <f>IF($B223="","",SUMPRODUCT(COUNTIFS(pbp_PlayType,EM_Type,pbp_Pitcher,$B223)*EM_PA))</f>
        <v/>
      </c>
      <c r="F223" s="42" t="str">
        <f>IF($B223="","",SUMIFS(pbp_Outs,pbp_Pitcher,$B223))</f>
        <v/>
      </c>
      <c r="G223" s="70" t="str">
        <f t="shared" si="27"/>
        <v/>
      </c>
      <c r="H223" s="42" t="str">
        <f>IF($B223="","",SUMPRODUCT(COUNTIFS(pbp_PlayType,EM_Type,pbp_Pitcher,$B223)*EM_H))</f>
        <v/>
      </c>
      <c r="I223" s="42" t="str">
        <f>IF($B223="","",SUMPRODUCT(COUNTIFS(pbp_PlayType,EM_Type,pbp_Pitcher,$B223)*EM_HR))</f>
        <v/>
      </c>
      <c r="J223" s="42" t="str">
        <f>IF($B223="","",SUMPRODUCT(COUNTIFS(pbp_PlayType,EM_Type,pbp_Pitcher,$B223)*EM_BB))</f>
        <v/>
      </c>
      <c r="K223" s="42" t="str">
        <f>IF($B223="","",SUMPRODUCT(COUNTIFS(pbp_PlayType,EM_Type,pbp_Pitcher,$B223)*EM_HBP))</f>
        <v/>
      </c>
      <c r="L223" s="42" t="str">
        <f>IF($B223="","",COUNTIFS(pbp_PlayType,"?*",pbp_Desc,"*struck out*",pbp_Pitcher,$B223))</f>
        <v/>
      </c>
      <c r="M223" s="42" t="str">
        <f>IF($B223="","",SUMIFS(pbp_Runs,pbp_Pitcher,$B223))</f>
        <v/>
      </c>
      <c r="N223" s="42" t="str">
        <f>IF($B223="","",SUMPRODUCT(COUNTIFS(pbp_PlayType,EM_Type,pbp_Pitcher,$B223)*EM_AB))</f>
        <v/>
      </c>
      <c r="O223" s="42" t="str">
        <f>IF($B223="","",SUMPRODUCT(COUNTIFS(pbp_PlayType,EM_Type,pbp_Pitcher,$B223)*EM_SF))</f>
        <v/>
      </c>
      <c r="P223" s="42" t="str">
        <f>IF($B223="","",SUMIFS(pbp_Pitches,pbp_Pitcher,$B223,pbp_PlayType,"?*"))</f>
        <v/>
      </c>
      <c r="Q223" s="60" t="str">
        <f t="shared" si="28"/>
        <v/>
      </c>
      <c r="R223" s="59" t="str">
        <f>IF($B223="","",IF(E223=0,"",1-SUMPRODUCT((pbp_Pitcher=$B223)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223)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23" s="59" t="str">
        <f>IF($B223="","",IF((SUMPRODUCT((pbp_Pitcher=$B223)*(LEN(pbp_PlayType)&gt;0)))=0,"",(SUMPRODUCT((pbp_Pitcher=$B223)*(LEN(pbp_PlayType)&gt;0)*ISNUMBER(MATCH(LEFT(TRIM(pbp_Seq)&amp;"/",FIND("/",TRIM(pbp_Seq)&amp;"/")-1),{"S","F","FT","FB","IN","MB","POS"},0))))/(SUMPRODUCT((pbp_Pitcher=$B223)*(LEN(pbp_PlayType)&gt;0)))))</f>
        <v/>
      </c>
      <c r="T223" s="59" t="str">
        <f t="shared" si="29"/>
        <v/>
      </c>
      <c r="U223" s="59" t="str">
        <f t="shared" si="30"/>
        <v/>
      </c>
      <c r="V223" s="59" t="str">
        <f t="shared" si="31"/>
        <v/>
      </c>
      <c r="W223" s="60" t="str">
        <f t="shared" si="32"/>
        <v/>
      </c>
      <c r="X223" s="60" t="str">
        <f t="shared" si="33"/>
        <v/>
      </c>
      <c r="Y223" s="58" t="str">
        <f t="shared" si="34"/>
        <v/>
      </c>
      <c r="Z223" s="58" t="str">
        <f t="shared" si="35"/>
        <v/>
      </c>
      <c r="AA223" s="62" t="str">
        <f>IF($B223="","",IF(OR(E223&lt;MinBF,X223=""),"",COUNTIFS($E$6:$E$255,"&gt;="&amp;MinBF,$X$6:$X$255,"&lt;"&amp;X223)+COUNTIFS($E$5:E222,"&gt;="&amp;MinBF,$X$5:X222,X223)+1))</f>
        <v/>
      </c>
    </row>
    <row r="224" spans="2:27" x14ac:dyDescent="0.2">
      <c r="B224" s="44" t="str">
        <f t="array" ref="B224">IFERROR(INDEX(pbp_Pitcher,MATCH(0,COUNTIF($B$5:B223,pbp_Pitcher)+(pbp_Pitcher=""),0)),"")</f>
        <v/>
      </c>
      <c r="C224" s="61" t="str">
        <f>IF($B224="","",IFERROR(INDEX(pbp_PitTeam,MATCH($B224,pbp_Pitcher,0)),""))</f>
        <v/>
      </c>
      <c r="D224" s="61" t="str">
        <f>IF($B224="","",IFERROR(INDEX(pbp_PitHand,MATCH($B224,pbp_Pitcher,0)),""))</f>
        <v/>
      </c>
      <c r="E224" s="42" t="str">
        <f>IF($B224="","",SUMPRODUCT(COUNTIFS(pbp_PlayType,EM_Type,pbp_Pitcher,$B224)*EM_PA))</f>
        <v/>
      </c>
      <c r="F224" s="42" t="str">
        <f>IF($B224="","",SUMIFS(pbp_Outs,pbp_Pitcher,$B224))</f>
        <v/>
      </c>
      <c r="G224" s="70" t="str">
        <f t="shared" si="27"/>
        <v/>
      </c>
      <c r="H224" s="42" t="str">
        <f>IF($B224="","",SUMPRODUCT(COUNTIFS(pbp_PlayType,EM_Type,pbp_Pitcher,$B224)*EM_H))</f>
        <v/>
      </c>
      <c r="I224" s="42" t="str">
        <f>IF($B224="","",SUMPRODUCT(COUNTIFS(pbp_PlayType,EM_Type,pbp_Pitcher,$B224)*EM_HR))</f>
        <v/>
      </c>
      <c r="J224" s="42" t="str">
        <f>IF($B224="","",SUMPRODUCT(COUNTIFS(pbp_PlayType,EM_Type,pbp_Pitcher,$B224)*EM_BB))</f>
        <v/>
      </c>
      <c r="K224" s="42" t="str">
        <f>IF($B224="","",SUMPRODUCT(COUNTIFS(pbp_PlayType,EM_Type,pbp_Pitcher,$B224)*EM_HBP))</f>
        <v/>
      </c>
      <c r="L224" s="42" t="str">
        <f>IF($B224="","",COUNTIFS(pbp_PlayType,"?*",pbp_Desc,"*struck out*",pbp_Pitcher,$B224))</f>
        <v/>
      </c>
      <c r="M224" s="42" t="str">
        <f>IF($B224="","",SUMIFS(pbp_Runs,pbp_Pitcher,$B224))</f>
        <v/>
      </c>
      <c r="N224" s="42" t="str">
        <f>IF($B224="","",SUMPRODUCT(COUNTIFS(pbp_PlayType,EM_Type,pbp_Pitcher,$B224)*EM_AB))</f>
        <v/>
      </c>
      <c r="O224" s="42" t="str">
        <f>IF($B224="","",SUMPRODUCT(COUNTIFS(pbp_PlayType,EM_Type,pbp_Pitcher,$B224)*EM_SF))</f>
        <v/>
      </c>
      <c r="P224" s="42" t="str">
        <f>IF($B224="","",SUMIFS(pbp_Pitches,pbp_Pitcher,$B224,pbp_PlayType,"?*"))</f>
        <v/>
      </c>
      <c r="Q224" s="60" t="str">
        <f t="shared" si="28"/>
        <v/>
      </c>
      <c r="R224" s="59" t="str">
        <f>IF($B224="","",IF(E224=0,"",1-SUMPRODUCT((pbp_Pitcher=$B224)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224)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24" s="59" t="str">
        <f>IF($B224="","",IF((SUMPRODUCT((pbp_Pitcher=$B224)*(LEN(pbp_PlayType)&gt;0)))=0,"",(SUMPRODUCT((pbp_Pitcher=$B224)*(LEN(pbp_PlayType)&gt;0)*ISNUMBER(MATCH(LEFT(TRIM(pbp_Seq)&amp;"/",FIND("/",TRIM(pbp_Seq)&amp;"/")-1),{"S","F","FT","FB","IN","MB","POS"},0))))/(SUMPRODUCT((pbp_Pitcher=$B224)*(LEN(pbp_PlayType)&gt;0)))))</f>
        <v/>
      </c>
      <c r="T224" s="59" t="str">
        <f t="shared" si="29"/>
        <v/>
      </c>
      <c r="U224" s="59" t="str">
        <f t="shared" si="30"/>
        <v/>
      </c>
      <c r="V224" s="59" t="str">
        <f t="shared" si="31"/>
        <v/>
      </c>
      <c r="W224" s="60" t="str">
        <f t="shared" si="32"/>
        <v/>
      </c>
      <c r="X224" s="60" t="str">
        <f t="shared" si="33"/>
        <v/>
      </c>
      <c r="Y224" s="58" t="str">
        <f t="shared" si="34"/>
        <v/>
      </c>
      <c r="Z224" s="58" t="str">
        <f t="shared" si="35"/>
        <v/>
      </c>
      <c r="AA224" s="62" t="str">
        <f>IF($B224="","",IF(OR(E224&lt;MinBF,X224=""),"",COUNTIFS($E$6:$E$255,"&gt;="&amp;MinBF,$X$6:$X$255,"&lt;"&amp;X224)+COUNTIFS($E$5:E223,"&gt;="&amp;MinBF,$X$5:X223,X224)+1))</f>
        <v/>
      </c>
    </row>
    <row r="225" spans="2:27" x14ac:dyDescent="0.2">
      <c r="B225" s="44" t="str">
        <f t="array" ref="B225">IFERROR(INDEX(pbp_Pitcher,MATCH(0,COUNTIF($B$5:B224,pbp_Pitcher)+(pbp_Pitcher=""),0)),"")</f>
        <v/>
      </c>
      <c r="C225" s="61" t="str">
        <f>IF($B225="","",IFERROR(INDEX(pbp_PitTeam,MATCH($B225,pbp_Pitcher,0)),""))</f>
        <v/>
      </c>
      <c r="D225" s="61" t="str">
        <f>IF($B225="","",IFERROR(INDEX(pbp_PitHand,MATCH($B225,pbp_Pitcher,0)),""))</f>
        <v/>
      </c>
      <c r="E225" s="42" t="str">
        <f>IF($B225="","",SUMPRODUCT(COUNTIFS(pbp_PlayType,EM_Type,pbp_Pitcher,$B225)*EM_PA))</f>
        <v/>
      </c>
      <c r="F225" s="42" t="str">
        <f>IF($B225="","",SUMIFS(pbp_Outs,pbp_Pitcher,$B225))</f>
        <v/>
      </c>
      <c r="G225" s="70" t="str">
        <f t="shared" si="27"/>
        <v/>
      </c>
      <c r="H225" s="42" t="str">
        <f>IF($B225="","",SUMPRODUCT(COUNTIFS(pbp_PlayType,EM_Type,pbp_Pitcher,$B225)*EM_H))</f>
        <v/>
      </c>
      <c r="I225" s="42" t="str">
        <f>IF($B225="","",SUMPRODUCT(COUNTIFS(pbp_PlayType,EM_Type,pbp_Pitcher,$B225)*EM_HR))</f>
        <v/>
      </c>
      <c r="J225" s="42" t="str">
        <f>IF($B225="","",SUMPRODUCT(COUNTIFS(pbp_PlayType,EM_Type,pbp_Pitcher,$B225)*EM_BB))</f>
        <v/>
      </c>
      <c r="K225" s="42" t="str">
        <f>IF($B225="","",SUMPRODUCT(COUNTIFS(pbp_PlayType,EM_Type,pbp_Pitcher,$B225)*EM_HBP))</f>
        <v/>
      </c>
      <c r="L225" s="42" t="str">
        <f>IF($B225="","",COUNTIFS(pbp_PlayType,"?*",pbp_Desc,"*struck out*",pbp_Pitcher,$B225))</f>
        <v/>
      </c>
      <c r="M225" s="42" t="str">
        <f>IF($B225="","",SUMIFS(pbp_Runs,pbp_Pitcher,$B225))</f>
        <v/>
      </c>
      <c r="N225" s="42" t="str">
        <f>IF($B225="","",SUMPRODUCT(COUNTIFS(pbp_PlayType,EM_Type,pbp_Pitcher,$B225)*EM_AB))</f>
        <v/>
      </c>
      <c r="O225" s="42" t="str">
        <f>IF($B225="","",SUMPRODUCT(COUNTIFS(pbp_PlayType,EM_Type,pbp_Pitcher,$B225)*EM_SF))</f>
        <v/>
      </c>
      <c r="P225" s="42" t="str">
        <f>IF($B225="","",SUMIFS(pbp_Pitches,pbp_Pitcher,$B225,pbp_PlayType,"?*"))</f>
        <v/>
      </c>
      <c r="Q225" s="60" t="str">
        <f t="shared" si="28"/>
        <v/>
      </c>
      <c r="R225" s="59" t="str">
        <f>IF($B225="","",IF(E225=0,"",1-SUMPRODUCT((pbp_Pitcher=$B225)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225)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25" s="59" t="str">
        <f>IF($B225="","",IF((SUMPRODUCT((pbp_Pitcher=$B225)*(LEN(pbp_PlayType)&gt;0)))=0,"",(SUMPRODUCT((pbp_Pitcher=$B225)*(LEN(pbp_PlayType)&gt;0)*ISNUMBER(MATCH(LEFT(TRIM(pbp_Seq)&amp;"/",FIND("/",TRIM(pbp_Seq)&amp;"/")-1),{"S","F","FT","FB","IN","MB","POS"},0))))/(SUMPRODUCT((pbp_Pitcher=$B225)*(LEN(pbp_PlayType)&gt;0)))))</f>
        <v/>
      </c>
      <c r="T225" s="59" t="str">
        <f t="shared" si="29"/>
        <v/>
      </c>
      <c r="U225" s="59" t="str">
        <f t="shared" si="30"/>
        <v/>
      </c>
      <c r="V225" s="59" t="str">
        <f t="shared" si="31"/>
        <v/>
      </c>
      <c r="W225" s="60" t="str">
        <f t="shared" si="32"/>
        <v/>
      </c>
      <c r="X225" s="60" t="str">
        <f t="shared" si="33"/>
        <v/>
      </c>
      <c r="Y225" s="58" t="str">
        <f t="shared" si="34"/>
        <v/>
      </c>
      <c r="Z225" s="58" t="str">
        <f t="shared" si="35"/>
        <v/>
      </c>
      <c r="AA225" s="62" t="str">
        <f>IF($B225="","",IF(OR(E225&lt;MinBF,X225=""),"",COUNTIFS($E$6:$E$255,"&gt;="&amp;MinBF,$X$6:$X$255,"&lt;"&amp;X225)+COUNTIFS($E$5:E224,"&gt;="&amp;MinBF,$X$5:X224,X225)+1))</f>
        <v/>
      </c>
    </row>
    <row r="226" spans="2:27" x14ac:dyDescent="0.2">
      <c r="B226" s="44" t="str">
        <f t="array" ref="B226">IFERROR(INDEX(pbp_Pitcher,MATCH(0,COUNTIF($B$5:B225,pbp_Pitcher)+(pbp_Pitcher=""),0)),"")</f>
        <v/>
      </c>
      <c r="C226" s="61" t="str">
        <f>IF($B226="","",IFERROR(INDEX(pbp_PitTeam,MATCH($B226,pbp_Pitcher,0)),""))</f>
        <v/>
      </c>
      <c r="D226" s="61" t="str">
        <f>IF($B226="","",IFERROR(INDEX(pbp_PitHand,MATCH($B226,pbp_Pitcher,0)),""))</f>
        <v/>
      </c>
      <c r="E226" s="42" t="str">
        <f>IF($B226="","",SUMPRODUCT(COUNTIFS(pbp_PlayType,EM_Type,pbp_Pitcher,$B226)*EM_PA))</f>
        <v/>
      </c>
      <c r="F226" s="42" t="str">
        <f>IF($B226="","",SUMIFS(pbp_Outs,pbp_Pitcher,$B226))</f>
        <v/>
      </c>
      <c r="G226" s="70" t="str">
        <f t="shared" si="27"/>
        <v/>
      </c>
      <c r="H226" s="42" t="str">
        <f>IF($B226="","",SUMPRODUCT(COUNTIFS(pbp_PlayType,EM_Type,pbp_Pitcher,$B226)*EM_H))</f>
        <v/>
      </c>
      <c r="I226" s="42" t="str">
        <f>IF($B226="","",SUMPRODUCT(COUNTIFS(pbp_PlayType,EM_Type,pbp_Pitcher,$B226)*EM_HR))</f>
        <v/>
      </c>
      <c r="J226" s="42" t="str">
        <f>IF($B226="","",SUMPRODUCT(COUNTIFS(pbp_PlayType,EM_Type,pbp_Pitcher,$B226)*EM_BB))</f>
        <v/>
      </c>
      <c r="K226" s="42" t="str">
        <f>IF($B226="","",SUMPRODUCT(COUNTIFS(pbp_PlayType,EM_Type,pbp_Pitcher,$B226)*EM_HBP))</f>
        <v/>
      </c>
      <c r="L226" s="42" t="str">
        <f>IF($B226="","",COUNTIFS(pbp_PlayType,"?*",pbp_Desc,"*struck out*",pbp_Pitcher,$B226))</f>
        <v/>
      </c>
      <c r="M226" s="42" t="str">
        <f>IF($B226="","",SUMIFS(pbp_Runs,pbp_Pitcher,$B226))</f>
        <v/>
      </c>
      <c r="N226" s="42" t="str">
        <f>IF($B226="","",SUMPRODUCT(COUNTIFS(pbp_PlayType,EM_Type,pbp_Pitcher,$B226)*EM_AB))</f>
        <v/>
      </c>
      <c r="O226" s="42" t="str">
        <f>IF($B226="","",SUMPRODUCT(COUNTIFS(pbp_PlayType,EM_Type,pbp_Pitcher,$B226)*EM_SF))</f>
        <v/>
      </c>
      <c r="P226" s="42" t="str">
        <f>IF($B226="","",SUMIFS(pbp_Pitches,pbp_Pitcher,$B226,pbp_PlayType,"?*"))</f>
        <v/>
      </c>
      <c r="Q226" s="60" t="str">
        <f t="shared" si="28"/>
        <v/>
      </c>
      <c r="R226" s="59" t="str">
        <f>IF($B226="","",IF(E226=0,"",1-SUMPRODUCT((pbp_Pitcher=$B226)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226)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26" s="59" t="str">
        <f>IF($B226="","",IF((SUMPRODUCT((pbp_Pitcher=$B226)*(LEN(pbp_PlayType)&gt;0)))=0,"",(SUMPRODUCT((pbp_Pitcher=$B226)*(LEN(pbp_PlayType)&gt;0)*ISNUMBER(MATCH(LEFT(TRIM(pbp_Seq)&amp;"/",FIND("/",TRIM(pbp_Seq)&amp;"/")-1),{"S","F","FT","FB","IN","MB","POS"},0))))/(SUMPRODUCT((pbp_Pitcher=$B226)*(LEN(pbp_PlayType)&gt;0)))))</f>
        <v/>
      </c>
      <c r="T226" s="59" t="str">
        <f t="shared" si="29"/>
        <v/>
      </c>
      <c r="U226" s="59" t="str">
        <f t="shared" si="30"/>
        <v/>
      </c>
      <c r="V226" s="59" t="str">
        <f t="shared" si="31"/>
        <v/>
      </c>
      <c r="W226" s="60" t="str">
        <f t="shared" si="32"/>
        <v/>
      </c>
      <c r="X226" s="60" t="str">
        <f t="shared" si="33"/>
        <v/>
      </c>
      <c r="Y226" s="58" t="str">
        <f t="shared" si="34"/>
        <v/>
      </c>
      <c r="Z226" s="58" t="str">
        <f t="shared" si="35"/>
        <v/>
      </c>
      <c r="AA226" s="62" t="str">
        <f>IF($B226="","",IF(OR(E226&lt;MinBF,X226=""),"",COUNTIFS($E$6:$E$255,"&gt;="&amp;MinBF,$X$6:$X$255,"&lt;"&amp;X226)+COUNTIFS($E$5:E225,"&gt;="&amp;MinBF,$X$5:X225,X226)+1))</f>
        <v/>
      </c>
    </row>
    <row r="227" spans="2:27" x14ac:dyDescent="0.2">
      <c r="B227" s="44" t="str">
        <f t="array" ref="B227">IFERROR(INDEX(pbp_Pitcher,MATCH(0,COUNTIF($B$5:B226,pbp_Pitcher)+(pbp_Pitcher=""),0)),"")</f>
        <v/>
      </c>
      <c r="C227" s="61" t="str">
        <f>IF($B227="","",IFERROR(INDEX(pbp_PitTeam,MATCH($B227,pbp_Pitcher,0)),""))</f>
        <v/>
      </c>
      <c r="D227" s="61" t="str">
        <f>IF($B227="","",IFERROR(INDEX(pbp_PitHand,MATCH($B227,pbp_Pitcher,0)),""))</f>
        <v/>
      </c>
      <c r="E227" s="42" t="str">
        <f>IF($B227="","",SUMPRODUCT(COUNTIFS(pbp_PlayType,EM_Type,pbp_Pitcher,$B227)*EM_PA))</f>
        <v/>
      </c>
      <c r="F227" s="42" t="str">
        <f>IF($B227="","",SUMIFS(pbp_Outs,pbp_Pitcher,$B227))</f>
        <v/>
      </c>
      <c r="G227" s="70" t="str">
        <f t="shared" si="27"/>
        <v/>
      </c>
      <c r="H227" s="42" t="str">
        <f>IF($B227="","",SUMPRODUCT(COUNTIFS(pbp_PlayType,EM_Type,pbp_Pitcher,$B227)*EM_H))</f>
        <v/>
      </c>
      <c r="I227" s="42" t="str">
        <f>IF($B227="","",SUMPRODUCT(COUNTIFS(pbp_PlayType,EM_Type,pbp_Pitcher,$B227)*EM_HR))</f>
        <v/>
      </c>
      <c r="J227" s="42" t="str">
        <f>IF($B227="","",SUMPRODUCT(COUNTIFS(pbp_PlayType,EM_Type,pbp_Pitcher,$B227)*EM_BB))</f>
        <v/>
      </c>
      <c r="K227" s="42" t="str">
        <f>IF($B227="","",SUMPRODUCT(COUNTIFS(pbp_PlayType,EM_Type,pbp_Pitcher,$B227)*EM_HBP))</f>
        <v/>
      </c>
      <c r="L227" s="42" t="str">
        <f>IF($B227="","",COUNTIFS(pbp_PlayType,"?*",pbp_Desc,"*struck out*",pbp_Pitcher,$B227))</f>
        <v/>
      </c>
      <c r="M227" s="42" t="str">
        <f>IF($B227="","",SUMIFS(pbp_Runs,pbp_Pitcher,$B227))</f>
        <v/>
      </c>
      <c r="N227" s="42" t="str">
        <f>IF($B227="","",SUMPRODUCT(COUNTIFS(pbp_PlayType,EM_Type,pbp_Pitcher,$B227)*EM_AB))</f>
        <v/>
      </c>
      <c r="O227" s="42" t="str">
        <f>IF($B227="","",SUMPRODUCT(COUNTIFS(pbp_PlayType,EM_Type,pbp_Pitcher,$B227)*EM_SF))</f>
        <v/>
      </c>
      <c r="P227" s="42" t="str">
        <f>IF($B227="","",SUMIFS(pbp_Pitches,pbp_Pitcher,$B227,pbp_PlayType,"?*"))</f>
        <v/>
      </c>
      <c r="Q227" s="60" t="str">
        <f t="shared" si="28"/>
        <v/>
      </c>
      <c r="R227" s="59" t="str">
        <f>IF($B227="","",IF(E227=0,"",1-SUMPRODUCT((pbp_Pitcher=$B227)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227)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27" s="59" t="str">
        <f>IF($B227="","",IF((SUMPRODUCT((pbp_Pitcher=$B227)*(LEN(pbp_PlayType)&gt;0)))=0,"",(SUMPRODUCT((pbp_Pitcher=$B227)*(LEN(pbp_PlayType)&gt;0)*ISNUMBER(MATCH(LEFT(TRIM(pbp_Seq)&amp;"/",FIND("/",TRIM(pbp_Seq)&amp;"/")-1),{"S","F","FT","FB","IN","MB","POS"},0))))/(SUMPRODUCT((pbp_Pitcher=$B227)*(LEN(pbp_PlayType)&gt;0)))))</f>
        <v/>
      </c>
      <c r="T227" s="59" t="str">
        <f t="shared" si="29"/>
        <v/>
      </c>
      <c r="U227" s="59" t="str">
        <f t="shared" si="30"/>
        <v/>
      </c>
      <c r="V227" s="59" t="str">
        <f t="shared" si="31"/>
        <v/>
      </c>
      <c r="W227" s="60" t="str">
        <f t="shared" si="32"/>
        <v/>
      </c>
      <c r="X227" s="60" t="str">
        <f t="shared" si="33"/>
        <v/>
      </c>
      <c r="Y227" s="58" t="str">
        <f t="shared" si="34"/>
        <v/>
      </c>
      <c r="Z227" s="58" t="str">
        <f t="shared" si="35"/>
        <v/>
      </c>
      <c r="AA227" s="62" t="str">
        <f>IF($B227="","",IF(OR(E227&lt;MinBF,X227=""),"",COUNTIFS($E$6:$E$255,"&gt;="&amp;MinBF,$X$6:$X$255,"&lt;"&amp;X227)+COUNTIFS($E$5:E226,"&gt;="&amp;MinBF,$X$5:X226,X227)+1))</f>
        <v/>
      </c>
    </row>
    <row r="228" spans="2:27" x14ac:dyDescent="0.2">
      <c r="B228" s="44" t="str">
        <f t="array" ref="B228">IFERROR(INDEX(pbp_Pitcher,MATCH(0,COUNTIF($B$5:B227,pbp_Pitcher)+(pbp_Pitcher=""),0)),"")</f>
        <v/>
      </c>
      <c r="C228" s="61" t="str">
        <f>IF($B228="","",IFERROR(INDEX(pbp_PitTeam,MATCH($B228,pbp_Pitcher,0)),""))</f>
        <v/>
      </c>
      <c r="D228" s="61" t="str">
        <f>IF($B228="","",IFERROR(INDEX(pbp_PitHand,MATCH($B228,pbp_Pitcher,0)),""))</f>
        <v/>
      </c>
      <c r="E228" s="42" t="str">
        <f>IF($B228="","",SUMPRODUCT(COUNTIFS(pbp_PlayType,EM_Type,pbp_Pitcher,$B228)*EM_PA))</f>
        <v/>
      </c>
      <c r="F228" s="42" t="str">
        <f>IF($B228="","",SUMIFS(pbp_Outs,pbp_Pitcher,$B228))</f>
        <v/>
      </c>
      <c r="G228" s="70" t="str">
        <f t="shared" si="27"/>
        <v/>
      </c>
      <c r="H228" s="42" t="str">
        <f>IF($B228="","",SUMPRODUCT(COUNTIFS(pbp_PlayType,EM_Type,pbp_Pitcher,$B228)*EM_H))</f>
        <v/>
      </c>
      <c r="I228" s="42" t="str">
        <f>IF($B228="","",SUMPRODUCT(COUNTIFS(pbp_PlayType,EM_Type,pbp_Pitcher,$B228)*EM_HR))</f>
        <v/>
      </c>
      <c r="J228" s="42" t="str">
        <f>IF($B228="","",SUMPRODUCT(COUNTIFS(pbp_PlayType,EM_Type,pbp_Pitcher,$B228)*EM_BB))</f>
        <v/>
      </c>
      <c r="K228" s="42" t="str">
        <f>IF($B228="","",SUMPRODUCT(COUNTIFS(pbp_PlayType,EM_Type,pbp_Pitcher,$B228)*EM_HBP))</f>
        <v/>
      </c>
      <c r="L228" s="42" t="str">
        <f>IF($B228="","",COUNTIFS(pbp_PlayType,"?*",pbp_Desc,"*struck out*",pbp_Pitcher,$B228))</f>
        <v/>
      </c>
      <c r="M228" s="42" t="str">
        <f>IF($B228="","",SUMIFS(pbp_Runs,pbp_Pitcher,$B228))</f>
        <v/>
      </c>
      <c r="N228" s="42" t="str">
        <f>IF($B228="","",SUMPRODUCT(COUNTIFS(pbp_PlayType,EM_Type,pbp_Pitcher,$B228)*EM_AB))</f>
        <v/>
      </c>
      <c r="O228" s="42" t="str">
        <f>IF($B228="","",SUMPRODUCT(COUNTIFS(pbp_PlayType,EM_Type,pbp_Pitcher,$B228)*EM_SF))</f>
        <v/>
      </c>
      <c r="P228" s="42" t="str">
        <f>IF($B228="","",SUMIFS(pbp_Pitches,pbp_Pitcher,$B228,pbp_PlayType,"?*"))</f>
        <v/>
      </c>
      <c r="Q228" s="60" t="str">
        <f t="shared" si="28"/>
        <v/>
      </c>
      <c r="R228" s="59" t="str">
        <f>IF($B228="","",IF(E228=0,"",1-SUMPRODUCT((pbp_Pitcher=$B228)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228)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28" s="59" t="str">
        <f>IF($B228="","",IF((SUMPRODUCT((pbp_Pitcher=$B228)*(LEN(pbp_PlayType)&gt;0)))=0,"",(SUMPRODUCT((pbp_Pitcher=$B228)*(LEN(pbp_PlayType)&gt;0)*ISNUMBER(MATCH(LEFT(TRIM(pbp_Seq)&amp;"/",FIND("/",TRIM(pbp_Seq)&amp;"/")-1),{"S","F","FT","FB","IN","MB","POS"},0))))/(SUMPRODUCT((pbp_Pitcher=$B228)*(LEN(pbp_PlayType)&gt;0)))))</f>
        <v/>
      </c>
      <c r="T228" s="59" t="str">
        <f t="shared" si="29"/>
        <v/>
      </c>
      <c r="U228" s="59" t="str">
        <f t="shared" si="30"/>
        <v/>
      </c>
      <c r="V228" s="59" t="str">
        <f t="shared" si="31"/>
        <v/>
      </c>
      <c r="W228" s="60" t="str">
        <f t="shared" si="32"/>
        <v/>
      </c>
      <c r="X228" s="60" t="str">
        <f t="shared" si="33"/>
        <v/>
      </c>
      <c r="Y228" s="58" t="str">
        <f t="shared" si="34"/>
        <v/>
      </c>
      <c r="Z228" s="58" t="str">
        <f t="shared" si="35"/>
        <v/>
      </c>
      <c r="AA228" s="62" t="str">
        <f>IF($B228="","",IF(OR(E228&lt;MinBF,X228=""),"",COUNTIFS($E$6:$E$255,"&gt;="&amp;MinBF,$X$6:$X$255,"&lt;"&amp;X228)+COUNTIFS($E$5:E227,"&gt;="&amp;MinBF,$X$5:X227,X228)+1))</f>
        <v/>
      </c>
    </row>
    <row r="229" spans="2:27" x14ac:dyDescent="0.2">
      <c r="B229" s="44" t="str">
        <f t="array" ref="B229">IFERROR(INDEX(pbp_Pitcher,MATCH(0,COUNTIF($B$5:B228,pbp_Pitcher)+(pbp_Pitcher=""),0)),"")</f>
        <v/>
      </c>
      <c r="C229" s="61" t="str">
        <f>IF($B229="","",IFERROR(INDEX(pbp_PitTeam,MATCH($B229,pbp_Pitcher,0)),""))</f>
        <v/>
      </c>
      <c r="D229" s="61" t="str">
        <f>IF($B229="","",IFERROR(INDEX(pbp_PitHand,MATCH($B229,pbp_Pitcher,0)),""))</f>
        <v/>
      </c>
      <c r="E229" s="42" t="str">
        <f>IF($B229="","",SUMPRODUCT(COUNTIFS(pbp_PlayType,EM_Type,pbp_Pitcher,$B229)*EM_PA))</f>
        <v/>
      </c>
      <c r="F229" s="42" t="str">
        <f>IF($B229="","",SUMIFS(pbp_Outs,pbp_Pitcher,$B229))</f>
        <v/>
      </c>
      <c r="G229" s="70" t="str">
        <f t="shared" si="27"/>
        <v/>
      </c>
      <c r="H229" s="42" t="str">
        <f>IF($B229="","",SUMPRODUCT(COUNTIFS(pbp_PlayType,EM_Type,pbp_Pitcher,$B229)*EM_H))</f>
        <v/>
      </c>
      <c r="I229" s="42" t="str">
        <f>IF($B229="","",SUMPRODUCT(COUNTIFS(pbp_PlayType,EM_Type,pbp_Pitcher,$B229)*EM_HR))</f>
        <v/>
      </c>
      <c r="J229" s="42" t="str">
        <f>IF($B229="","",SUMPRODUCT(COUNTIFS(pbp_PlayType,EM_Type,pbp_Pitcher,$B229)*EM_BB))</f>
        <v/>
      </c>
      <c r="K229" s="42" t="str">
        <f>IF($B229="","",SUMPRODUCT(COUNTIFS(pbp_PlayType,EM_Type,pbp_Pitcher,$B229)*EM_HBP))</f>
        <v/>
      </c>
      <c r="L229" s="42" t="str">
        <f>IF($B229="","",COUNTIFS(pbp_PlayType,"?*",pbp_Desc,"*struck out*",pbp_Pitcher,$B229))</f>
        <v/>
      </c>
      <c r="M229" s="42" t="str">
        <f>IF($B229="","",SUMIFS(pbp_Runs,pbp_Pitcher,$B229))</f>
        <v/>
      </c>
      <c r="N229" s="42" t="str">
        <f>IF($B229="","",SUMPRODUCT(COUNTIFS(pbp_PlayType,EM_Type,pbp_Pitcher,$B229)*EM_AB))</f>
        <v/>
      </c>
      <c r="O229" s="42" t="str">
        <f>IF($B229="","",SUMPRODUCT(COUNTIFS(pbp_PlayType,EM_Type,pbp_Pitcher,$B229)*EM_SF))</f>
        <v/>
      </c>
      <c r="P229" s="42" t="str">
        <f>IF($B229="","",SUMIFS(pbp_Pitches,pbp_Pitcher,$B229,pbp_PlayType,"?*"))</f>
        <v/>
      </c>
      <c r="Q229" s="60" t="str">
        <f t="shared" si="28"/>
        <v/>
      </c>
      <c r="R229" s="59" t="str">
        <f>IF($B229="","",IF(E229=0,"",1-SUMPRODUCT((pbp_Pitcher=$B229)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229)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29" s="59" t="str">
        <f>IF($B229="","",IF((SUMPRODUCT((pbp_Pitcher=$B229)*(LEN(pbp_PlayType)&gt;0)))=0,"",(SUMPRODUCT((pbp_Pitcher=$B229)*(LEN(pbp_PlayType)&gt;0)*ISNUMBER(MATCH(LEFT(TRIM(pbp_Seq)&amp;"/",FIND("/",TRIM(pbp_Seq)&amp;"/")-1),{"S","F","FT","FB","IN","MB","POS"},0))))/(SUMPRODUCT((pbp_Pitcher=$B229)*(LEN(pbp_PlayType)&gt;0)))))</f>
        <v/>
      </c>
      <c r="T229" s="59" t="str">
        <f t="shared" si="29"/>
        <v/>
      </c>
      <c r="U229" s="59" t="str">
        <f t="shared" si="30"/>
        <v/>
      </c>
      <c r="V229" s="59" t="str">
        <f t="shared" si="31"/>
        <v/>
      </c>
      <c r="W229" s="60" t="str">
        <f t="shared" si="32"/>
        <v/>
      </c>
      <c r="X229" s="60" t="str">
        <f t="shared" si="33"/>
        <v/>
      </c>
      <c r="Y229" s="58" t="str">
        <f t="shared" si="34"/>
        <v/>
      </c>
      <c r="Z229" s="58" t="str">
        <f t="shared" si="35"/>
        <v/>
      </c>
      <c r="AA229" s="62" t="str">
        <f>IF($B229="","",IF(OR(E229&lt;MinBF,X229=""),"",COUNTIFS($E$6:$E$255,"&gt;="&amp;MinBF,$X$6:$X$255,"&lt;"&amp;X229)+COUNTIFS($E$5:E228,"&gt;="&amp;MinBF,$X$5:X228,X229)+1))</f>
        <v/>
      </c>
    </row>
    <row r="230" spans="2:27" x14ac:dyDescent="0.2">
      <c r="B230" s="44" t="str">
        <f t="array" ref="B230">IFERROR(INDEX(pbp_Pitcher,MATCH(0,COUNTIF($B$5:B229,pbp_Pitcher)+(pbp_Pitcher=""),0)),"")</f>
        <v/>
      </c>
      <c r="C230" s="61" t="str">
        <f>IF($B230="","",IFERROR(INDEX(pbp_PitTeam,MATCH($B230,pbp_Pitcher,0)),""))</f>
        <v/>
      </c>
      <c r="D230" s="61" t="str">
        <f>IF($B230="","",IFERROR(INDEX(pbp_PitHand,MATCH($B230,pbp_Pitcher,0)),""))</f>
        <v/>
      </c>
      <c r="E230" s="42" t="str">
        <f>IF($B230="","",SUMPRODUCT(COUNTIFS(pbp_PlayType,EM_Type,pbp_Pitcher,$B230)*EM_PA))</f>
        <v/>
      </c>
      <c r="F230" s="42" t="str">
        <f>IF($B230="","",SUMIFS(pbp_Outs,pbp_Pitcher,$B230))</f>
        <v/>
      </c>
      <c r="G230" s="70" t="str">
        <f t="shared" si="27"/>
        <v/>
      </c>
      <c r="H230" s="42" t="str">
        <f>IF($B230="","",SUMPRODUCT(COUNTIFS(pbp_PlayType,EM_Type,pbp_Pitcher,$B230)*EM_H))</f>
        <v/>
      </c>
      <c r="I230" s="42" t="str">
        <f>IF($B230="","",SUMPRODUCT(COUNTIFS(pbp_PlayType,EM_Type,pbp_Pitcher,$B230)*EM_HR))</f>
        <v/>
      </c>
      <c r="J230" s="42" t="str">
        <f>IF($B230="","",SUMPRODUCT(COUNTIFS(pbp_PlayType,EM_Type,pbp_Pitcher,$B230)*EM_BB))</f>
        <v/>
      </c>
      <c r="K230" s="42" t="str">
        <f>IF($B230="","",SUMPRODUCT(COUNTIFS(pbp_PlayType,EM_Type,pbp_Pitcher,$B230)*EM_HBP))</f>
        <v/>
      </c>
      <c r="L230" s="42" t="str">
        <f>IF($B230="","",COUNTIFS(pbp_PlayType,"?*",pbp_Desc,"*struck out*",pbp_Pitcher,$B230))</f>
        <v/>
      </c>
      <c r="M230" s="42" t="str">
        <f>IF($B230="","",SUMIFS(pbp_Runs,pbp_Pitcher,$B230))</f>
        <v/>
      </c>
      <c r="N230" s="42" t="str">
        <f>IF($B230="","",SUMPRODUCT(COUNTIFS(pbp_PlayType,EM_Type,pbp_Pitcher,$B230)*EM_AB))</f>
        <v/>
      </c>
      <c r="O230" s="42" t="str">
        <f>IF($B230="","",SUMPRODUCT(COUNTIFS(pbp_PlayType,EM_Type,pbp_Pitcher,$B230)*EM_SF))</f>
        <v/>
      </c>
      <c r="P230" s="42" t="str">
        <f>IF($B230="","",SUMIFS(pbp_Pitches,pbp_Pitcher,$B230,pbp_PlayType,"?*"))</f>
        <v/>
      </c>
      <c r="Q230" s="60" t="str">
        <f t="shared" si="28"/>
        <v/>
      </c>
      <c r="R230" s="59" t="str">
        <f>IF($B230="","",IF(E230=0,"",1-SUMPRODUCT((pbp_Pitcher=$B230)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230)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30" s="59" t="str">
        <f>IF($B230="","",IF((SUMPRODUCT((pbp_Pitcher=$B230)*(LEN(pbp_PlayType)&gt;0)))=0,"",(SUMPRODUCT((pbp_Pitcher=$B230)*(LEN(pbp_PlayType)&gt;0)*ISNUMBER(MATCH(LEFT(TRIM(pbp_Seq)&amp;"/",FIND("/",TRIM(pbp_Seq)&amp;"/")-1),{"S","F","FT","FB","IN","MB","POS"},0))))/(SUMPRODUCT((pbp_Pitcher=$B230)*(LEN(pbp_PlayType)&gt;0)))))</f>
        <v/>
      </c>
      <c r="T230" s="59" t="str">
        <f t="shared" si="29"/>
        <v/>
      </c>
      <c r="U230" s="59" t="str">
        <f t="shared" si="30"/>
        <v/>
      </c>
      <c r="V230" s="59" t="str">
        <f t="shared" si="31"/>
        <v/>
      </c>
      <c r="W230" s="60" t="str">
        <f t="shared" si="32"/>
        <v/>
      </c>
      <c r="X230" s="60" t="str">
        <f t="shared" si="33"/>
        <v/>
      </c>
      <c r="Y230" s="58" t="str">
        <f t="shared" si="34"/>
        <v/>
      </c>
      <c r="Z230" s="58" t="str">
        <f t="shared" si="35"/>
        <v/>
      </c>
      <c r="AA230" s="62" t="str">
        <f>IF($B230="","",IF(OR(E230&lt;MinBF,X230=""),"",COUNTIFS($E$6:$E$255,"&gt;="&amp;MinBF,$X$6:$X$255,"&lt;"&amp;X230)+COUNTIFS($E$5:E229,"&gt;="&amp;MinBF,$X$5:X229,X230)+1))</f>
        <v/>
      </c>
    </row>
    <row r="231" spans="2:27" x14ac:dyDescent="0.2">
      <c r="B231" s="44" t="str">
        <f t="array" ref="B231">IFERROR(INDEX(pbp_Pitcher,MATCH(0,COUNTIF($B$5:B230,pbp_Pitcher)+(pbp_Pitcher=""),0)),"")</f>
        <v/>
      </c>
      <c r="C231" s="61" t="str">
        <f>IF($B231="","",IFERROR(INDEX(pbp_PitTeam,MATCH($B231,pbp_Pitcher,0)),""))</f>
        <v/>
      </c>
      <c r="D231" s="61" t="str">
        <f>IF($B231="","",IFERROR(INDEX(pbp_PitHand,MATCH($B231,pbp_Pitcher,0)),""))</f>
        <v/>
      </c>
      <c r="E231" s="42" t="str">
        <f>IF($B231="","",SUMPRODUCT(COUNTIFS(pbp_PlayType,EM_Type,pbp_Pitcher,$B231)*EM_PA))</f>
        <v/>
      </c>
      <c r="F231" s="42" t="str">
        <f>IF($B231="","",SUMIFS(pbp_Outs,pbp_Pitcher,$B231))</f>
        <v/>
      </c>
      <c r="G231" s="70" t="str">
        <f t="shared" si="27"/>
        <v/>
      </c>
      <c r="H231" s="42" t="str">
        <f>IF($B231="","",SUMPRODUCT(COUNTIFS(pbp_PlayType,EM_Type,pbp_Pitcher,$B231)*EM_H))</f>
        <v/>
      </c>
      <c r="I231" s="42" t="str">
        <f>IF($B231="","",SUMPRODUCT(COUNTIFS(pbp_PlayType,EM_Type,pbp_Pitcher,$B231)*EM_HR))</f>
        <v/>
      </c>
      <c r="J231" s="42" t="str">
        <f>IF($B231="","",SUMPRODUCT(COUNTIFS(pbp_PlayType,EM_Type,pbp_Pitcher,$B231)*EM_BB))</f>
        <v/>
      </c>
      <c r="K231" s="42" t="str">
        <f>IF($B231="","",SUMPRODUCT(COUNTIFS(pbp_PlayType,EM_Type,pbp_Pitcher,$B231)*EM_HBP))</f>
        <v/>
      </c>
      <c r="L231" s="42" t="str">
        <f>IF($B231="","",COUNTIFS(pbp_PlayType,"?*",pbp_Desc,"*struck out*",pbp_Pitcher,$B231))</f>
        <v/>
      </c>
      <c r="M231" s="42" t="str">
        <f>IF($B231="","",SUMIFS(pbp_Runs,pbp_Pitcher,$B231))</f>
        <v/>
      </c>
      <c r="N231" s="42" t="str">
        <f>IF($B231="","",SUMPRODUCT(COUNTIFS(pbp_PlayType,EM_Type,pbp_Pitcher,$B231)*EM_AB))</f>
        <v/>
      </c>
      <c r="O231" s="42" t="str">
        <f>IF($B231="","",SUMPRODUCT(COUNTIFS(pbp_PlayType,EM_Type,pbp_Pitcher,$B231)*EM_SF))</f>
        <v/>
      </c>
      <c r="P231" s="42" t="str">
        <f>IF($B231="","",SUMIFS(pbp_Pitches,pbp_Pitcher,$B231,pbp_PlayType,"?*"))</f>
        <v/>
      </c>
      <c r="Q231" s="60" t="str">
        <f t="shared" si="28"/>
        <v/>
      </c>
      <c r="R231" s="59" t="str">
        <f>IF($B231="","",IF(E231=0,"",1-SUMPRODUCT((pbp_Pitcher=$B231)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231)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31" s="59" t="str">
        <f>IF($B231="","",IF((SUMPRODUCT((pbp_Pitcher=$B231)*(LEN(pbp_PlayType)&gt;0)))=0,"",(SUMPRODUCT((pbp_Pitcher=$B231)*(LEN(pbp_PlayType)&gt;0)*ISNUMBER(MATCH(LEFT(TRIM(pbp_Seq)&amp;"/",FIND("/",TRIM(pbp_Seq)&amp;"/")-1),{"S","F","FT","FB","IN","MB","POS"},0))))/(SUMPRODUCT((pbp_Pitcher=$B231)*(LEN(pbp_PlayType)&gt;0)))))</f>
        <v/>
      </c>
      <c r="T231" s="59" t="str">
        <f t="shared" si="29"/>
        <v/>
      </c>
      <c r="U231" s="59" t="str">
        <f t="shared" si="30"/>
        <v/>
      </c>
      <c r="V231" s="59" t="str">
        <f t="shared" si="31"/>
        <v/>
      </c>
      <c r="W231" s="60" t="str">
        <f t="shared" si="32"/>
        <v/>
      </c>
      <c r="X231" s="60" t="str">
        <f t="shared" si="33"/>
        <v/>
      </c>
      <c r="Y231" s="58" t="str">
        <f t="shared" si="34"/>
        <v/>
      </c>
      <c r="Z231" s="58" t="str">
        <f t="shared" si="35"/>
        <v/>
      </c>
      <c r="AA231" s="62" t="str">
        <f>IF($B231="","",IF(OR(E231&lt;MinBF,X231=""),"",COUNTIFS($E$6:$E$255,"&gt;="&amp;MinBF,$X$6:$X$255,"&lt;"&amp;X231)+COUNTIFS($E$5:E230,"&gt;="&amp;MinBF,$X$5:X230,X231)+1))</f>
        <v/>
      </c>
    </row>
    <row r="232" spans="2:27" x14ac:dyDescent="0.2">
      <c r="B232" s="44" t="str">
        <f t="array" ref="B232">IFERROR(INDEX(pbp_Pitcher,MATCH(0,COUNTIF($B$5:B231,pbp_Pitcher)+(pbp_Pitcher=""),0)),"")</f>
        <v/>
      </c>
      <c r="C232" s="61" t="str">
        <f>IF($B232="","",IFERROR(INDEX(pbp_PitTeam,MATCH($B232,pbp_Pitcher,0)),""))</f>
        <v/>
      </c>
      <c r="D232" s="61" t="str">
        <f>IF($B232="","",IFERROR(INDEX(pbp_PitHand,MATCH($B232,pbp_Pitcher,0)),""))</f>
        <v/>
      </c>
      <c r="E232" s="42" t="str">
        <f>IF($B232="","",SUMPRODUCT(COUNTIFS(pbp_PlayType,EM_Type,pbp_Pitcher,$B232)*EM_PA))</f>
        <v/>
      </c>
      <c r="F232" s="42" t="str">
        <f>IF($B232="","",SUMIFS(pbp_Outs,pbp_Pitcher,$B232))</f>
        <v/>
      </c>
      <c r="G232" s="70" t="str">
        <f t="shared" si="27"/>
        <v/>
      </c>
      <c r="H232" s="42" t="str">
        <f>IF($B232="","",SUMPRODUCT(COUNTIFS(pbp_PlayType,EM_Type,pbp_Pitcher,$B232)*EM_H))</f>
        <v/>
      </c>
      <c r="I232" s="42" t="str">
        <f>IF($B232="","",SUMPRODUCT(COUNTIFS(pbp_PlayType,EM_Type,pbp_Pitcher,$B232)*EM_HR))</f>
        <v/>
      </c>
      <c r="J232" s="42" t="str">
        <f>IF($B232="","",SUMPRODUCT(COUNTIFS(pbp_PlayType,EM_Type,pbp_Pitcher,$B232)*EM_BB))</f>
        <v/>
      </c>
      <c r="K232" s="42" t="str">
        <f>IF($B232="","",SUMPRODUCT(COUNTIFS(pbp_PlayType,EM_Type,pbp_Pitcher,$B232)*EM_HBP))</f>
        <v/>
      </c>
      <c r="L232" s="42" t="str">
        <f>IF($B232="","",COUNTIFS(pbp_PlayType,"?*",pbp_Desc,"*struck out*",pbp_Pitcher,$B232))</f>
        <v/>
      </c>
      <c r="M232" s="42" t="str">
        <f>IF($B232="","",SUMIFS(pbp_Runs,pbp_Pitcher,$B232))</f>
        <v/>
      </c>
      <c r="N232" s="42" t="str">
        <f>IF($B232="","",SUMPRODUCT(COUNTIFS(pbp_PlayType,EM_Type,pbp_Pitcher,$B232)*EM_AB))</f>
        <v/>
      </c>
      <c r="O232" s="42" t="str">
        <f>IF($B232="","",SUMPRODUCT(COUNTIFS(pbp_PlayType,EM_Type,pbp_Pitcher,$B232)*EM_SF))</f>
        <v/>
      </c>
      <c r="P232" s="42" t="str">
        <f>IF($B232="","",SUMIFS(pbp_Pitches,pbp_Pitcher,$B232,pbp_PlayType,"?*"))</f>
        <v/>
      </c>
      <c r="Q232" s="60" t="str">
        <f t="shared" si="28"/>
        <v/>
      </c>
      <c r="R232" s="59" t="str">
        <f>IF($B232="","",IF(E232=0,"",1-SUMPRODUCT((pbp_Pitcher=$B232)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232)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32" s="59" t="str">
        <f>IF($B232="","",IF((SUMPRODUCT((pbp_Pitcher=$B232)*(LEN(pbp_PlayType)&gt;0)))=0,"",(SUMPRODUCT((pbp_Pitcher=$B232)*(LEN(pbp_PlayType)&gt;0)*ISNUMBER(MATCH(LEFT(TRIM(pbp_Seq)&amp;"/",FIND("/",TRIM(pbp_Seq)&amp;"/")-1),{"S","F","FT","FB","IN","MB","POS"},0))))/(SUMPRODUCT((pbp_Pitcher=$B232)*(LEN(pbp_PlayType)&gt;0)))))</f>
        <v/>
      </c>
      <c r="T232" s="59" t="str">
        <f t="shared" si="29"/>
        <v/>
      </c>
      <c r="U232" s="59" t="str">
        <f t="shared" si="30"/>
        <v/>
      </c>
      <c r="V232" s="59" t="str">
        <f t="shared" si="31"/>
        <v/>
      </c>
      <c r="W232" s="60" t="str">
        <f t="shared" si="32"/>
        <v/>
      </c>
      <c r="X232" s="60" t="str">
        <f t="shared" si="33"/>
        <v/>
      </c>
      <c r="Y232" s="58" t="str">
        <f t="shared" si="34"/>
        <v/>
      </c>
      <c r="Z232" s="58" t="str">
        <f t="shared" si="35"/>
        <v/>
      </c>
      <c r="AA232" s="62" t="str">
        <f>IF($B232="","",IF(OR(E232&lt;MinBF,X232=""),"",COUNTIFS($E$6:$E$255,"&gt;="&amp;MinBF,$X$6:$X$255,"&lt;"&amp;X232)+COUNTIFS($E$5:E231,"&gt;="&amp;MinBF,$X$5:X231,X232)+1))</f>
        <v/>
      </c>
    </row>
    <row r="233" spans="2:27" x14ac:dyDescent="0.2">
      <c r="B233" s="44" t="str">
        <f t="array" ref="B233">IFERROR(INDEX(pbp_Pitcher,MATCH(0,COUNTIF($B$5:B232,pbp_Pitcher)+(pbp_Pitcher=""),0)),"")</f>
        <v/>
      </c>
      <c r="C233" s="61" t="str">
        <f>IF($B233="","",IFERROR(INDEX(pbp_PitTeam,MATCH($B233,pbp_Pitcher,0)),""))</f>
        <v/>
      </c>
      <c r="D233" s="61" t="str">
        <f>IF($B233="","",IFERROR(INDEX(pbp_PitHand,MATCH($B233,pbp_Pitcher,0)),""))</f>
        <v/>
      </c>
      <c r="E233" s="42" t="str">
        <f>IF($B233="","",SUMPRODUCT(COUNTIFS(pbp_PlayType,EM_Type,pbp_Pitcher,$B233)*EM_PA))</f>
        <v/>
      </c>
      <c r="F233" s="42" t="str">
        <f>IF($B233="","",SUMIFS(pbp_Outs,pbp_Pitcher,$B233))</f>
        <v/>
      </c>
      <c r="G233" s="70" t="str">
        <f t="shared" si="27"/>
        <v/>
      </c>
      <c r="H233" s="42" t="str">
        <f>IF($B233="","",SUMPRODUCT(COUNTIFS(pbp_PlayType,EM_Type,pbp_Pitcher,$B233)*EM_H))</f>
        <v/>
      </c>
      <c r="I233" s="42" t="str">
        <f>IF($B233="","",SUMPRODUCT(COUNTIFS(pbp_PlayType,EM_Type,pbp_Pitcher,$B233)*EM_HR))</f>
        <v/>
      </c>
      <c r="J233" s="42" t="str">
        <f>IF($B233="","",SUMPRODUCT(COUNTIFS(pbp_PlayType,EM_Type,pbp_Pitcher,$B233)*EM_BB))</f>
        <v/>
      </c>
      <c r="K233" s="42" t="str">
        <f>IF($B233="","",SUMPRODUCT(COUNTIFS(pbp_PlayType,EM_Type,pbp_Pitcher,$B233)*EM_HBP))</f>
        <v/>
      </c>
      <c r="L233" s="42" t="str">
        <f>IF($B233="","",COUNTIFS(pbp_PlayType,"?*",pbp_Desc,"*struck out*",pbp_Pitcher,$B233))</f>
        <v/>
      </c>
      <c r="M233" s="42" t="str">
        <f>IF($B233="","",SUMIFS(pbp_Runs,pbp_Pitcher,$B233))</f>
        <v/>
      </c>
      <c r="N233" s="42" t="str">
        <f>IF($B233="","",SUMPRODUCT(COUNTIFS(pbp_PlayType,EM_Type,pbp_Pitcher,$B233)*EM_AB))</f>
        <v/>
      </c>
      <c r="O233" s="42" t="str">
        <f>IF($B233="","",SUMPRODUCT(COUNTIFS(pbp_PlayType,EM_Type,pbp_Pitcher,$B233)*EM_SF))</f>
        <v/>
      </c>
      <c r="P233" s="42" t="str">
        <f>IF($B233="","",SUMIFS(pbp_Pitches,pbp_Pitcher,$B233,pbp_PlayType,"?*"))</f>
        <v/>
      </c>
      <c r="Q233" s="60" t="str">
        <f t="shared" si="28"/>
        <v/>
      </c>
      <c r="R233" s="59" t="str">
        <f>IF($B233="","",IF(E233=0,"",1-SUMPRODUCT((pbp_Pitcher=$B233)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233)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33" s="59" t="str">
        <f>IF($B233="","",IF((SUMPRODUCT((pbp_Pitcher=$B233)*(LEN(pbp_PlayType)&gt;0)))=0,"",(SUMPRODUCT((pbp_Pitcher=$B233)*(LEN(pbp_PlayType)&gt;0)*ISNUMBER(MATCH(LEFT(TRIM(pbp_Seq)&amp;"/",FIND("/",TRIM(pbp_Seq)&amp;"/")-1),{"S","F","FT","FB","IN","MB","POS"},0))))/(SUMPRODUCT((pbp_Pitcher=$B233)*(LEN(pbp_PlayType)&gt;0)))))</f>
        <v/>
      </c>
      <c r="T233" s="59" t="str">
        <f t="shared" si="29"/>
        <v/>
      </c>
      <c r="U233" s="59" t="str">
        <f t="shared" si="30"/>
        <v/>
      </c>
      <c r="V233" s="59" t="str">
        <f t="shared" si="31"/>
        <v/>
      </c>
      <c r="W233" s="60" t="str">
        <f t="shared" si="32"/>
        <v/>
      </c>
      <c r="X233" s="60" t="str">
        <f t="shared" si="33"/>
        <v/>
      </c>
      <c r="Y233" s="58" t="str">
        <f t="shared" si="34"/>
        <v/>
      </c>
      <c r="Z233" s="58" t="str">
        <f t="shared" si="35"/>
        <v/>
      </c>
      <c r="AA233" s="62" t="str">
        <f>IF($B233="","",IF(OR(E233&lt;MinBF,X233=""),"",COUNTIFS($E$6:$E$255,"&gt;="&amp;MinBF,$X$6:$X$255,"&lt;"&amp;X233)+COUNTIFS($E$5:E232,"&gt;="&amp;MinBF,$X$5:X232,X233)+1))</f>
        <v/>
      </c>
    </row>
    <row r="234" spans="2:27" x14ac:dyDescent="0.2">
      <c r="B234" s="44" t="str">
        <f t="array" ref="B234">IFERROR(INDEX(pbp_Pitcher,MATCH(0,COUNTIF($B$5:B233,pbp_Pitcher)+(pbp_Pitcher=""),0)),"")</f>
        <v/>
      </c>
      <c r="C234" s="61" t="str">
        <f>IF($B234="","",IFERROR(INDEX(pbp_PitTeam,MATCH($B234,pbp_Pitcher,0)),""))</f>
        <v/>
      </c>
      <c r="D234" s="61" t="str">
        <f>IF($B234="","",IFERROR(INDEX(pbp_PitHand,MATCH($B234,pbp_Pitcher,0)),""))</f>
        <v/>
      </c>
      <c r="E234" s="42" t="str">
        <f>IF($B234="","",SUMPRODUCT(COUNTIFS(pbp_PlayType,EM_Type,pbp_Pitcher,$B234)*EM_PA))</f>
        <v/>
      </c>
      <c r="F234" s="42" t="str">
        <f>IF($B234="","",SUMIFS(pbp_Outs,pbp_Pitcher,$B234))</f>
        <v/>
      </c>
      <c r="G234" s="70" t="str">
        <f t="shared" si="27"/>
        <v/>
      </c>
      <c r="H234" s="42" t="str">
        <f>IF($B234="","",SUMPRODUCT(COUNTIFS(pbp_PlayType,EM_Type,pbp_Pitcher,$B234)*EM_H))</f>
        <v/>
      </c>
      <c r="I234" s="42" t="str">
        <f>IF($B234="","",SUMPRODUCT(COUNTIFS(pbp_PlayType,EM_Type,pbp_Pitcher,$B234)*EM_HR))</f>
        <v/>
      </c>
      <c r="J234" s="42" t="str">
        <f>IF($B234="","",SUMPRODUCT(COUNTIFS(pbp_PlayType,EM_Type,pbp_Pitcher,$B234)*EM_BB))</f>
        <v/>
      </c>
      <c r="K234" s="42" t="str">
        <f>IF($B234="","",SUMPRODUCT(COUNTIFS(pbp_PlayType,EM_Type,pbp_Pitcher,$B234)*EM_HBP))</f>
        <v/>
      </c>
      <c r="L234" s="42" t="str">
        <f>IF($B234="","",COUNTIFS(pbp_PlayType,"?*",pbp_Desc,"*struck out*",pbp_Pitcher,$B234))</f>
        <v/>
      </c>
      <c r="M234" s="42" t="str">
        <f>IF($B234="","",SUMIFS(pbp_Runs,pbp_Pitcher,$B234))</f>
        <v/>
      </c>
      <c r="N234" s="42" t="str">
        <f>IF($B234="","",SUMPRODUCT(COUNTIFS(pbp_PlayType,EM_Type,pbp_Pitcher,$B234)*EM_AB))</f>
        <v/>
      </c>
      <c r="O234" s="42" t="str">
        <f>IF($B234="","",SUMPRODUCT(COUNTIFS(pbp_PlayType,EM_Type,pbp_Pitcher,$B234)*EM_SF))</f>
        <v/>
      </c>
      <c r="P234" s="42" t="str">
        <f>IF($B234="","",SUMIFS(pbp_Pitches,pbp_Pitcher,$B234,pbp_PlayType,"?*"))</f>
        <v/>
      </c>
      <c r="Q234" s="60" t="str">
        <f t="shared" si="28"/>
        <v/>
      </c>
      <c r="R234" s="59" t="str">
        <f>IF($B234="","",IF(E234=0,"",1-SUMPRODUCT((pbp_Pitcher=$B234)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234)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34" s="59" t="str">
        <f>IF($B234="","",IF((SUMPRODUCT((pbp_Pitcher=$B234)*(LEN(pbp_PlayType)&gt;0)))=0,"",(SUMPRODUCT((pbp_Pitcher=$B234)*(LEN(pbp_PlayType)&gt;0)*ISNUMBER(MATCH(LEFT(TRIM(pbp_Seq)&amp;"/",FIND("/",TRIM(pbp_Seq)&amp;"/")-1),{"S","F","FT","FB","IN","MB","POS"},0))))/(SUMPRODUCT((pbp_Pitcher=$B234)*(LEN(pbp_PlayType)&gt;0)))))</f>
        <v/>
      </c>
      <c r="T234" s="59" t="str">
        <f t="shared" si="29"/>
        <v/>
      </c>
      <c r="U234" s="59" t="str">
        <f t="shared" si="30"/>
        <v/>
      </c>
      <c r="V234" s="59" t="str">
        <f t="shared" si="31"/>
        <v/>
      </c>
      <c r="W234" s="60" t="str">
        <f t="shared" si="32"/>
        <v/>
      </c>
      <c r="X234" s="60" t="str">
        <f t="shared" si="33"/>
        <v/>
      </c>
      <c r="Y234" s="58" t="str">
        <f t="shared" si="34"/>
        <v/>
      </c>
      <c r="Z234" s="58" t="str">
        <f t="shared" si="35"/>
        <v/>
      </c>
      <c r="AA234" s="62" t="str">
        <f>IF($B234="","",IF(OR(E234&lt;MinBF,X234=""),"",COUNTIFS($E$6:$E$255,"&gt;="&amp;MinBF,$X$6:$X$255,"&lt;"&amp;X234)+COUNTIFS($E$5:E233,"&gt;="&amp;MinBF,$X$5:X233,X234)+1))</f>
        <v/>
      </c>
    </row>
    <row r="235" spans="2:27" x14ac:dyDescent="0.2">
      <c r="B235" s="44" t="str">
        <f t="array" ref="B235">IFERROR(INDEX(pbp_Pitcher,MATCH(0,COUNTIF($B$5:B234,pbp_Pitcher)+(pbp_Pitcher=""),0)),"")</f>
        <v/>
      </c>
      <c r="C235" s="61" t="str">
        <f>IF($B235="","",IFERROR(INDEX(pbp_PitTeam,MATCH($B235,pbp_Pitcher,0)),""))</f>
        <v/>
      </c>
      <c r="D235" s="61" t="str">
        <f>IF($B235="","",IFERROR(INDEX(pbp_PitHand,MATCH($B235,pbp_Pitcher,0)),""))</f>
        <v/>
      </c>
      <c r="E235" s="42" t="str">
        <f>IF($B235="","",SUMPRODUCT(COUNTIFS(pbp_PlayType,EM_Type,pbp_Pitcher,$B235)*EM_PA))</f>
        <v/>
      </c>
      <c r="F235" s="42" t="str">
        <f>IF($B235="","",SUMIFS(pbp_Outs,pbp_Pitcher,$B235))</f>
        <v/>
      </c>
      <c r="G235" s="70" t="str">
        <f t="shared" si="27"/>
        <v/>
      </c>
      <c r="H235" s="42" t="str">
        <f>IF($B235="","",SUMPRODUCT(COUNTIFS(pbp_PlayType,EM_Type,pbp_Pitcher,$B235)*EM_H))</f>
        <v/>
      </c>
      <c r="I235" s="42" t="str">
        <f>IF($B235="","",SUMPRODUCT(COUNTIFS(pbp_PlayType,EM_Type,pbp_Pitcher,$B235)*EM_HR))</f>
        <v/>
      </c>
      <c r="J235" s="42" t="str">
        <f>IF($B235="","",SUMPRODUCT(COUNTIFS(pbp_PlayType,EM_Type,pbp_Pitcher,$B235)*EM_BB))</f>
        <v/>
      </c>
      <c r="K235" s="42" t="str">
        <f>IF($B235="","",SUMPRODUCT(COUNTIFS(pbp_PlayType,EM_Type,pbp_Pitcher,$B235)*EM_HBP))</f>
        <v/>
      </c>
      <c r="L235" s="42" t="str">
        <f>IF($B235="","",COUNTIFS(pbp_PlayType,"?*",pbp_Desc,"*struck out*",pbp_Pitcher,$B235))</f>
        <v/>
      </c>
      <c r="M235" s="42" t="str">
        <f>IF($B235="","",SUMIFS(pbp_Runs,pbp_Pitcher,$B235))</f>
        <v/>
      </c>
      <c r="N235" s="42" t="str">
        <f>IF($B235="","",SUMPRODUCT(COUNTIFS(pbp_PlayType,EM_Type,pbp_Pitcher,$B235)*EM_AB))</f>
        <v/>
      </c>
      <c r="O235" s="42" t="str">
        <f>IF($B235="","",SUMPRODUCT(COUNTIFS(pbp_PlayType,EM_Type,pbp_Pitcher,$B235)*EM_SF))</f>
        <v/>
      </c>
      <c r="P235" s="42" t="str">
        <f>IF($B235="","",SUMIFS(pbp_Pitches,pbp_Pitcher,$B235,pbp_PlayType,"?*"))</f>
        <v/>
      </c>
      <c r="Q235" s="60" t="str">
        <f t="shared" si="28"/>
        <v/>
      </c>
      <c r="R235" s="59" t="str">
        <f>IF($B235="","",IF(E235=0,"",1-SUMPRODUCT((pbp_Pitcher=$B235)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235)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35" s="59" t="str">
        <f>IF($B235="","",IF((SUMPRODUCT((pbp_Pitcher=$B235)*(LEN(pbp_PlayType)&gt;0)))=0,"",(SUMPRODUCT((pbp_Pitcher=$B235)*(LEN(pbp_PlayType)&gt;0)*ISNUMBER(MATCH(LEFT(TRIM(pbp_Seq)&amp;"/",FIND("/",TRIM(pbp_Seq)&amp;"/")-1),{"S","F","FT","FB","IN","MB","POS"},0))))/(SUMPRODUCT((pbp_Pitcher=$B235)*(LEN(pbp_PlayType)&gt;0)))))</f>
        <v/>
      </c>
      <c r="T235" s="59" t="str">
        <f t="shared" si="29"/>
        <v/>
      </c>
      <c r="U235" s="59" t="str">
        <f t="shared" si="30"/>
        <v/>
      </c>
      <c r="V235" s="59" t="str">
        <f t="shared" si="31"/>
        <v/>
      </c>
      <c r="W235" s="60" t="str">
        <f t="shared" si="32"/>
        <v/>
      </c>
      <c r="X235" s="60" t="str">
        <f t="shared" si="33"/>
        <v/>
      </c>
      <c r="Y235" s="58" t="str">
        <f t="shared" si="34"/>
        <v/>
      </c>
      <c r="Z235" s="58" t="str">
        <f t="shared" si="35"/>
        <v/>
      </c>
      <c r="AA235" s="62" t="str">
        <f>IF($B235="","",IF(OR(E235&lt;MinBF,X235=""),"",COUNTIFS($E$6:$E$255,"&gt;="&amp;MinBF,$X$6:$X$255,"&lt;"&amp;X235)+COUNTIFS($E$5:E234,"&gt;="&amp;MinBF,$X$5:X234,X235)+1))</f>
        <v/>
      </c>
    </row>
    <row r="236" spans="2:27" x14ac:dyDescent="0.2">
      <c r="B236" s="44" t="str">
        <f t="array" ref="B236">IFERROR(INDEX(pbp_Pitcher,MATCH(0,COUNTIF($B$5:B235,pbp_Pitcher)+(pbp_Pitcher=""),0)),"")</f>
        <v/>
      </c>
      <c r="C236" s="61" t="str">
        <f>IF($B236="","",IFERROR(INDEX(pbp_PitTeam,MATCH($B236,pbp_Pitcher,0)),""))</f>
        <v/>
      </c>
      <c r="D236" s="61" t="str">
        <f>IF($B236="","",IFERROR(INDEX(pbp_PitHand,MATCH($B236,pbp_Pitcher,0)),""))</f>
        <v/>
      </c>
      <c r="E236" s="42" t="str">
        <f>IF($B236="","",SUMPRODUCT(COUNTIFS(pbp_PlayType,EM_Type,pbp_Pitcher,$B236)*EM_PA))</f>
        <v/>
      </c>
      <c r="F236" s="42" t="str">
        <f>IF($B236="","",SUMIFS(pbp_Outs,pbp_Pitcher,$B236))</f>
        <v/>
      </c>
      <c r="G236" s="70" t="str">
        <f t="shared" si="27"/>
        <v/>
      </c>
      <c r="H236" s="42" t="str">
        <f>IF($B236="","",SUMPRODUCT(COUNTIFS(pbp_PlayType,EM_Type,pbp_Pitcher,$B236)*EM_H))</f>
        <v/>
      </c>
      <c r="I236" s="42" t="str">
        <f>IF($B236="","",SUMPRODUCT(COUNTIFS(pbp_PlayType,EM_Type,pbp_Pitcher,$B236)*EM_HR))</f>
        <v/>
      </c>
      <c r="J236" s="42" t="str">
        <f>IF($B236="","",SUMPRODUCT(COUNTIFS(pbp_PlayType,EM_Type,pbp_Pitcher,$B236)*EM_BB))</f>
        <v/>
      </c>
      <c r="K236" s="42" t="str">
        <f>IF($B236="","",SUMPRODUCT(COUNTIFS(pbp_PlayType,EM_Type,pbp_Pitcher,$B236)*EM_HBP))</f>
        <v/>
      </c>
      <c r="L236" s="42" t="str">
        <f>IF($B236="","",COUNTIFS(pbp_PlayType,"?*",pbp_Desc,"*struck out*",pbp_Pitcher,$B236))</f>
        <v/>
      </c>
      <c r="M236" s="42" t="str">
        <f>IF($B236="","",SUMIFS(pbp_Runs,pbp_Pitcher,$B236))</f>
        <v/>
      </c>
      <c r="N236" s="42" t="str">
        <f>IF($B236="","",SUMPRODUCT(COUNTIFS(pbp_PlayType,EM_Type,pbp_Pitcher,$B236)*EM_AB))</f>
        <v/>
      </c>
      <c r="O236" s="42" t="str">
        <f>IF($B236="","",SUMPRODUCT(COUNTIFS(pbp_PlayType,EM_Type,pbp_Pitcher,$B236)*EM_SF))</f>
        <v/>
      </c>
      <c r="P236" s="42" t="str">
        <f>IF($B236="","",SUMIFS(pbp_Pitches,pbp_Pitcher,$B236,pbp_PlayType,"?*"))</f>
        <v/>
      </c>
      <c r="Q236" s="60" t="str">
        <f t="shared" si="28"/>
        <v/>
      </c>
      <c r="R236" s="59" t="str">
        <f>IF($B236="","",IF(E236=0,"",1-SUMPRODUCT((pbp_Pitcher=$B236)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236)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36" s="59" t="str">
        <f>IF($B236="","",IF((SUMPRODUCT((pbp_Pitcher=$B236)*(LEN(pbp_PlayType)&gt;0)))=0,"",(SUMPRODUCT((pbp_Pitcher=$B236)*(LEN(pbp_PlayType)&gt;0)*ISNUMBER(MATCH(LEFT(TRIM(pbp_Seq)&amp;"/",FIND("/",TRIM(pbp_Seq)&amp;"/")-1),{"S","F","FT","FB","IN","MB","POS"},0))))/(SUMPRODUCT((pbp_Pitcher=$B236)*(LEN(pbp_PlayType)&gt;0)))))</f>
        <v/>
      </c>
      <c r="T236" s="59" t="str">
        <f t="shared" si="29"/>
        <v/>
      </c>
      <c r="U236" s="59" t="str">
        <f t="shared" si="30"/>
        <v/>
      </c>
      <c r="V236" s="59" t="str">
        <f t="shared" si="31"/>
        <v/>
      </c>
      <c r="W236" s="60" t="str">
        <f t="shared" si="32"/>
        <v/>
      </c>
      <c r="X236" s="60" t="str">
        <f t="shared" si="33"/>
        <v/>
      </c>
      <c r="Y236" s="58" t="str">
        <f t="shared" si="34"/>
        <v/>
      </c>
      <c r="Z236" s="58" t="str">
        <f t="shared" si="35"/>
        <v/>
      </c>
      <c r="AA236" s="62" t="str">
        <f>IF($B236="","",IF(OR(E236&lt;MinBF,X236=""),"",COUNTIFS($E$6:$E$255,"&gt;="&amp;MinBF,$X$6:$X$255,"&lt;"&amp;X236)+COUNTIFS($E$5:E235,"&gt;="&amp;MinBF,$X$5:X235,X236)+1))</f>
        <v/>
      </c>
    </row>
    <row r="237" spans="2:27" x14ac:dyDescent="0.2">
      <c r="B237" s="44" t="str">
        <f t="array" ref="B237">IFERROR(INDEX(pbp_Pitcher,MATCH(0,COUNTIF($B$5:B236,pbp_Pitcher)+(pbp_Pitcher=""),0)),"")</f>
        <v/>
      </c>
      <c r="C237" s="61" t="str">
        <f>IF($B237="","",IFERROR(INDEX(pbp_PitTeam,MATCH($B237,pbp_Pitcher,0)),""))</f>
        <v/>
      </c>
      <c r="D237" s="61" t="str">
        <f>IF($B237="","",IFERROR(INDEX(pbp_PitHand,MATCH($B237,pbp_Pitcher,0)),""))</f>
        <v/>
      </c>
      <c r="E237" s="42" t="str">
        <f>IF($B237="","",SUMPRODUCT(COUNTIFS(pbp_PlayType,EM_Type,pbp_Pitcher,$B237)*EM_PA))</f>
        <v/>
      </c>
      <c r="F237" s="42" t="str">
        <f>IF($B237="","",SUMIFS(pbp_Outs,pbp_Pitcher,$B237))</f>
        <v/>
      </c>
      <c r="G237" s="70" t="str">
        <f t="shared" si="27"/>
        <v/>
      </c>
      <c r="H237" s="42" t="str">
        <f>IF($B237="","",SUMPRODUCT(COUNTIFS(pbp_PlayType,EM_Type,pbp_Pitcher,$B237)*EM_H))</f>
        <v/>
      </c>
      <c r="I237" s="42" t="str">
        <f>IF($B237="","",SUMPRODUCT(COUNTIFS(pbp_PlayType,EM_Type,pbp_Pitcher,$B237)*EM_HR))</f>
        <v/>
      </c>
      <c r="J237" s="42" t="str">
        <f>IF($B237="","",SUMPRODUCT(COUNTIFS(pbp_PlayType,EM_Type,pbp_Pitcher,$B237)*EM_BB))</f>
        <v/>
      </c>
      <c r="K237" s="42" t="str">
        <f>IF($B237="","",SUMPRODUCT(COUNTIFS(pbp_PlayType,EM_Type,pbp_Pitcher,$B237)*EM_HBP))</f>
        <v/>
      </c>
      <c r="L237" s="42" t="str">
        <f>IF($B237="","",COUNTIFS(pbp_PlayType,"?*",pbp_Desc,"*struck out*",pbp_Pitcher,$B237))</f>
        <v/>
      </c>
      <c r="M237" s="42" t="str">
        <f>IF($B237="","",SUMIFS(pbp_Runs,pbp_Pitcher,$B237))</f>
        <v/>
      </c>
      <c r="N237" s="42" t="str">
        <f>IF($B237="","",SUMPRODUCT(COUNTIFS(pbp_PlayType,EM_Type,pbp_Pitcher,$B237)*EM_AB))</f>
        <v/>
      </c>
      <c r="O237" s="42" t="str">
        <f>IF($B237="","",SUMPRODUCT(COUNTIFS(pbp_PlayType,EM_Type,pbp_Pitcher,$B237)*EM_SF))</f>
        <v/>
      </c>
      <c r="P237" s="42" t="str">
        <f>IF($B237="","",SUMIFS(pbp_Pitches,pbp_Pitcher,$B237,pbp_PlayType,"?*"))</f>
        <v/>
      </c>
      <c r="Q237" s="60" t="str">
        <f t="shared" si="28"/>
        <v/>
      </c>
      <c r="R237" s="59" t="str">
        <f>IF($B237="","",IF(E237=0,"",1-SUMPRODUCT((pbp_Pitcher=$B237)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237)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37" s="59" t="str">
        <f>IF($B237="","",IF((SUMPRODUCT((pbp_Pitcher=$B237)*(LEN(pbp_PlayType)&gt;0)))=0,"",(SUMPRODUCT((pbp_Pitcher=$B237)*(LEN(pbp_PlayType)&gt;0)*ISNUMBER(MATCH(LEFT(TRIM(pbp_Seq)&amp;"/",FIND("/",TRIM(pbp_Seq)&amp;"/")-1),{"S","F","FT","FB","IN","MB","POS"},0))))/(SUMPRODUCT((pbp_Pitcher=$B237)*(LEN(pbp_PlayType)&gt;0)))))</f>
        <v/>
      </c>
      <c r="T237" s="59" t="str">
        <f t="shared" si="29"/>
        <v/>
      </c>
      <c r="U237" s="59" t="str">
        <f t="shared" si="30"/>
        <v/>
      </c>
      <c r="V237" s="59" t="str">
        <f t="shared" si="31"/>
        <v/>
      </c>
      <c r="W237" s="60" t="str">
        <f t="shared" si="32"/>
        <v/>
      </c>
      <c r="X237" s="60" t="str">
        <f t="shared" si="33"/>
        <v/>
      </c>
      <c r="Y237" s="58" t="str">
        <f t="shared" si="34"/>
        <v/>
      </c>
      <c r="Z237" s="58" t="str">
        <f t="shared" si="35"/>
        <v/>
      </c>
      <c r="AA237" s="62" t="str">
        <f>IF($B237="","",IF(OR(E237&lt;MinBF,X237=""),"",COUNTIFS($E$6:$E$255,"&gt;="&amp;MinBF,$X$6:$X$255,"&lt;"&amp;X237)+COUNTIFS($E$5:E236,"&gt;="&amp;MinBF,$X$5:X236,X237)+1))</f>
        <v/>
      </c>
    </row>
    <row r="238" spans="2:27" x14ac:dyDescent="0.2">
      <c r="B238" s="44" t="str">
        <f t="array" ref="B238">IFERROR(INDEX(pbp_Pitcher,MATCH(0,COUNTIF($B$5:B237,pbp_Pitcher)+(pbp_Pitcher=""),0)),"")</f>
        <v/>
      </c>
      <c r="C238" s="61" t="str">
        <f>IF($B238="","",IFERROR(INDEX(pbp_PitTeam,MATCH($B238,pbp_Pitcher,0)),""))</f>
        <v/>
      </c>
      <c r="D238" s="61" t="str">
        <f>IF($B238="","",IFERROR(INDEX(pbp_PitHand,MATCH($B238,pbp_Pitcher,0)),""))</f>
        <v/>
      </c>
      <c r="E238" s="42" t="str">
        <f>IF($B238="","",SUMPRODUCT(COUNTIFS(pbp_PlayType,EM_Type,pbp_Pitcher,$B238)*EM_PA))</f>
        <v/>
      </c>
      <c r="F238" s="42" t="str">
        <f>IF($B238="","",SUMIFS(pbp_Outs,pbp_Pitcher,$B238))</f>
        <v/>
      </c>
      <c r="G238" s="70" t="str">
        <f t="shared" si="27"/>
        <v/>
      </c>
      <c r="H238" s="42" t="str">
        <f>IF($B238="","",SUMPRODUCT(COUNTIFS(pbp_PlayType,EM_Type,pbp_Pitcher,$B238)*EM_H))</f>
        <v/>
      </c>
      <c r="I238" s="42" t="str">
        <f>IF($B238="","",SUMPRODUCT(COUNTIFS(pbp_PlayType,EM_Type,pbp_Pitcher,$B238)*EM_HR))</f>
        <v/>
      </c>
      <c r="J238" s="42" t="str">
        <f>IF($B238="","",SUMPRODUCT(COUNTIFS(pbp_PlayType,EM_Type,pbp_Pitcher,$B238)*EM_BB))</f>
        <v/>
      </c>
      <c r="K238" s="42" t="str">
        <f>IF($B238="","",SUMPRODUCT(COUNTIFS(pbp_PlayType,EM_Type,pbp_Pitcher,$B238)*EM_HBP))</f>
        <v/>
      </c>
      <c r="L238" s="42" t="str">
        <f>IF($B238="","",COUNTIFS(pbp_PlayType,"?*",pbp_Desc,"*struck out*",pbp_Pitcher,$B238))</f>
        <v/>
      </c>
      <c r="M238" s="42" t="str">
        <f>IF($B238="","",SUMIFS(pbp_Runs,pbp_Pitcher,$B238))</f>
        <v/>
      </c>
      <c r="N238" s="42" t="str">
        <f>IF($B238="","",SUMPRODUCT(COUNTIFS(pbp_PlayType,EM_Type,pbp_Pitcher,$B238)*EM_AB))</f>
        <v/>
      </c>
      <c r="O238" s="42" t="str">
        <f>IF($B238="","",SUMPRODUCT(COUNTIFS(pbp_PlayType,EM_Type,pbp_Pitcher,$B238)*EM_SF))</f>
        <v/>
      </c>
      <c r="P238" s="42" t="str">
        <f>IF($B238="","",SUMIFS(pbp_Pitches,pbp_Pitcher,$B238,pbp_PlayType,"?*"))</f>
        <v/>
      </c>
      <c r="Q238" s="60" t="str">
        <f t="shared" si="28"/>
        <v/>
      </c>
      <c r="R238" s="59" t="str">
        <f>IF($B238="","",IF(E238=0,"",1-SUMPRODUCT((pbp_Pitcher=$B238)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238)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38" s="59" t="str">
        <f>IF($B238="","",IF((SUMPRODUCT((pbp_Pitcher=$B238)*(LEN(pbp_PlayType)&gt;0)))=0,"",(SUMPRODUCT((pbp_Pitcher=$B238)*(LEN(pbp_PlayType)&gt;0)*ISNUMBER(MATCH(LEFT(TRIM(pbp_Seq)&amp;"/",FIND("/",TRIM(pbp_Seq)&amp;"/")-1),{"S","F","FT","FB","IN","MB","POS"},0))))/(SUMPRODUCT((pbp_Pitcher=$B238)*(LEN(pbp_PlayType)&gt;0)))))</f>
        <v/>
      </c>
      <c r="T238" s="59" t="str">
        <f t="shared" si="29"/>
        <v/>
      </c>
      <c r="U238" s="59" t="str">
        <f t="shared" si="30"/>
        <v/>
      </c>
      <c r="V238" s="59" t="str">
        <f t="shared" si="31"/>
        <v/>
      </c>
      <c r="W238" s="60" t="str">
        <f t="shared" si="32"/>
        <v/>
      </c>
      <c r="X238" s="60" t="str">
        <f t="shared" si="33"/>
        <v/>
      </c>
      <c r="Y238" s="58" t="str">
        <f t="shared" si="34"/>
        <v/>
      </c>
      <c r="Z238" s="58" t="str">
        <f t="shared" si="35"/>
        <v/>
      </c>
      <c r="AA238" s="62" t="str">
        <f>IF($B238="","",IF(OR(E238&lt;MinBF,X238=""),"",COUNTIFS($E$6:$E$255,"&gt;="&amp;MinBF,$X$6:$X$255,"&lt;"&amp;X238)+COUNTIFS($E$5:E237,"&gt;="&amp;MinBF,$X$5:X237,X238)+1))</f>
        <v/>
      </c>
    </row>
    <row r="239" spans="2:27" x14ac:dyDescent="0.2">
      <c r="B239" s="44" t="str">
        <f t="array" ref="B239">IFERROR(INDEX(pbp_Pitcher,MATCH(0,COUNTIF($B$5:B238,pbp_Pitcher)+(pbp_Pitcher=""),0)),"")</f>
        <v/>
      </c>
      <c r="C239" s="61" t="str">
        <f>IF($B239="","",IFERROR(INDEX(pbp_PitTeam,MATCH($B239,pbp_Pitcher,0)),""))</f>
        <v/>
      </c>
      <c r="D239" s="61" t="str">
        <f>IF($B239="","",IFERROR(INDEX(pbp_PitHand,MATCH($B239,pbp_Pitcher,0)),""))</f>
        <v/>
      </c>
      <c r="E239" s="42" t="str">
        <f>IF($B239="","",SUMPRODUCT(COUNTIFS(pbp_PlayType,EM_Type,pbp_Pitcher,$B239)*EM_PA))</f>
        <v/>
      </c>
      <c r="F239" s="42" t="str">
        <f>IF($B239="","",SUMIFS(pbp_Outs,pbp_Pitcher,$B239))</f>
        <v/>
      </c>
      <c r="G239" s="70" t="str">
        <f t="shared" si="27"/>
        <v/>
      </c>
      <c r="H239" s="42" t="str">
        <f>IF($B239="","",SUMPRODUCT(COUNTIFS(pbp_PlayType,EM_Type,pbp_Pitcher,$B239)*EM_H))</f>
        <v/>
      </c>
      <c r="I239" s="42" t="str">
        <f>IF($B239="","",SUMPRODUCT(COUNTIFS(pbp_PlayType,EM_Type,pbp_Pitcher,$B239)*EM_HR))</f>
        <v/>
      </c>
      <c r="J239" s="42" t="str">
        <f>IF($B239="","",SUMPRODUCT(COUNTIFS(pbp_PlayType,EM_Type,pbp_Pitcher,$B239)*EM_BB))</f>
        <v/>
      </c>
      <c r="K239" s="42" t="str">
        <f>IF($B239="","",SUMPRODUCT(COUNTIFS(pbp_PlayType,EM_Type,pbp_Pitcher,$B239)*EM_HBP))</f>
        <v/>
      </c>
      <c r="L239" s="42" t="str">
        <f>IF($B239="","",COUNTIFS(pbp_PlayType,"?*",pbp_Desc,"*struck out*",pbp_Pitcher,$B239))</f>
        <v/>
      </c>
      <c r="M239" s="42" t="str">
        <f>IF($B239="","",SUMIFS(pbp_Runs,pbp_Pitcher,$B239))</f>
        <v/>
      </c>
      <c r="N239" s="42" t="str">
        <f>IF($B239="","",SUMPRODUCT(COUNTIFS(pbp_PlayType,EM_Type,pbp_Pitcher,$B239)*EM_AB))</f>
        <v/>
      </c>
      <c r="O239" s="42" t="str">
        <f>IF($B239="","",SUMPRODUCT(COUNTIFS(pbp_PlayType,EM_Type,pbp_Pitcher,$B239)*EM_SF))</f>
        <v/>
      </c>
      <c r="P239" s="42" t="str">
        <f>IF($B239="","",SUMIFS(pbp_Pitches,pbp_Pitcher,$B239,pbp_PlayType,"?*"))</f>
        <v/>
      </c>
      <c r="Q239" s="60" t="str">
        <f t="shared" si="28"/>
        <v/>
      </c>
      <c r="R239" s="59" t="str">
        <f>IF($B239="","",IF(E239=0,"",1-SUMPRODUCT((pbp_Pitcher=$B239)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239)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39" s="59" t="str">
        <f>IF($B239="","",IF((SUMPRODUCT((pbp_Pitcher=$B239)*(LEN(pbp_PlayType)&gt;0)))=0,"",(SUMPRODUCT((pbp_Pitcher=$B239)*(LEN(pbp_PlayType)&gt;0)*ISNUMBER(MATCH(LEFT(TRIM(pbp_Seq)&amp;"/",FIND("/",TRIM(pbp_Seq)&amp;"/")-1),{"S","F","FT","FB","IN","MB","POS"},0))))/(SUMPRODUCT((pbp_Pitcher=$B239)*(LEN(pbp_PlayType)&gt;0)))))</f>
        <v/>
      </c>
      <c r="T239" s="59" t="str">
        <f t="shared" si="29"/>
        <v/>
      </c>
      <c r="U239" s="59" t="str">
        <f t="shared" si="30"/>
        <v/>
      </c>
      <c r="V239" s="59" t="str">
        <f t="shared" si="31"/>
        <v/>
      </c>
      <c r="W239" s="60" t="str">
        <f t="shared" si="32"/>
        <v/>
      </c>
      <c r="X239" s="60" t="str">
        <f t="shared" si="33"/>
        <v/>
      </c>
      <c r="Y239" s="58" t="str">
        <f t="shared" si="34"/>
        <v/>
      </c>
      <c r="Z239" s="58" t="str">
        <f t="shared" si="35"/>
        <v/>
      </c>
      <c r="AA239" s="62" t="str">
        <f>IF($B239="","",IF(OR(E239&lt;MinBF,X239=""),"",COUNTIFS($E$6:$E$255,"&gt;="&amp;MinBF,$X$6:$X$255,"&lt;"&amp;X239)+COUNTIFS($E$5:E238,"&gt;="&amp;MinBF,$X$5:X238,X239)+1))</f>
        <v/>
      </c>
    </row>
    <row r="240" spans="2:27" x14ac:dyDescent="0.2">
      <c r="B240" s="44" t="str">
        <f t="array" ref="B240">IFERROR(INDEX(pbp_Pitcher,MATCH(0,COUNTIF($B$5:B239,pbp_Pitcher)+(pbp_Pitcher=""),0)),"")</f>
        <v/>
      </c>
      <c r="C240" s="61" t="str">
        <f>IF($B240="","",IFERROR(INDEX(pbp_PitTeam,MATCH($B240,pbp_Pitcher,0)),""))</f>
        <v/>
      </c>
      <c r="D240" s="61" t="str">
        <f>IF($B240="","",IFERROR(INDEX(pbp_PitHand,MATCH($B240,pbp_Pitcher,0)),""))</f>
        <v/>
      </c>
      <c r="E240" s="42" t="str">
        <f>IF($B240="","",SUMPRODUCT(COUNTIFS(pbp_PlayType,EM_Type,pbp_Pitcher,$B240)*EM_PA))</f>
        <v/>
      </c>
      <c r="F240" s="42" t="str">
        <f>IF($B240="","",SUMIFS(pbp_Outs,pbp_Pitcher,$B240))</f>
        <v/>
      </c>
      <c r="G240" s="70" t="str">
        <f t="shared" si="27"/>
        <v/>
      </c>
      <c r="H240" s="42" t="str">
        <f>IF($B240="","",SUMPRODUCT(COUNTIFS(pbp_PlayType,EM_Type,pbp_Pitcher,$B240)*EM_H))</f>
        <v/>
      </c>
      <c r="I240" s="42" t="str">
        <f>IF($B240="","",SUMPRODUCT(COUNTIFS(pbp_PlayType,EM_Type,pbp_Pitcher,$B240)*EM_HR))</f>
        <v/>
      </c>
      <c r="J240" s="42" t="str">
        <f>IF($B240="","",SUMPRODUCT(COUNTIFS(pbp_PlayType,EM_Type,pbp_Pitcher,$B240)*EM_BB))</f>
        <v/>
      </c>
      <c r="K240" s="42" t="str">
        <f>IF($B240="","",SUMPRODUCT(COUNTIFS(pbp_PlayType,EM_Type,pbp_Pitcher,$B240)*EM_HBP))</f>
        <v/>
      </c>
      <c r="L240" s="42" t="str">
        <f>IF($B240="","",COUNTIFS(pbp_PlayType,"?*",pbp_Desc,"*struck out*",pbp_Pitcher,$B240))</f>
        <v/>
      </c>
      <c r="M240" s="42" t="str">
        <f>IF($B240="","",SUMIFS(pbp_Runs,pbp_Pitcher,$B240))</f>
        <v/>
      </c>
      <c r="N240" s="42" t="str">
        <f>IF($B240="","",SUMPRODUCT(COUNTIFS(pbp_PlayType,EM_Type,pbp_Pitcher,$B240)*EM_AB))</f>
        <v/>
      </c>
      <c r="O240" s="42" t="str">
        <f>IF($B240="","",SUMPRODUCT(COUNTIFS(pbp_PlayType,EM_Type,pbp_Pitcher,$B240)*EM_SF))</f>
        <v/>
      </c>
      <c r="P240" s="42" t="str">
        <f>IF($B240="","",SUMIFS(pbp_Pitches,pbp_Pitcher,$B240,pbp_PlayType,"?*"))</f>
        <v/>
      </c>
      <c r="Q240" s="60" t="str">
        <f t="shared" si="28"/>
        <v/>
      </c>
      <c r="R240" s="59" t="str">
        <f>IF($B240="","",IF(E240=0,"",1-SUMPRODUCT((pbp_Pitcher=$B240)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240)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40" s="59" t="str">
        <f>IF($B240="","",IF((SUMPRODUCT((pbp_Pitcher=$B240)*(LEN(pbp_PlayType)&gt;0)))=0,"",(SUMPRODUCT((pbp_Pitcher=$B240)*(LEN(pbp_PlayType)&gt;0)*ISNUMBER(MATCH(LEFT(TRIM(pbp_Seq)&amp;"/",FIND("/",TRIM(pbp_Seq)&amp;"/")-1),{"S","F","FT","FB","IN","MB","POS"},0))))/(SUMPRODUCT((pbp_Pitcher=$B240)*(LEN(pbp_PlayType)&gt;0)))))</f>
        <v/>
      </c>
      <c r="T240" s="59" t="str">
        <f t="shared" si="29"/>
        <v/>
      </c>
      <c r="U240" s="59" t="str">
        <f t="shared" si="30"/>
        <v/>
      </c>
      <c r="V240" s="59" t="str">
        <f t="shared" si="31"/>
        <v/>
      </c>
      <c r="W240" s="60" t="str">
        <f t="shared" si="32"/>
        <v/>
      </c>
      <c r="X240" s="60" t="str">
        <f t="shared" si="33"/>
        <v/>
      </c>
      <c r="Y240" s="58" t="str">
        <f t="shared" si="34"/>
        <v/>
      </c>
      <c r="Z240" s="58" t="str">
        <f t="shared" si="35"/>
        <v/>
      </c>
      <c r="AA240" s="62" t="str">
        <f>IF($B240="","",IF(OR(E240&lt;MinBF,X240=""),"",COUNTIFS($E$6:$E$255,"&gt;="&amp;MinBF,$X$6:$X$255,"&lt;"&amp;X240)+COUNTIFS($E$5:E239,"&gt;="&amp;MinBF,$X$5:X239,X240)+1))</f>
        <v/>
      </c>
    </row>
    <row r="241" spans="2:27" x14ac:dyDescent="0.2">
      <c r="B241" s="44" t="str">
        <f t="array" ref="B241">IFERROR(INDEX(pbp_Pitcher,MATCH(0,COUNTIF($B$5:B240,pbp_Pitcher)+(pbp_Pitcher=""),0)),"")</f>
        <v/>
      </c>
      <c r="C241" s="61" t="str">
        <f>IF($B241="","",IFERROR(INDEX(pbp_PitTeam,MATCH($B241,pbp_Pitcher,0)),""))</f>
        <v/>
      </c>
      <c r="D241" s="61" t="str">
        <f>IF($B241="","",IFERROR(INDEX(pbp_PitHand,MATCH($B241,pbp_Pitcher,0)),""))</f>
        <v/>
      </c>
      <c r="E241" s="42" t="str">
        <f>IF($B241="","",SUMPRODUCT(COUNTIFS(pbp_PlayType,EM_Type,pbp_Pitcher,$B241)*EM_PA))</f>
        <v/>
      </c>
      <c r="F241" s="42" t="str">
        <f>IF($B241="","",SUMIFS(pbp_Outs,pbp_Pitcher,$B241))</f>
        <v/>
      </c>
      <c r="G241" s="70" t="str">
        <f t="shared" si="27"/>
        <v/>
      </c>
      <c r="H241" s="42" t="str">
        <f>IF($B241="","",SUMPRODUCT(COUNTIFS(pbp_PlayType,EM_Type,pbp_Pitcher,$B241)*EM_H))</f>
        <v/>
      </c>
      <c r="I241" s="42" t="str">
        <f>IF($B241="","",SUMPRODUCT(COUNTIFS(pbp_PlayType,EM_Type,pbp_Pitcher,$B241)*EM_HR))</f>
        <v/>
      </c>
      <c r="J241" s="42" t="str">
        <f>IF($B241="","",SUMPRODUCT(COUNTIFS(pbp_PlayType,EM_Type,pbp_Pitcher,$B241)*EM_BB))</f>
        <v/>
      </c>
      <c r="K241" s="42" t="str">
        <f>IF($B241="","",SUMPRODUCT(COUNTIFS(pbp_PlayType,EM_Type,pbp_Pitcher,$B241)*EM_HBP))</f>
        <v/>
      </c>
      <c r="L241" s="42" t="str">
        <f>IF($B241="","",COUNTIFS(pbp_PlayType,"?*",pbp_Desc,"*struck out*",pbp_Pitcher,$B241))</f>
        <v/>
      </c>
      <c r="M241" s="42" t="str">
        <f>IF($B241="","",SUMIFS(pbp_Runs,pbp_Pitcher,$B241))</f>
        <v/>
      </c>
      <c r="N241" s="42" t="str">
        <f>IF($B241="","",SUMPRODUCT(COUNTIFS(pbp_PlayType,EM_Type,pbp_Pitcher,$B241)*EM_AB))</f>
        <v/>
      </c>
      <c r="O241" s="42" t="str">
        <f>IF($B241="","",SUMPRODUCT(COUNTIFS(pbp_PlayType,EM_Type,pbp_Pitcher,$B241)*EM_SF))</f>
        <v/>
      </c>
      <c r="P241" s="42" t="str">
        <f>IF($B241="","",SUMIFS(pbp_Pitches,pbp_Pitcher,$B241,pbp_PlayType,"?*"))</f>
        <v/>
      </c>
      <c r="Q241" s="60" t="str">
        <f t="shared" si="28"/>
        <v/>
      </c>
      <c r="R241" s="59" t="str">
        <f>IF($B241="","",IF(E241=0,"",1-SUMPRODUCT((pbp_Pitcher=$B241)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241)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41" s="59" t="str">
        <f>IF($B241="","",IF((SUMPRODUCT((pbp_Pitcher=$B241)*(LEN(pbp_PlayType)&gt;0)))=0,"",(SUMPRODUCT((pbp_Pitcher=$B241)*(LEN(pbp_PlayType)&gt;0)*ISNUMBER(MATCH(LEFT(TRIM(pbp_Seq)&amp;"/",FIND("/",TRIM(pbp_Seq)&amp;"/")-1),{"S","F","FT","FB","IN","MB","POS"},0))))/(SUMPRODUCT((pbp_Pitcher=$B241)*(LEN(pbp_PlayType)&gt;0)))))</f>
        <v/>
      </c>
      <c r="T241" s="59" t="str">
        <f t="shared" si="29"/>
        <v/>
      </c>
      <c r="U241" s="59" t="str">
        <f t="shared" si="30"/>
        <v/>
      </c>
      <c r="V241" s="59" t="str">
        <f t="shared" si="31"/>
        <v/>
      </c>
      <c r="W241" s="60" t="str">
        <f t="shared" si="32"/>
        <v/>
      </c>
      <c r="X241" s="60" t="str">
        <f t="shared" si="33"/>
        <v/>
      </c>
      <c r="Y241" s="58" t="str">
        <f t="shared" si="34"/>
        <v/>
      </c>
      <c r="Z241" s="58" t="str">
        <f t="shared" si="35"/>
        <v/>
      </c>
      <c r="AA241" s="62" t="str">
        <f>IF($B241="","",IF(OR(E241&lt;MinBF,X241=""),"",COUNTIFS($E$6:$E$255,"&gt;="&amp;MinBF,$X$6:$X$255,"&lt;"&amp;X241)+COUNTIFS($E$5:E240,"&gt;="&amp;MinBF,$X$5:X240,X241)+1))</f>
        <v/>
      </c>
    </row>
    <row r="242" spans="2:27" x14ac:dyDescent="0.2">
      <c r="B242" s="44" t="str">
        <f t="array" ref="B242">IFERROR(INDEX(pbp_Pitcher,MATCH(0,COUNTIF($B$5:B241,pbp_Pitcher)+(pbp_Pitcher=""),0)),"")</f>
        <v/>
      </c>
      <c r="C242" s="61" t="str">
        <f>IF($B242="","",IFERROR(INDEX(pbp_PitTeam,MATCH($B242,pbp_Pitcher,0)),""))</f>
        <v/>
      </c>
      <c r="D242" s="61" t="str">
        <f>IF($B242="","",IFERROR(INDEX(pbp_PitHand,MATCH($B242,pbp_Pitcher,0)),""))</f>
        <v/>
      </c>
      <c r="E242" s="42" t="str">
        <f>IF($B242="","",SUMPRODUCT(COUNTIFS(pbp_PlayType,EM_Type,pbp_Pitcher,$B242)*EM_PA))</f>
        <v/>
      </c>
      <c r="F242" s="42" t="str">
        <f>IF($B242="","",SUMIFS(pbp_Outs,pbp_Pitcher,$B242))</f>
        <v/>
      </c>
      <c r="G242" s="70" t="str">
        <f t="shared" si="27"/>
        <v/>
      </c>
      <c r="H242" s="42" t="str">
        <f>IF($B242="","",SUMPRODUCT(COUNTIFS(pbp_PlayType,EM_Type,pbp_Pitcher,$B242)*EM_H))</f>
        <v/>
      </c>
      <c r="I242" s="42" t="str">
        <f>IF($B242="","",SUMPRODUCT(COUNTIFS(pbp_PlayType,EM_Type,pbp_Pitcher,$B242)*EM_HR))</f>
        <v/>
      </c>
      <c r="J242" s="42" t="str">
        <f>IF($B242="","",SUMPRODUCT(COUNTIFS(pbp_PlayType,EM_Type,pbp_Pitcher,$B242)*EM_BB))</f>
        <v/>
      </c>
      <c r="K242" s="42" t="str">
        <f>IF($B242="","",SUMPRODUCT(COUNTIFS(pbp_PlayType,EM_Type,pbp_Pitcher,$B242)*EM_HBP))</f>
        <v/>
      </c>
      <c r="L242" s="42" t="str">
        <f>IF($B242="","",COUNTIFS(pbp_PlayType,"?*",pbp_Desc,"*struck out*",pbp_Pitcher,$B242))</f>
        <v/>
      </c>
      <c r="M242" s="42" t="str">
        <f>IF($B242="","",SUMIFS(pbp_Runs,pbp_Pitcher,$B242))</f>
        <v/>
      </c>
      <c r="N242" s="42" t="str">
        <f>IF($B242="","",SUMPRODUCT(COUNTIFS(pbp_PlayType,EM_Type,pbp_Pitcher,$B242)*EM_AB))</f>
        <v/>
      </c>
      <c r="O242" s="42" t="str">
        <f>IF($B242="","",SUMPRODUCT(COUNTIFS(pbp_PlayType,EM_Type,pbp_Pitcher,$B242)*EM_SF))</f>
        <v/>
      </c>
      <c r="P242" s="42" t="str">
        <f>IF($B242="","",SUMIFS(pbp_Pitches,pbp_Pitcher,$B242,pbp_PlayType,"?*"))</f>
        <v/>
      </c>
      <c r="Q242" s="60" t="str">
        <f t="shared" si="28"/>
        <v/>
      </c>
      <c r="R242" s="59" t="str">
        <f>IF($B242="","",IF(E242=0,"",1-SUMPRODUCT((pbp_Pitcher=$B242)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242)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42" s="59" t="str">
        <f>IF($B242="","",IF((SUMPRODUCT((pbp_Pitcher=$B242)*(LEN(pbp_PlayType)&gt;0)))=0,"",(SUMPRODUCT((pbp_Pitcher=$B242)*(LEN(pbp_PlayType)&gt;0)*ISNUMBER(MATCH(LEFT(TRIM(pbp_Seq)&amp;"/",FIND("/",TRIM(pbp_Seq)&amp;"/")-1),{"S","F","FT","FB","IN","MB","POS"},0))))/(SUMPRODUCT((pbp_Pitcher=$B242)*(LEN(pbp_PlayType)&gt;0)))))</f>
        <v/>
      </c>
      <c r="T242" s="59" t="str">
        <f t="shared" si="29"/>
        <v/>
      </c>
      <c r="U242" s="59" t="str">
        <f t="shared" si="30"/>
        <v/>
      </c>
      <c r="V242" s="59" t="str">
        <f t="shared" si="31"/>
        <v/>
      </c>
      <c r="W242" s="60" t="str">
        <f t="shared" si="32"/>
        <v/>
      </c>
      <c r="X242" s="60" t="str">
        <f t="shared" si="33"/>
        <v/>
      </c>
      <c r="Y242" s="58" t="str">
        <f t="shared" si="34"/>
        <v/>
      </c>
      <c r="Z242" s="58" t="str">
        <f t="shared" si="35"/>
        <v/>
      </c>
      <c r="AA242" s="62" t="str">
        <f>IF($B242="","",IF(OR(E242&lt;MinBF,X242=""),"",COUNTIFS($E$6:$E$255,"&gt;="&amp;MinBF,$X$6:$X$255,"&lt;"&amp;X242)+COUNTIFS($E$5:E241,"&gt;="&amp;MinBF,$X$5:X241,X242)+1))</f>
        <v/>
      </c>
    </row>
    <row r="243" spans="2:27" x14ac:dyDescent="0.2">
      <c r="B243" s="44" t="str">
        <f t="array" ref="B243">IFERROR(INDEX(pbp_Pitcher,MATCH(0,COUNTIF($B$5:B242,pbp_Pitcher)+(pbp_Pitcher=""),0)),"")</f>
        <v/>
      </c>
      <c r="C243" s="61" t="str">
        <f>IF($B243="","",IFERROR(INDEX(pbp_PitTeam,MATCH($B243,pbp_Pitcher,0)),""))</f>
        <v/>
      </c>
      <c r="D243" s="61" t="str">
        <f>IF($B243="","",IFERROR(INDEX(pbp_PitHand,MATCH($B243,pbp_Pitcher,0)),""))</f>
        <v/>
      </c>
      <c r="E243" s="42" t="str">
        <f>IF($B243="","",SUMPRODUCT(COUNTIFS(pbp_PlayType,EM_Type,pbp_Pitcher,$B243)*EM_PA))</f>
        <v/>
      </c>
      <c r="F243" s="42" t="str">
        <f>IF($B243="","",SUMIFS(pbp_Outs,pbp_Pitcher,$B243))</f>
        <v/>
      </c>
      <c r="G243" s="70" t="str">
        <f t="shared" si="27"/>
        <v/>
      </c>
      <c r="H243" s="42" t="str">
        <f>IF($B243="","",SUMPRODUCT(COUNTIFS(pbp_PlayType,EM_Type,pbp_Pitcher,$B243)*EM_H))</f>
        <v/>
      </c>
      <c r="I243" s="42" t="str">
        <f>IF($B243="","",SUMPRODUCT(COUNTIFS(pbp_PlayType,EM_Type,pbp_Pitcher,$B243)*EM_HR))</f>
        <v/>
      </c>
      <c r="J243" s="42" t="str">
        <f>IF($B243="","",SUMPRODUCT(COUNTIFS(pbp_PlayType,EM_Type,pbp_Pitcher,$B243)*EM_BB))</f>
        <v/>
      </c>
      <c r="K243" s="42" t="str">
        <f>IF($B243="","",SUMPRODUCT(COUNTIFS(pbp_PlayType,EM_Type,pbp_Pitcher,$B243)*EM_HBP))</f>
        <v/>
      </c>
      <c r="L243" s="42" t="str">
        <f>IF($B243="","",COUNTIFS(pbp_PlayType,"?*",pbp_Desc,"*struck out*",pbp_Pitcher,$B243))</f>
        <v/>
      </c>
      <c r="M243" s="42" t="str">
        <f>IF($B243="","",SUMIFS(pbp_Runs,pbp_Pitcher,$B243))</f>
        <v/>
      </c>
      <c r="N243" s="42" t="str">
        <f>IF($B243="","",SUMPRODUCT(COUNTIFS(pbp_PlayType,EM_Type,pbp_Pitcher,$B243)*EM_AB))</f>
        <v/>
      </c>
      <c r="O243" s="42" t="str">
        <f>IF($B243="","",SUMPRODUCT(COUNTIFS(pbp_PlayType,EM_Type,pbp_Pitcher,$B243)*EM_SF))</f>
        <v/>
      </c>
      <c r="P243" s="42" t="str">
        <f>IF($B243="","",SUMIFS(pbp_Pitches,pbp_Pitcher,$B243,pbp_PlayType,"?*"))</f>
        <v/>
      </c>
      <c r="Q243" s="60" t="str">
        <f t="shared" si="28"/>
        <v/>
      </c>
      <c r="R243" s="59" t="str">
        <f>IF($B243="","",IF(E243=0,"",1-SUMPRODUCT((pbp_Pitcher=$B243)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243)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43" s="59" t="str">
        <f>IF($B243="","",IF((SUMPRODUCT((pbp_Pitcher=$B243)*(LEN(pbp_PlayType)&gt;0)))=0,"",(SUMPRODUCT((pbp_Pitcher=$B243)*(LEN(pbp_PlayType)&gt;0)*ISNUMBER(MATCH(LEFT(TRIM(pbp_Seq)&amp;"/",FIND("/",TRIM(pbp_Seq)&amp;"/")-1),{"S","F","FT","FB","IN","MB","POS"},0))))/(SUMPRODUCT((pbp_Pitcher=$B243)*(LEN(pbp_PlayType)&gt;0)))))</f>
        <v/>
      </c>
      <c r="T243" s="59" t="str">
        <f t="shared" si="29"/>
        <v/>
      </c>
      <c r="U243" s="59" t="str">
        <f t="shared" si="30"/>
        <v/>
      </c>
      <c r="V243" s="59" t="str">
        <f t="shared" si="31"/>
        <v/>
      </c>
      <c r="W243" s="60" t="str">
        <f t="shared" si="32"/>
        <v/>
      </c>
      <c r="X243" s="60" t="str">
        <f t="shared" si="33"/>
        <v/>
      </c>
      <c r="Y243" s="58" t="str">
        <f t="shared" si="34"/>
        <v/>
      </c>
      <c r="Z243" s="58" t="str">
        <f t="shared" si="35"/>
        <v/>
      </c>
      <c r="AA243" s="62" t="str">
        <f>IF($B243="","",IF(OR(E243&lt;MinBF,X243=""),"",COUNTIFS($E$6:$E$255,"&gt;="&amp;MinBF,$X$6:$X$255,"&lt;"&amp;X243)+COUNTIFS($E$5:E242,"&gt;="&amp;MinBF,$X$5:X242,X243)+1))</f>
        <v/>
      </c>
    </row>
    <row r="244" spans="2:27" x14ac:dyDescent="0.2">
      <c r="B244" s="44" t="str">
        <f t="array" ref="B244">IFERROR(INDEX(pbp_Pitcher,MATCH(0,COUNTIF($B$5:B243,pbp_Pitcher)+(pbp_Pitcher=""),0)),"")</f>
        <v/>
      </c>
      <c r="C244" s="61" t="str">
        <f>IF($B244="","",IFERROR(INDEX(pbp_PitTeam,MATCH($B244,pbp_Pitcher,0)),""))</f>
        <v/>
      </c>
      <c r="D244" s="61" t="str">
        <f>IF($B244="","",IFERROR(INDEX(pbp_PitHand,MATCH($B244,pbp_Pitcher,0)),""))</f>
        <v/>
      </c>
      <c r="E244" s="42" t="str">
        <f>IF($B244="","",SUMPRODUCT(COUNTIFS(pbp_PlayType,EM_Type,pbp_Pitcher,$B244)*EM_PA))</f>
        <v/>
      </c>
      <c r="F244" s="42" t="str">
        <f>IF($B244="","",SUMIFS(pbp_Outs,pbp_Pitcher,$B244))</f>
        <v/>
      </c>
      <c r="G244" s="70" t="str">
        <f t="shared" si="27"/>
        <v/>
      </c>
      <c r="H244" s="42" t="str">
        <f>IF($B244="","",SUMPRODUCT(COUNTIFS(pbp_PlayType,EM_Type,pbp_Pitcher,$B244)*EM_H))</f>
        <v/>
      </c>
      <c r="I244" s="42" t="str">
        <f>IF($B244="","",SUMPRODUCT(COUNTIFS(pbp_PlayType,EM_Type,pbp_Pitcher,$B244)*EM_HR))</f>
        <v/>
      </c>
      <c r="J244" s="42" t="str">
        <f>IF($B244="","",SUMPRODUCT(COUNTIFS(pbp_PlayType,EM_Type,pbp_Pitcher,$B244)*EM_BB))</f>
        <v/>
      </c>
      <c r="K244" s="42" t="str">
        <f>IF($B244="","",SUMPRODUCT(COUNTIFS(pbp_PlayType,EM_Type,pbp_Pitcher,$B244)*EM_HBP))</f>
        <v/>
      </c>
      <c r="L244" s="42" t="str">
        <f>IF($B244="","",COUNTIFS(pbp_PlayType,"?*",pbp_Desc,"*struck out*",pbp_Pitcher,$B244))</f>
        <v/>
      </c>
      <c r="M244" s="42" t="str">
        <f>IF($B244="","",SUMIFS(pbp_Runs,pbp_Pitcher,$B244))</f>
        <v/>
      </c>
      <c r="N244" s="42" t="str">
        <f>IF($B244="","",SUMPRODUCT(COUNTIFS(pbp_PlayType,EM_Type,pbp_Pitcher,$B244)*EM_AB))</f>
        <v/>
      </c>
      <c r="O244" s="42" t="str">
        <f>IF($B244="","",SUMPRODUCT(COUNTIFS(pbp_PlayType,EM_Type,pbp_Pitcher,$B244)*EM_SF))</f>
        <v/>
      </c>
      <c r="P244" s="42" t="str">
        <f>IF($B244="","",SUMIFS(pbp_Pitches,pbp_Pitcher,$B244,pbp_PlayType,"?*"))</f>
        <v/>
      </c>
      <c r="Q244" s="60" t="str">
        <f t="shared" si="28"/>
        <v/>
      </c>
      <c r="R244" s="59" t="str">
        <f>IF($B244="","",IF(E244=0,"",1-SUMPRODUCT((pbp_Pitcher=$B244)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244)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44" s="59" t="str">
        <f>IF($B244="","",IF((SUMPRODUCT((pbp_Pitcher=$B244)*(LEN(pbp_PlayType)&gt;0)))=0,"",(SUMPRODUCT((pbp_Pitcher=$B244)*(LEN(pbp_PlayType)&gt;0)*ISNUMBER(MATCH(LEFT(TRIM(pbp_Seq)&amp;"/",FIND("/",TRIM(pbp_Seq)&amp;"/")-1),{"S","F","FT","FB","IN","MB","POS"},0))))/(SUMPRODUCT((pbp_Pitcher=$B244)*(LEN(pbp_PlayType)&gt;0)))))</f>
        <v/>
      </c>
      <c r="T244" s="59" t="str">
        <f t="shared" si="29"/>
        <v/>
      </c>
      <c r="U244" s="59" t="str">
        <f t="shared" si="30"/>
        <v/>
      </c>
      <c r="V244" s="59" t="str">
        <f t="shared" si="31"/>
        <v/>
      </c>
      <c r="W244" s="60" t="str">
        <f t="shared" si="32"/>
        <v/>
      </c>
      <c r="X244" s="60" t="str">
        <f t="shared" si="33"/>
        <v/>
      </c>
      <c r="Y244" s="58" t="str">
        <f t="shared" si="34"/>
        <v/>
      </c>
      <c r="Z244" s="58" t="str">
        <f t="shared" si="35"/>
        <v/>
      </c>
      <c r="AA244" s="62" t="str">
        <f>IF($B244="","",IF(OR(E244&lt;MinBF,X244=""),"",COUNTIFS($E$6:$E$255,"&gt;="&amp;MinBF,$X$6:$X$255,"&lt;"&amp;X244)+COUNTIFS($E$5:E243,"&gt;="&amp;MinBF,$X$5:X243,X244)+1))</f>
        <v/>
      </c>
    </row>
    <row r="245" spans="2:27" x14ac:dyDescent="0.2">
      <c r="B245" s="44" t="str">
        <f t="array" ref="B245">IFERROR(INDEX(pbp_Pitcher,MATCH(0,COUNTIF($B$5:B244,pbp_Pitcher)+(pbp_Pitcher=""),0)),"")</f>
        <v/>
      </c>
      <c r="C245" s="61" t="str">
        <f>IF($B245="","",IFERROR(INDEX(pbp_PitTeam,MATCH($B245,pbp_Pitcher,0)),""))</f>
        <v/>
      </c>
      <c r="D245" s="61" t="str">
        <f>IF($B245="","",IFERROR(INDEX(pbp_PitHand,MATCH($B245,pbp_Pitcher,0)),""))</f>
        <v/>
      </c>
      <c r="E245" s="42" t="str">
        <f>IF($B245="","",SUMPRODUCT(COUNTIFS(pbp_PlayType,EM_Type,pbp_Pitcher,$B245)*EM_PA))</f>
        <v/>
      </c>
      <c r="F245" s="42" t="str">
        <f>IF($B245="","",SUMIFS(pbp_Outs,pbp_Pitcher,$B245))</f>
        <v/>
      </c>
      <c r="G245" s="70" t="str">
        <f t="shared" si="27"/>
        <v/>
      </c>
      <c r="H245" s="42" t="str">
        <f>IF($B245="","",SUMPRODUCT(COUNTIFS(pbp_PlayType,EM_Type,pbp_Pitcher,$B245)*EM_H))</f>
        <v/>
      </c>
      <c r="I245" s="42" t="str">
        <f>IF($B245="","",SUMPRODUCT(COUNTIFS(pbp_PlayType,EM_Type,pbp_Pitcher,$B245)*EM_HR))</f>
        <v/>
      </c>
      <c r="J245" s="42" t="str">
        <f>IF($B245="","",SUMPRODUCT(COUNTIFS(pbp_PlayType,EM_Type,pbp_Pitcher,$B245)*EM_BB))</f>
        <v/>
      </c>
      <c r="K245" s="42" t="str">
        <f>IF($B245="","",SUMPRODUCT(COUNTIFS(pbp_PlayType,EM_Type,pbp_Pitcher,$B245)*EM_HBP))</f>
        <v/>
      </c>
      <c r="L245" s="42" t="str">
        <f>IF($B245="","",COUNTIFS(pbp_PlayType,"?*",pbp_Desc,"*struck out*",pbp_Pitcher,$B245))</f>
        <v/>
      </c>
      <c r="M245" s="42" t="str">
        <f>IF($B245="","",SUMIFS(pbp_Runs,pbp_Pitcher,$B245))</f>
        <v/>
      </c>
      <c r="N245" s="42" t="str">
        <f>IF($B245="","",SUMPRODUCT(COUNTIFS(pbp_PlayType,EM_Type,pbp_Pitcher,$B245)*EM_AB))</f>
        <v/>
      </c>
      <c r="O245" s="42" t="str">
        <f>IF($B245="","",SUMPRODUCT(COUNTIFS(pbp_PlayType,EM_Type,pbp_Pitcher,$B245)*EM_SF))</f>
        <v/>
      </c>
      <c r="P245" s="42" t="str">
        <f>IF($B245="","",SUMIFS(pbp_Pitches,pbp_Pitcher,$B245,pbp_PlayType,"?*"))</f>
        <v/>
      </c>
      <c r="Q245" s="60" t="str">
        <f t="shared" si="28"/>
        <v/>
      </c>
      <c r="R245" s="59" t="str">
        <f>IF($B245="","",IF(E245=0,"",1-SUMPRODUCT((pbp_Pitcher=$B245)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245)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45" s="59" t="str">
        <f>IF($B245="","",IF((SUMPRODUCT((pbp_Pitcher=$B245)*(LEN(pbp_PlayType)&gt;0)))=0,"",(SUMPRODUCT((pbp_Pitcher=$B245)*(LEN(pbp_PlayType)&gt;0)*ISNUMBER(MATCH(LEFT(TRIM(pbp_Seq)&amp;"/",FIND("/",TRIM(pbp_Seq)&amp;"/")-1),{"S","F","FT","FB","IN","MB","POS"},0))))/(SUMPRODUCT((pbp_Pitcher=$B245)*(LEN(pbp_PlayType)&gt;0)))))</f>
        <v/>
      </c>
      <c r="T245" s="59" t="str">
        <f t="shared" si="29"/>
        <v/>
      </c>
      <c r="U245" s="59" t="str">
        <f t="shared" si="30"/>
        <v/>
      </c>
      <c r="V245" s="59" t="str">
        <f t="shared" si="31"/>
        <v/>
      </c>
      <c r="W245" s="60" t="str">
        <f t="shared" si="32"/>
        <v/>
      </c>
      <c r="X245" s="60" t="str">
        <f t="shared" si="33"/>
        <v/>
      </c>
      <c r="Y245" s="58" t="str">
        <f t="shared" si="34"/>
        <v/>
      </c>
      <c r="Z245" s="58" t="str">
        <f t="shared" si="35"/>
        <v/>
      </c>
      <c r="AA245" s="62" t="str">
        <f>IF($B245="","",IF(OR(E245&lt;MinBF,X245=""),"",COUNTIFS($E$6:$E$255,"&gt;="&amp;MinBF,$X$6:$X$255,"&lt;"&amp;X245)+COUNTIFS($E$5:E244,"&gt;="&amp;MinBF,$X$5:X244,X245)+1))</f>
        <v/>
      </c>
    </row>
    <row r="246" spans="2:27" x14ac:dyDescent="0.2">
      <c r="B246" s="44" t="str">
        <f t="array" ref="B246">IFERROR(INDEX(pbp_Pitcher,MATCH(0,COUNTIF($B$5:B245,pbp_Pitcher)+(pbp_Pitcher=""),0)),"")</f>
        <v/>
      </c>
      <c r="C246" s="61" t="str">
        <f>IF($B246="","",IFERROR(INDEX(pbp_PitTeam,MATCH($B246,pbp_Pitcher,0)),""))</f>
        <v/>
      </c>
      <c r="D246" s="61" t="str">
        <f>IF($B246="","",IFERROR(INDEX(pbp_PitHand,MATCH($B246,pbp_Pitcher,0)),""))</f>
        <v/>
      </c>
      <c r="E246" s="42" t="str">
        <f>IF($B246="","",SUMPRODUCT(COUNTIFS(pbp_PlayType,EM_Type,pbp_Pitcher,$B246)*EM_PA))</f>
        <v/>
      </c>
      <c r="F246" s="42" t="str">
        <f>IF($B246="","",SUMIFS(pbp_Outs,pbp_Pitcher,$B246))</f>
        <v/>
      </c>
      <c r="G246" s="70" t="str">
        <f t="shared" si="27"/>
        <v/>
      </c>
      <c r="H246" s="42" t="str">
        <f>IF($B246="","",SUMPRODUCT(COUNTIFS(pbp_PlayType,EM_Type,pbp_Pitcher,$B246)*EM_H))</f>
        <v/>
      </c>
      <c r="I246" s="42" t="str">
        <f>IF($B246="","",SUMPRODUCT(COUNTIFS(pbp_PlayType,EM_Type,pbp_Pitcher,$B246)*EM_HR))</f>
        <v/>
      </c>
      <c r="J246" s="42" t="str">
        <f>IF($B246="","",SUMPRODUCT(COUNTIFS(pbp_PlayType,EM_Type,pbp_Pitcher,$B246)*EM_BB))</f>
        <v/>
      </c>
      <c r="K246" s="42" t="str">
        <f>IF($B246="","",SUMPRODUCT(COUNTIFS(pbp_PlayType,EM_Type,pbp_Pitcher,$B246)*EM_HBP))</f>
        <v/>
      </c>
      <c r="L246" s="42" t="str">
        <f>IF($B246="","",COUNTIFS(pbp_PlayType,"?*",pbp_Desc,"*struck out*",pbp_Pitcher,$B246))</f>
        <v/>
      </c>
      <c r="M246" s="42" t="str">
        <f>IF($B246="","",SUMIFS(pbp_Runs,pbp_Pitcher,$B246))</f>
        <v/>
      </c>
      <c r="N246" s="42" t="str">
        <f>IF($B246="","",SUMPRODUCT(COUNTIFS(pbp_PlayType,EM_Type,pbp_Pitcher,$B246)*EM_AB))</f>
        <v/>
      </c>
      <c r="O246" s="42" t="str">
        <f>IF($B246="","",SUMPRODUCT(COUNTIFS(pbp_PlayType,EM_Type,pbp_Pitcher,$B246)*EM_SF))</f>
        <v/>
      </c>
      <c r="P246" s="42" t="str">
        <f>IF($B246="","",SUMIFS(pbp_Pitches,pbp_Pitcher,$B246,pbp_PlayType,"?*"))</f>
        <v/>
      </c>
      <c r="Q246" s="60" t="str">
        <f t="shared" si="28"/>
        <v/>
      </c>
      <c r="R246" s="59" t="str">
        <f>IF($B246="","",IF(E246=0,"",1-SUMPRODUCT((pbp_Pitcher=$B246)*(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246)*(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46" s="59" t="str">
        <f>IF($B246="","",IF((SUMPRODUCT((pbp_Pitcher=$B246)*(LEN(pbp_PlayType)&gt;0)))=0,"",(SUMPRODUCT((pbp_Pitcher=$B246)*(LEN(pbp_PlayType)&gt;0)*ISNUMBER(MATCH(LEFT(TRIM(pbp_Seq)&amp;"/",FIND("/",TRIM(pbp_Seq)&amp;"/")-1),{"S","F","FT","FB","IN","MB","POS"},0))))/(SUMPRODUCT((pbp_Pitcher=$B246)*(LEN(pbp_PlayType)&gt;0)))))</f>
        <v/>
      </c>
      <c r="T246" s="59" t="str">
        <f t="shared" si="29"/>
        <v/>
      </c>
      <c r="U246" s="59" t="str">
        <f t="shared" si="30"/>
        <v/>
      </c>
      <c r="V246" s="59" t="str">
        <f t="shared" si="31"/>
        <v/>
      </c>
      <c r="W246" s="60" t="str">
        <f t="shared" si="32"/>
        <v/>
      </c>
      <c r="X246" s="60" t="str">
        <f t="shared" si="33"/>
        <v/>
      </c>
      <c r="Y246" s="58" t="str">
        <f t="shared" si="34"/>
        <v/>
      </c>
      <c r="Z246" s="58" t="str">
        <f t="shared" si="35"/>
        <v/>
      </c>
      <c r="AA246" s="62" t="str">
        <f>IF($B246="","",IF(OR(E246&lt;MinBF,X246=""),"",COUNTIFS($E$6:$E$255,"&gt;="&amp;MinBF,$X$6:$X$255,"&lt;"&amp;X246)+COUNTIFS($E$5:E245,"&gt;="&amp;MinBF,$X$5:X245,X246)+1))</f>
        <v/>
      </c>
    </row>
    <row r="247" spans="2:27" x14ac:dyDescent="0.2">
      <c r="B247" s="44" t="str">
        <f t="array" ref="B247">IFERROR(INDEX(pbp_Pitcher,MATCH(0,COUNTIF($B$5:B246,pbp_Pitcher)+(pbp_Pitcher=""),0)),"")</f>
        <v/>
      </c>
      <c r="C247" s="61" t="str">
        <f>IF($B247="","",IFERROR(INDEX(pbp_PitTeam,MATCH($B247,pbp_Pitcher,0)),""))</f>
        <v/>
      </c>
      <c r="D247" s="61" t="str">
        <f>IF($B247="","",IFERROR(INDEX(pbp_PitHand,MATCH($B247,pbp_Pitcher,0)),""))</f>
        <v/>
      </c>
      <c r="E247" s="42" t="str">
        <f>IF($B247="","",SUMPRODUCT(COUNTIFS(pbp_PlayType,EM_Type,pbp_Pitcher,$B247)*EM_PA))</f>
        <v/>
      </c>
      <c r="F247" s="42" t="str">
        <f>IF($B247="","",SUMIFS(pbp_Outs,pbp_Pitcher,$B247))</f>
        <v/>
      </c>
      <c r="G247" s="70" t="str">
        <f t="shared" si="27"/>
        <v/>
      </c>
      <c r="H247" s="42" t="str">
        <f>IF($B247="","",SUMPRODUCT(COUNTIFS(pbp_PlayType,EM_Type,pbp_Pitcher,$B247)*EM_H))</f>
        <v/>
      </c>
      <c r="I247" s="42" t="str">
        <f>IF($B247="","",SUMPRODUCT(COUNTIFS(pbp_PlayType,EM_Type,pbp_Pitcher,$B247)*EM_HR))</f>
        <v/>
      </c>
      <c r="J247" s="42" t="str">
        <f>IF($B247="","",SUMPRODUCT(COUNTIFS(pbp_PlayType,EM_Type,pbp_Pitcher,$B247)*EM_BB))</f>
        <v/>
      </c>
      <c r="K247" s="42" t="str">
        <f>IF($B247="","",SUMPRODUCT(COUNTIFS(pbp_PlayType,EM_Type,pbp_Pitcher,$B247)*EM_HBP))</f>
        <v/>
      </c>
      <c r="L247" s="42" t="str">
        <f>IF($B247="","",COUNTIFS(pbp_PlayType,"?*",pbp_Desc,"*struck out*",pbp_Pitcher,$B247))</f>
        <v/>
      </c>
      <c r="M247" s="42" t="str">
        <f>IF($B247="","",SUMIFS(pbp_Runs,pbp_Pitcher,$B247))</f>
        <v/>
      </c>
      <c r="N247" s="42" t="str">
        <f>IF($B247="","",SUMPRODUCT(COUNTIFS(pbp_PlayType,EM_Type,pbp_Pitcher,$B247)*EM_AB))</f>
        <v/>
      </c>
      <c r="O247" s="42" t="str">
        <f>IF($B247="","",SUMPRODUCT(COUNTIFS(pbp_PlayType,EM_Type,pbp_Pitcher,$B247)*EM_SF))</f>
        <v/>
      </c>
      <c r="P247" s="42" t="str">
        <f>IF($B247="","",SUMIFS(pbp_Pitches,pbp_Pitcher,$B247,pbp_PlayType,"?*"))</f>
        <v/>
      </c>
      <c r="Q247" s="60" t="str">
        <f t="shared" si="28"/>
        <v/>
      </c>
      <c r="R247" s="59" t="str">
        <f>IF($B247="","",IF(E247=0,"",1-SUMPRODUCT((pbp_Pitcher=$B247)*(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247)*(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47" s="59" t="str">
        <f>IF($B247="","",IF((SUMPRODUCT((pbp_Pitcher=$B247)*(LEN(pbp_PlayType)&gt;0)))=0,"",(SUMPRODUCT((pbp_Pitcher=$B247)*(LEN(pbp_PlayType)&gt;0)*ISNUMBER(MATCH(LEFT(TRIM(pbp_Seq)&amp;"/",FIND("/",TRIM(pbp_Seq)&amp;"/")-1),{"S","F","FT","FB","IN","MB","POS"},0))))/(SUMPRODUCT((pbp_Pitcher=$B247)*(LEN(pbp_PlayType)&gt;0)))))</f>
        <v/>
      </c>
      <c r="T247" s="59" t="str">
        <f t="shared" si="29"/>
        <v/>
      </c>
      <c r="U247" s="59" t="str">
        <f t="shared" si="30"/>
        <v/>
      </c>
      <c r="V247" s="59" t="str">
        <f t="shared" si="31"/>
        <v/>
      </c>
      <c r="W247" s="60" t="str">
        <f t="shared" si="32"/>
        <v/>
      </c>
      <c r="X247" s="60" t="str">
        <f t="shared" si="33"/>
        <v/>
      </c>
      <c r="Y247" s="58" t="str">
        <f t="shared" si="34"/>
        <v/>
      </c>
      <c r="Z247" s="58" t="str">
        <f t="shared" si="35"/>
        <v/>
      </c>
      <c r="AA247" s="62" t="str">
        <f>IF($B247="","",IF(OR(E247&lt;MinBF,X247=""),"",COUNTIFS($E$6:$E$255,"&gt;="&amp;MinBF,$X$6:$X$255,"&lt;"&amp;X247)+COUNTIFS($E$5:E246,"&gt;="&amp;MinBF,$X$5:X246,X247)+1))</f>
        <v/>
      </c>
    </row>
    <row r="248" spans="2:27" x14ac:dyDescent="0.2">
      <c r="B248" s="44" t="str">
        <f t="array" ref="B248">IFERROR(INDEX(pbp_Pitcher,MATCH(0,COUNTIF($B$5:B247,pbp_Pitcher)+(pbp_Pitcher=""),0)),"")</f>
        <v/>
      </c>
      <c r="C248" s="61" t="str">
        <f>IF($B248="","",IFERROR(INDEX(pbp_PitTeam,MATCH($B248,pbp_Pitcher,0)),""))</f>
        <v/>
      </c>
      <c r="D248" s="61" t="str">
        <f>IF($B248="","",IFERROR(INDEX(pbp_PitHand,MATCH($B248,pbp_Pitcher,0)),""))</f>
        <v/>
      </c>
      <c r="E248" s="42" t="str">
        <f>IF($B248="","",SUMPRODUCT(COUNTIFS(pbp_PlayType,EM_Type,pbp_Pitcher,$B248)*EM_PA))</f>
        <v/>
      </c>
      <c r="F248" s="42" t="str">
        <f>IF($B248="","",SUMIFS(pbp_Outs,pbp_Pitcher,$B248))</f>
        <v/>
      </c>
      <c r="G248" s="70" t="str">
        <f t="shared" si="27"/>
        <v/>
      </c>
      <c r="H248" s="42" t="str">
        <f>IF($B248="","",SUMPRODUCT(COUNTIFS(pbp_PlayType,EM_Type,pbp_Pitcher,$B248)*EM_H))</f>
        <v/>
      </c>
      <c r="I248" s="42" t="str">
        <f>IF($B248="","",SUMPRODUCT(COUNTIFS(pbp_PlayType,EM_Type,pbp_Pitcher,$B248)*EM_HR))</f>
        <v/>
      </c>
      <c r="J248" s="42" t="str">
        <f>IF($B248="","",SUMPRODUCT(COUNTIFS(pbp_PlayType,EM_Type,pbp_Pitcher,$B248)*EM_BB))</f>
        <v/>
      </c>
      <c r="K248" s="42" t="str">
        <f>IF($B248="","",SUMPRODUCT(COUNTIFS(pbp_PlayType,EM_Type,pbp_Pitcher,$B248)*EM_HBP))</f>
        <v/>
      </c>
      <c r="L248" s="42" t="str">
        <f>IF($B248="","",COUNTIFS(pbp_PlayType,"?*",pbp_Desc,"*struck out*",pbp_Pitcher,$B248))</f>
        <v/>
      </c>
      <c r="M248" s="42" t="str">
        <f>IF($B248="","",SUMIFS(pbp_Runs,pbp_Pitcher,$B248))</f>
        <v/>
      </c>
      <c r="N248" s="42" t="str">
        <f>IF($B248="","",SUMPRODUCT(COUNTIFS(pbp_PlayType,EM_Type,pbp_Pitcher,$B248)*EM_AB))</f>
        <v/>
      </c>
      <c r="O248" s="42" t="str">
        <f>IF($B248="","",SUMPRODUCT(COUNTIFS(pbp_PlayType,EM_Type,pbp_Pitcher,$B248)*EM_SF))</f>
        <v/>
      </c>
      <c r="P248" s="42" t="str">
        <f>IF($B248="","",SUMIFS(pbp_Pitches,pbp_Pitcher,$B248,pbp_PlayType,"?*"))</f>
        <v/>
      </c>
      <c r="Q248" s="60" t="str">
        <f t="shared" si="28"/>
        <v/>
      </c>
      <c r="R248" s="59" t="str">
        <f>IF($B248="","",IF(E248=0,"",1-SUMPRODUCT((pbp_Pitcher=$B248)*(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248)*(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48" s="59" t="str">
        <f>IF($B248="","",IF((SUMPRODUCT((pbp_Pitcher=$B248)*(LEN(pbp_PlayType)&gt;0)))=0,"",(SUMPRODUCT((pbp_Pitcher=$B248)*(LEN(pbp_PlayType)&gt;0)*ISNUMBER(MATCH(LEFT(TRIM(pbp_Seq)&amp;"/",FIND("/",TRIM(pbp_Seq)&amp;"/")-1),{"S","F","FT","FB","IN","MB","POS"},0))))/(SUMPRODUCT((pbp_Pitcher=$B248)*(LEN(pbp_PlayType)&gt;0)))))</f>
        <v/>
      </c>
      <c r="T248" s="59" t="str">
        <f t="shared" si="29"/>
        <v/>
      </c>
      <c r="U248" s="59" t="str">
        <f t="shared" si="30"/>
        <v/>
      </c>
      <c r="V248" s="59" t="str">
        <f t="shared" si="31"/>
        <v/>
      </c>
      <c r="W248" s="60" t="str">
        <f t="shared" si="32"/>
        <v/>
      </c>
      <c r="X248" s="60" t="str">
        <f t="shared" si="33"/>
        <v/>
      </c>
      <c r="Y248" s="58" t="str">
        <f t="shared" si="34"/>
        <v/>
      </c>
      <c r="Z248" s="58" t="str">
        <f t="shared" si="35"/>
        <v/>
      </c>
      <c r="AA248" s="62" t="str">
        <f>IF($B248="","",IF(OR(E248&lt;MinBF,X248=""),"",COUNTIFS($E$6:$E$255,"&gt;="&amp;MinBF,$X$6:$X$255,"&lt;"&amp;X248)+COUNTIFS($E$5:E247,"&gt;="&amp;MinBF,$X$5:X247,X248)+1))</f>
        <v/>
      </c>
    </row>
    <row r="249" spans="2:27" x14ac:dyDescent="0.2">
      <c r="B249" s="44" t="str">
        <f t="array" ref="B249">IFERROR(INDEX(pbp_Pitcher,MATCH(0,COUNTIF($B$5:B248,pbp_Pitcher)+(pbp_Pitcher=""),0)),"")</f>
        <v/>
      </c>
      <c r="C249" s="61" t="str">
        <f>IF($B249="","",IFERROR(INDEX(pbp_PitTeam,MATCH($B249,pbp_Pitcher,0)),""))</f>
        <v/>
      </c>
      <c r="D249" s="61" t="str">
        <f>IF($B249="","",IFERROR(INDEX(pbp_PitHand,MATCH($B249,pbp_Pitcher,0)),""))</f>
        <v/>
      </c>
      <c r="E249" s="42" t="str">
        <f>IF($B249="","",SUMPRODUCT(COUNTIFS(pbp_PlayType,EM_Type,pbp_Pitcher,$B249)*EM_PA))</f>
        <v/>
      </c>
      <c r="F249" s="42" t="str">
        <f>IF($B249="","",SUMIFS(pbp_Outs,pbp_Pitcher,$B249))</f>
        <v/>
      </c>
      <c r="G249" s="70" t="str">
        <f t="shared" si="27"/>
        <v/>
      </c>
      <c r="H249" s="42" t="str">
        <f>IF($B249="","",SUMPRODUCT(COUNTIFS(pbp_PlayType,EM_Type,pbp_Pitcher,$B249)*EM_H))</f>
        <v/>
      </c>
      <c r="I249" s="42" t="str">
        <f>IF($B249="","",SUMPRODUCT(COUNTIFS(pbp_PlayType,EM_Type,pbp_Pitcher,$B249)*EM_HR))</f>
        <v/>
      </c>
      <c r="J249" s="42" t="str">
        <f>IF($B249="","",SUMPRODUCT(COUNTIFS(pbp_PlayType,EM_Type,pbp_Pitcher,$B249)*EM_BB))</f>
        <v/>
      </c>
      <c r="K249" s="42" t="str">
        <f>IF($B249="","",SUMPRODUCT(COUNTIFS(pbp_PlayType,EM_Type,pbp_Pitcher,$B249)*EM_HBP))</f>
        <v/>
      </c>
      <c r="L249" s="42" t="str">
        <f>IF($B249="","",COUNTIFS(pbp_PlayType,"?*",pbp_Desc,"*struck out*",pbp_Pitcher,$B249))</f>
        <v/>
      </c>
      <c r="M249" s="42" t="str">
        <f>IF($B249="","",SUMIFS(pbp_Runs,pbp_Pitcher,$B249))</f>
        <v/>
      </c>
      <c r="N249" s="42" t="str">
        <f>IF($B249="","",SUMPRODUCT(COUNTIFS(pbp_PlayType,EM_Type,pbp_Pitcher,$B249)*EM_AB))</f>
        <v/>
      </c>
      <c r="O249" s="42" t="str">
        <f>IF($B249="","",SUMPRODUCT(COUNTIFS(pbp_PlayType,EM_Type,pbp_Pitcher,$B249)*EM_SF))</f>
        <v/>
      </c>
      <c r="P249" s="42" t="str">
        <f>IF($B249="","",SUMIFS(pbp_Pitches,pbp_Pitcher,$B249,pbp_PlayType,"?*"))</f>
        <v/>
      </c>
      <c r="Q249" s="60" t="str">
        <f t="shared" si="28"/>
        <v/>
      </c>
      <c r="R249" s="59" t="str">
        <f>IF($B249="","",IF(E249=0,"",1-SUMPRODUCT((pbp_Pitcher=$B249)*(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249)*(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49" s="59" t="str">
        <f>IF($B249="","",IF((SUMPRODUCT((pbp_Pitcher=$B249)*(LEN(pbp_PlayType)&gt;0)))=0,"",(SUMPRODUCT((pbp_Pitcher=$B249)*(LEN(pbp_PlayType)&gt;0)*ISNUMBER(MATCH(LEFT(TRIM(pbp_Seq)&amp;"/",FIND("/",TRIM(pbp_Seq)&amp;"/")-1),{"S","F","FT","FB","IN","MB","POS"},0))))/(SUMPRODUCT((pbp_Pitcher=$B249)*(LEN(pbp_PlayType)&gt;0)))))</f>
        <v/>
      </c>
      <c r="T249" s="59" t="str">
        <f t="shared" si="29"/>
        <v/>
      </c>
      <c r="U249" s="59" t="str">
        <f t="shared" si="30"/>
        <v/>
      </c>
      <c r="V249" s="59" t="str">
        <f t="shared" si="31"/>
        <v/>
      </c>
      <c r="W249" s="60" t="str">
        <f t="shared" si="32"/>
        <v/>
      </c>
      <c r="X249" s="60" t="str">
        <f t="shared" si="33"/>
        <v/>
      </c>
      <c r="Y249" s="58" t="str">
        <f t="shared" si="34"/>
        <v/>
      </c>
      <c r="Z249" s="58" t="str">
        <f t="shared" si="35"/>
        <v/>
      </c>
      <c r="AA249" s="62" t="str">
        <f>IF($B249="","",IF(OR(E249&lt;MinBF,X249=""),"",COUNTIFS($E$6:$E$255,"&gt;="&amp;MinBF,$X$6:$X$255,"&lt;"&amp;X249)+COUNTIFS($E$5:E248,"&gt;="&amp;MinBF,$X$5:X248,X249)+1))</f>
        <v/>
      </c>
    </row>
    <row r="250" spans="2:27" x14ac:dyDescent="0.2">
      <c r="B250" s="44" t="str">
        <f t="array" ref="B250">IFERROR(INDEX(pbp_Pitcher,MATCH(0,COUNTIF($B$5:B249,pbp_Pitcher)+(pbp_Pitcher=""),0)),"")</f>
        <v/>
      </c>
      <c r="C250" s="61" t="str">
        <f>IF($B250="","",IFERROR(INDEX(pbp_PitTeam,MATCH($B250,pbp_Pitcher,0)),""))</f>
        <v/>
      </c>
      <c r="D250" s="61" t="str">
        <f>IF($B250="","",IFERROR(INDEX(pbp_PitHand,MATCH($B250,pbp_Pitcher,0)),""))</f>
        <v/>
      </c>
      <c r="E250" s="42" t="str">
        <f>IF($B250="","",SUMPRODUCT(COUNTIFS(pbp_PlayType,EM_Type,pbp_Pitcher,$B250)*EM_PA))</f>
        <v/>
      </c>
      <c r="F250" s="42" t="str">
        <f>IF($B250="","",SUMIFS(pbp_Outs,pbp_Pitcher,$B250))</f>
        <v/>
      </c>
      <c r="G250" s="70" t="str">
        <f t="shared" si="27"/>
        <v/>
      </c>
      <c r="H250" s="42" t="str">
        <f>IF($B250="","",SUMPRODUCT(COUNTIFS(pbp_PlayType,EM_Type,pbp_Pitcher,$B250)*EM_H))</f>
        <v/>
      </c>
      <c r="I250" s="42" t="str">
        <f>IF($B250="","",SUMPRODUCT(COUNTIFS(pbp_PlayType,EM_Type,pbp_Pitcher,$B250)*EM_HR))</f>
        <v/>
      </c>
      <c r="J250" s="42" t="str">
        <f>IF($B250="","",SUMPRODUCT(COUNTIFS(pbp_PlayType,EM_Type,pbp_Pitcher,$B250)*EM_BB))</f>
        <v/>
      </c>
      <c r="K250" s="42" t="str">
        <f>IF($B250="","",SUMPRODUCT(COUNTIFS(pbp_PlayType,EM_Type,pbp_Pitcher,$B250)*EM_HBP))</f>
        <v/>
      </c>
      <c r="L250" s="42" t="str">
        <f>IF($B250="","",COUNTIFS(pbp_PlayType,"?*",pbp_Desc,"*struck out*",pbp_Pitcher,$B250))</f>
        <v/>
      </c>
      <c r="M250" s="42" t="str">
        <f>IF($B250="","",SUMIFS(pbp_Runs,pbp_Pitcher,$B250))</f>
        <v/>
      </c>
      <c r="N250" s="42" t="str">
        <f>IF($B250="","",SUMPRODUCT(COUNTIFS(pbp_PlayType,EM_Type,pbp_Pitcher,$B250)*EM_AB))</f>
        <v/>
      </c>
      <c r="O250" s="42" t="str">
        <f>IF($B250="","",SUMPRODUCT(COUNTIFS(pbp_PlayType,EM_Type,pbp_Pitcher,$B250)*EM_SF))</f>
        <v/>
      </c>
      <c r="P250" s="42" t="str">
        <f>IF($B250="","",SUMIFS(pbp_Pitches,pbp_Pitcher,$B250,pbp_PlayType,"?*"))</f>
        <v/>
      </c>
      <c r="Q250" s="60" t="str">
        <f t="shared" si="28"/>
        <v/>
      </c>
      <c r="R250" s="59" t="str">
        <f>IF($B250="","",IF(E250=0,"",1-SUMPRODUCT((pbp_Pitcher=$B250)*(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250)*(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50" s="59" t="str">
        <f>IF($B250="","",IF((SUMPRODUCT((pbp_Pitcher=$B250)*(LEN(pbp_PlayType)&gt;0)))=0,"",(SUMPRODUCT((pbp_Pitcher=$B250)*(LEN(pbp_PlayType)&gt;0)*ISNUMBER(MATCH(LEFT(TRIM(pbp_Seq)&amp;"/",FIND("/",TRIM(pbp_Seq)&amp;"/")-1),{"S","F","FT","FB","IN","MB","POS"},0))))/(SUMPRODUCT((pbp_Pitcher=$B250)*(LEN(pbp_PlayType)&gt;0)))))</f>
        <v/>
      </c>
      <c r="T250" s="59" t="str">
        <f t="shared" si="29"/>
        <v/>
      </c>
      <c r="U250" s="59" t="str">
        <f t="shared" si="30"/>
        <v/>
      </c>
      <c r="V250" s="59" t="str">
        <f t="shared" si="31"/>
        <v/>
      </c>
      <c r="W250" s="60" t="str">
        <f t="shared" si="32"/>
        <v/>
      </c>
      <c r="X250" s="60" t="str">
        <f t="shared" si="33"/>
        <v/>
      </c>
      <c r="Y250" s="58" t="str">
        <f t="shared" si="34"/>
        <v/>
      </c>
      <c r="Z250" s="58" t="str">
        <f t="shared" si="35"/>
        <v/>
      </c>
      <c r="AA250" s="62" t="str">
        <f>IF($B250="","",IF(OR(E250&lt;MinBF,X250=""),"",COUNTIFS($E$6:$E$255,"&gt;="&amp;MinBF,$X$6:$X$255,"&lt;"&amp;X250)+COUNTIFS($E$5:E249,"&gt;="&amp;MinBF,$X$5:X249,X250)+1))</f>
        <v/>
      </c>
    </row>
    <row r="251" spans="2:27" x14ac:dyDescent="0.2">
      <c r="B251" s="44" t="str">
        <f t="array" ref="B251">IFERROR(INDEX(pbp_Pitcher,MATCH(0,COUNTIF($B$5:B250,pbp_Pitcher)+(pbp_Pitcher=""),0)),"")</f>
        <v/>
      </c>
      <c r="C251" s="61" t="str">
        <f>IF($B251="","",IFERROR(INDEX(pbp_PitTeam,MATCH($B251,pbp_Pitcher,0)),""))</f>
        <v/>
      </c>
      <c r="D251" s="61" t="str">
        <f>IF($B251="","",IFERROR(INDEX(pbp_PitHand,MATCH($B251,pbp_Pitcher,0)),""))</f>
        <v/>
      </c>
      <c r="E251" s="42" t="str">
        <f>IF($B251="","",SUMPRODUCT(COUNTIFS(pbp_PlayType,EM_Type,pbp_Pitcher,$B251)*EM_PA))</f>
        <v/>
      </c>
      <c r="F251" s="42" t="str">
        <f>IF($B251="","",SUMIFS(pbp_Outs,pbp_Pitcher,$B251))</f>
        <v/>
      </c>
      <c r="G251" s="70" t="str">
        <f t="shared" si="27"/>
        <v/>
      </c>
      <c r="H251" s="42" t="str">
        <f>IF($B251="","",SUMPRODUCT(COUNTIFS(pbp_PlayType,EM_Type,pbp_Pitcher,$B251)*EM_H))</f>
        <v/>
      </c>
      <c r="I251" s="42" t="str">
        <f>IF($B251="","",SUMPRODUCT(COUNTIFS(pbp_PlayType,EM_Type,pbp_Pitcher,$B251)*EM_HR))</f>
        <v/>
      </c>
      <c r="J251" s="42" t="str">
        <f>IF($B251="","",SUMPRODUCT(COUNTIFS(pbp_PlayType,EM_Type,pbp_Pitcher,$B251)*EM_BB))</f>
        <v/>
      </c>
      <c r="K251" s="42" t="str">
        <f>IF($B251="","",SUMPRODUCT(COUNTIFS(pbp_PlayType,EM_Type,pbp_Pitcher,$B251)*EM_HBP))</f>
        <v/>
      </c>
      <c r="L251" s="42" t="str">
        <f>IF($B251="","",COUNTIFS(pbp_PlayType,"?*",pbp_Desc,"*struck out*",pbp_Pitcher,$B251))</f>
        <v/>
      </c>
      <c r="M251" s="42" t="str">
        <f>IF($B251="","",SUMIFS(pbp_Runs,pbp_Pitcher,$B251))</f>
        <v/>
      </c>
      <c r="N251" s="42" t="str">
        <f>IF($B251="","",SUMPRODUCT(COUNTIFS(pbp_PlayType,EM_Type,pbp_Pitcher,$B251)*EM_AB))</f>
        <v/>
      </c>
      <c r="O251" s="42" t="str">
        <f>IF($B251="","",SUMPRODUCT(COUNTIFS(pbp_PlayType,EM_Type,pbp_Pitcher,$B251)*EM_SF))</f>
        <v/>
      </c>
      <c r="P251" s="42" t="str">
        <f>IF($B251="","",SUMIFS(pbp_Pitches,pbp_Pitcher,$B251,pbp_PlayType,"?*"))</f>
        <v/>
      </c>
      <c r="Q251" s="60" t="str">
        <f t="shared" si="28"/>
        <v/>
      </c>
      <c r="R251" s="59" t="str">
        <f>IF($B251="","",IF(E251=0,"",1-SUMPRODUCT((pbp_Pitcher=$B251)*(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251)*(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51" s="59" t="str">
        <f>IF($B251="","",IF((SUMPRODUCT((pbp_Pitcher=$B251)*(LEN(pbp_PlayType)&gt;0)))=0,"",(SUMPRODUCT((pbp_Pitcher=$B251)*(LEN(pbp_PlayType)&gt;0)*ISNUMBER(MATCH(LEFT(TRIM(pbp_Seq)&amp;"/",FIND("/",TRIM(pbp_Seq)&amp;"/")-1),{"S","F","FT","FB","IN","MB","POS"},0))))/(SUMPRODUCT((pbp_Pitcher=$B251)*(LEN(pbp_PlayType)&gt;0)))))</f>
        <v/>
      </c>
      <c r="T251" s="59" t="str">
        <f t="shared" si="29"/>
        <v/>
      </c>
      <c r="U251" s="59" t="str">
        <f t="shared" si="30"/>
        <v/>
      </c>
      <c r="V251" s="59" t="str">
        <f t="shared" si="31"/>
        <v/>
      </c>
      <c r="W251" s="60" t="str">
        <f t="shared" si="32"/>
        <v/>
      </c>
      <c r="X251" s="60" t="str">
        <f t="shared" si="33"/>
        <v/>
      </c>
      <c r="Y251" s="58" t="str">
        <f t="shared" si="34"/>
        <v/>
      </c>
      <c r="Z251" s="58" t="str">
        <f t="shared" si="35"/>
        <v/>
      </c>
      <c r="AA251" s="62" t="str">
        <f>IF($B251="","",IF(OR(E251&lt;MinBF,X251=""),"",COUNTIFS($E$6:$E$255,"&gt;="&amp;MinBF,$X$6:$X$255,"&lt;"&amp;X251)+COUNTIFS($E$5:E250,"&gt;="&amp;MinBF,$X$5:X250,X251)+1))</f>
        <v/>
      </c>
    </row>
    <row r="252" spans="2:27" x14ac:dyDescent="0.2">
      <c r="B252" s="44" t="str">
        <f t="array" ref="B252">IFERROR(INDEX(pbp_Pitcher,MATCH(0,COUNTIF($B$5:B251,pbp_Pitcher)+(pbp_Pitcher=""),0)),"")</f>
        <v/>
      </c>
      <c r="C252" s="61" t="str">
        <f>IF($B252="","",IFERROR(INDEX(pbp_PitTeam,MATCH($B252,pbp_Pitcher,0)),""))</f>
        <v/>
      </c>
      <c r="D252" s="61" t="str">
        <f>IF($B252="","",IFERROR(INDEX(pbp_PitHand,MATCH($B252,pbp_Pitcher,0)),""))</f>
        <v/>
      </c>
      <c r="E252" s="42" t="str">
        <f>IF($B252="","",SUMPRODUCT(COUNTIFS(pbp_PlayType,EM_Type,pbp_Pitcher,$B252)*EM_PA))</f>
        <v/>
      </c>
      <c r="F252" s="42" t="str">
        <f>IF($B252="","",SUMIFS(pbp_Outs,pbp_Pitcher,$B252))</f>
        <v/>
      </c>
      <c r="G252" s="70" t="str">
        <f t="shared" si="27"/>
        <v/>
      </c>
      <c r="H252" s="42" t="str">
        <f>IF($B252="","",SUMPRODUCT(COUNTIFS(pbp_PlayType,EM_Type,pbp_Pitcher,$B252)*EM_H))</f>
        <v/>
      </c>
      <c r="I252" s="42" t="str">
        <f>IF($B252="","",SUMPRODUCT(COUNTIFS(pbp_PlayType,EM_Type,pbp_Pitcher,$B252)*EM_HR))</f>
        <v/>
      </c>
      <c r="J252" s="42" t="str">
        <f>IF($B252="","",SUMPRODUCT(COUNTIFS(pbp_PlayType,EM_Type,pbp_Pitcher,$B252)*EM_BB))</f>
        <v/>
      </c>
      <c r="K252" s="42" t="str">
        <f>IF($B252="","",SUMPRODUCT(COUNTIFS(pbp_PlayType,EM_Type,pbp_Pitcher,$B252)*EM_HBP))</f>
        <v/>
      </c>
      <c r="L252" s="42" t="str">
        <f>IF($B252="","",COUNTIFS(pbp_PlayType,"?*",pbp_Desc,"*struck out*",pbp_Pitcher,$B252))</f>
        <v/>
      </c>
      <c r="M252" s="42" t="str">
        <f>IF($B252="","",SUMIFS(pbp_Runs,pbp_Pitcher,$B252))</f>
        <v/>
      </c>
      <c r="N252" s="42" t="str">
        <f>IF($B252="","",SUMPRODUCT(COUNTIFS(pbp_PlayType,EM_Type,pbp_Pitcher,$B252)*EM_AB))</f>
        <v/>
      </c>
      <c r="O252" s="42" t="str">
        <f>IF($B252="","",SUMPRODUCT(COUNTIFS(pbp_PlayType,EM_Type,pbp_Pitcher,$B252)*EM_SF))</f>
        <v/>
      </c>
      <c r="P252" s="42" t="str">
        <f>IF($B252="","",SUMIFS(pbp_Pitches,pbp_Pitcher,$B252,pbp_PlayType,"?*"))</f>
        <v/>
      </c>
      <c r="Q252" s="60" t="str">
        <f t="shared" si="28"/>
        <v/>
      </c>
      <c r="R252" s="59" t="str">
        <f>IF($B252="","",IF(E252=0,"",1-SUMPRODUCT((pbp_Pitcher=$B252)*(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252)*(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52" s="59" t="str">
        <f>IF($B252="","",IF((SUMPRODUCT((pbp_Pitcher=$B252)*(LEN(pbp_PlayType)&gt;0)))=0,"",(SUMPRODUCT((pbp_Pitcher=$B252)*(LEN(pbp_PlayType)&gt;0)*ISNUMBER(MATCH(LEFT(TRIM(pbp_Seq)&amp;"/",FIND("/",TRIM(pbp_Seq)&amp;"/")-1),{"S","F","FT","FB","IN","MB","POS"},0))))/(SUMPRODUCT((pbp_Pitcher=$B252)*(LEN(pbp_PlayType)&gt;0)))))</f>
        <v/>
      </c>
      <c r="T252" s="59" t="str">
        <f t="shared" si="29"/>
        <v/>
      </c>
      <c r="U252" s="59" t="str">
        <f t="shared" si="30"/>
        <v/>
      </c>
      <c r="V252" s="59" t="str">
        <f t="shared" si="31"/>
        <v/>
      </c>
      <c r="W252" s="60" t="str">
        <f t="shared" si="32"/>
        <v/>
      </c>
      <c r="X252" s="60" t="str">
        <f t="shared" si="33"/>
        <v/>
      </c>
      <c r="Y252" s="58" t="str">
        <f t="shared" si="34"/>
        <v/>
      </c>
      <c r="Z252" s="58" t="str">
        <f t="shared" si="35"/>
        <v/>
      </c>
      <c r="AA252" s="62" t="str">
        <f>IF($B252="","",IF(OR(E252&lt;MinBF,X252=""),"",COUNTIFS($E$6:$E$255,"&gt;="&amp;MinBF,$X$6:$X$255,"&lt;"&amp;X252)+COUNTIFS($E$5:E251,"&gt;="&amp;MinBF,$X$5:X251,X252)+1))</f>
        <v/>
      </c>
    </row>
    <row r="253" spans="2:27" x14ac:dyDescent="0.2">
      <c r="B253" s="44" t="str">
        <f t="array" ref="B253">IFERROR(INDEX(pbp_Pitcher,MATCH(0,COUNTIF($B$5:B252,pbp_Pitcher)+(pbp_Pitcher=""),0)),"")</f>
        <v/>
      </c>
      <c r="C253" s="61" t="str">
        <f>IF($B253="","",IFERROR(INDEX(pbp_PitTeam,MATCH($B253,pbp_Pitcher,0)),""))</f>
        <v/>
      </c>
      <c r="D253" s="61" t="str">
        <f>IF($B253="","",IFERROR(INDEX(pbp_PitHand,MATCH($B253,pbp_Pitcher,0)),""))</f>
        <v/>
      </c>
      <c r="E253" s="42" t="str">
        <f>IF($B253="","",SUMPRODUCT(COUNTIFS(pbp_PlayType,EM_Type,pbp_Pitcher,$B253)*EM_PA))</f>
        <v/>
      </c>
      <c r="F253" s="42" t="str">
        <f>IF($B253="","",SUMIFS(pbp_Outs,pbp_Pitcher,$B253))</f>
        <v/>
      </c>
      <c r="G253" s="70" t="str">
        <f t="shared" si="27"/>
        <v/>
      </c>
      <c r="H253" s="42" t="str">
        <f>IF($B253="","",SUMPRODUCT(COUNTIFS(pbp_PlayType,EM_Type,pbp_Pitcher,$B253)*EM_H))</f>
        <v/>
      </c>
      <c r="I253" s="42" t="str">
        <f>IF($B253="","",SUMPRODUCT(COUNTIFS(pbp_PlayType,EM_Type,pbp_Pitcher,$B253)*EM_HR))</f>
        <v/>
      </c>
      <c r="J253" s="42" t="str">
        <f>IF($B253="","",SUMPRODUCT(COUNTIFS(pbp_PlayType,EM_Type,pbp_Pitcher,$B253)*EM_BB))</f>
        <v/>
      </c>
      <c r="K253" s="42" t="str">
        <f>IF($B253="","",SUMPRODUCT(COUNTIFS(pbp_PlayType,EM_Type,pbp_Pitcher,$B253)*EM_HBP))</f>
        <v/>
      </c>
      <c r="L253" s="42" t="str">
        <f>IF($B253="","",COUNTIFS(pbp_PlayType,"?*",pbp_Desc,"*struck out*",pbp_Pitcher,$B253))</f>
        <v/>
      </c>
      <c r="M253" s="42" t="str">
        <f>IF($B253="","",SUMIFS(pbp_Runs,pbp_Pitcher,$B253))</f>
        <v/>
      </c>
      <c r="N253" s="42" t="str">
        <f>IF($B253="","",SUMPRODUCT(COUNTIFS(pbp_PlayType,EM_Type,pbp_Pitcher,$B253)*EM_AB))</f>
        <v/>
      </c>
      <c r="O253" s="42" t="str">
        <f>IF($B253="","",SUMPRODUCT(COUNTIFS(pbp_PlayType,EM_Type,pbp_Pitcher,$B253)*EM_SF))</f>
        <v/>
      </c>
      <c r="P253" s="42" t="str">
        <f>IF($B253="","",SUMIFS(pbp_Pitches,pbp_Pitcher,$B253,pbp_PlayType,"?*"))</f>
        <v/>
      </c>
      <c r="Q253" s="60" t="str">
        <f t="shared" si="28"/>
        <v/>
      </c>
      <c r="R253" s="59" t="str">
        <f>IF($B253="","",IF(E253=0,"",1-SUMPRODUCT((pbp_Pitcher=$B253)*(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253)*(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53" s="59" t="str">
        <f>IF($B253="","",IF((SUMPRODUCT((pbp_Pitcher=$B253)*(LEN(pbp_PlayType)&gt;0)))=0,"",(SUMPRODUCT((pbp_Pitcher=$B253)*(LEN(pbp_PlayType)&gt;0)*ISNUMBER(MATCH(LEFT(TRIM(pbp_Seq)&amp;"/",FIND("/",TRIM(pbp_Seq)&amp;"/")-1),{"S","F","FT","FB","IN","MB","POS"},0))))/(SUMPRODUCT((pbp_Pitcher=$B253)*(LEN(pbp_PlayType)&gt;0)))))</f>
        <v/>
      </c>
      <c r="T253" s="59" t="str">
        <f t="shared" si="29"/>
        <v/>
      </c>
      <c r="U253" s="59" t="str">
        <f t="shared" si="30"/>
        <v/>
      </c>
      <c r="V253" s="59" t="str">
        <f t="shared" si="31"/>
        <v/>
      </c>
      <c r="W253" s="60" t="str">
        <f t="shared" si="32"/>
        <v/>
      </c>
      <c r="X253" s="60" t="str">
        <f t="shared" si="33"/>
        <v/>
      </c>
      <c r="Y253" s="58" t="str">
        <f t="shared" si="34"/>
        <v/>
      </c>
      <c r="Z253" s="58" t="str">
        <f t="shared" si="35"/>
        <v/>
      </c>
      <c r="AA253" s="62" t="str">
        <f>IF($B253="","",IF(OR(E253&lt;MinBF,X253=""),"",COUNTIFS($E$6:$E$255,"&gt;="&amp;MinBF,$X$6:$X$255,"&lt;"&amp;X253)+COUNTIFS($E$5:E252,"&gt;="&amp;MinBF,$X$5:X252,X253)+1))</f>
        <v/>
      </c>
    </row>
    <row r="254" spans="2:27" x14ac:dyDescent="0.2">
      <c r="B254" s="44" t="str">
        <f t="array" ref="B254">IFERROR(INDEX(pbp_Pitcher,MATCH(0,COUNTIF($B$5:B253,pbp_Pitcher)+(pbp_Pitcher=""),0)),"")</f>
        <v/>
      </c>
      <c r="C254" s="61" t="str">
        <f>IF($B254="","",IFERROR(INDEX(pbp_PitTeam,MATCH($B254,pbp_Pitcher,0)),""))</f>
        <v/>
      </c>
      <c r="D254" s="61" t="str">
        <f>IF($B254="","",IFERROR(INDEX(pbp_PitHand,MATCH($B254,pbp_Pitcher,0)),""))</f>
        <v/>
      </c>
      <c r="E254" s="42" t="str">
        <f>IF($B254="","",SUMPRODUCT(COUNTIFS(pbp_PlayType,EM_Type,pbp_Pitcher,$B254)*EM_PA))</f>
        <v/>
      </c>
      <c r="F254" s="42" t="str">
        <f>IF($B254="","",SUMIFS(pbp_Outs,pbp_Pitcher,$B254))</f>
        <v/>
      </c>
      <c r="G254" s="70" t="str">
        <f t="shared" si="27"/>
        <v/>
      </c>
      <c r="H254" s="42" t="str">
        <f>IF($B254="","",SUMPRODUCT(COUNTIFS(pbp_PlayType,EM_Type,pbp_Pitcher,$B254)*EM_H))</f>
        <v/>
      </c>
      <c r="I254" s="42" t="str">
        <f>IF($B254="","",SUMPRODUCT(COUNTIFS(pbp_PlayType,EM_Type,pbp_Pitcher,$B254)*EM_HR))</f>
        <v/>
      </c>
      <c r="J254" s="42" t="str">
        <f>IF($B254="","",SUMPRODUCT(COUNTIFS(pbp_PlayType,EM_Type,pbp_Pitcher,$B254)*EM_BB))</f>
        <v/>
      </c>
      <c r="K254" s="42" t="str">
        <f>IF($B254="","",SUMPRODUCT(COUNTIFS(pbp_PlayType,EM_Type,pbp_Pitcher,$B254)*EM_HBP))</f>
        <v/>
      </c>
      <c r="L254" s="42" t="str">
        <f>IF($B254="","",COUNTIFS(pbp_PlayType,"?*",pbp_Desc,"*struck out*",pbp_Pitcher,$B254))</f>
        <v/>
      </c>
      <c r="M254" s="42" t="str">
        <f>IF($B254="","",SUMIFS(pbp_Runs,pbp_Pitcher,$B254))</f>
        <v/>
      </c>
      <c r="N254" s="42" t="str">
        <f>IF($B254="","",SUMPRODUCT(COUNTIFS(pbp_PlayType,EM_Type,pbp_Pitcher,$B254)*EM_AB))</f>
        <v/>
      </c>
      <c r="O254" s="42" t="str">
        <f>IF($B254="","",SUMPRODUCT(COUNTIFS(pbp_PlayType,EM_Type,pbp_Pitcher,$B254)*EM_SF))</f>
        <v/>
      </c>
      <c r="P254" s="42" t="str">
        <f>IF($B254="","",SUMIFS(pbp_Pitches,pbp_Pitcher,$B254,pbp_PlayType,"?*"))</f>
        <v/>
      </c>
      <c r="Q254" s="60" t="str">
        <f t="shared" si="28"/>
        <v/>
      </c>
      <c r="R254" s="59" t="str">
        <f>IF($B254="","",IF(E254=0,"",1-SUMPRODUCT((pbp_Pitcher=$B254)*(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254)*(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54" s="59" t="str">
        <f>IF($B254="","",IF((SUMPRODUCT((pbp_Pitcher=$B254)*(LEN(pbp_PlayType)&gt;0)))=0,"",(SUMPRODUCT((pbp_Pitcher=$B254)*(LEN(pbp_PlayType)&gt;0)*ISNUMBER(MATCH(LEFT(TRIM(pbp_Seq)&amp;"/",FIND("/",TRIM(pbp_Seq)&amp;"/")-1),{"S","F","FT","FB","IN","MB","POS"},0))))/(SUMPRODUCT((pbp_Pitcher=$B254)*(LEN(pbp_PlayType)&gt;0)))))</f>
        <v/>
      </c>
      <c r="T254" s="59" t="str">
        <f t="shared" si="29"/>
        <v/>
      </c>
      <c r="U254" s="59" t="str">
        <f t="shared" si="30"/>
        <v/>
      </c>
      <c r="V254" s="59" t="str">
        <f t="shared" si="31"/>
        <v/>
      </c>
      <c r="W254" s="60" t="str">
        <f t="shared" si="32"/>
        <v/>
      </c>
      <c r="X254" s="60" t="str">
        <f t="shared" si="33"/>
        <v/>
      </c>
      <c r="Y254" s="58" t="str">
        <f t="shared" si="34"/>
        <v/>
      </c>
      <c r="Z254" s="58" t="str">
        <f t="shared" si="35"/>
        <v/>
      </c>
      <c r="AA254" s="62" t="str">
        <f>IF($B254="","",IF(OR(E254&lt;MinBF,X254=""),"",COUNTIFS($E$6:$E$255,"&gt;="&amp;MinBF,$X$6:$X$255,"&lt;"&amp;X254)+COUNTIFS($E$5:E253,"&gt;="&amp;MinBF,$X$5:X253,X254)+1))</f>
        <v/>
      </c>
    </row>
    <row r="255" spans="2:27" x14ac:dyDescent="0.2">
      <c r="B255" s="44" t="str">
        <f t="array" ref="B255">IFERROR(INDEX(pbp_Pitcher,MATCH(0,COUNTIF($B$5:B254,pbp_Pitcher)+(pbp_Pitcher=""),0)),"")</f>
        <v/>
      </c>
      <c r="C255" s="61" t="str">
        <f>IF($B255="","",IFERROR(INDEX(pbp_PitTeam,MATCH($B255,pbp_Pitcher,0)),""))</f>
        <v/>
      </c>
      <c r="D255" s="61" t="str">
        <f>IF($B255="","",IFERROR(INDEX(pbp_PitHand,MATCH($B255,pbp_Pitcher,0)),""))</f>
        <v/>
      </c>
      <c r="E255" s="42" t="str">
        <f>IF($B255="","",SUMPRODUCT(COUNTIFS(pbp_PlayType,EM_Type,pbp_Pitcher,$B255)*EM_PA))</f>
        <v/>
      </c>
      <c r="F255" s="42" t="str">
        <f>IF($B255="","",SUMIFS(pbp_Outs,pbp_Pitcher,$B255))</f>
        <v/>
      </c>
      <c r="G255" s="70" t="str">
        <f t="shared" si="27"/>
        <v/>
      </c>
      <c r="H255" s="42" t="str">
        <f>IF($B255="","",SUMPRODUCT(COUNTIFS(pbp_PlayType,EM_Type,pbp_Pitcher,$B255)*EM_H))</f>
        <v/>
      </c>
      <c r="I255" s="42" t="str">
        <f>IF($B255="","",SUMPRODUCT(COUNTIFS(pbp_PlayType,EM_Type,pbp_Pitcher,$B255)*EM_HR))</f>
        <v/>
      </c>
      <c r="J255" s="42" t="str">
        <f>IF($B255="","",SUMPRODUCT(COUNTIFS(pbp_PlayType,EM_Type,pbp_Pitcher,$B255)*EM_BB))</f>
        <v/>
      </c>
      <c r="K255" s="42" t="str">
        <f>IF($B255="","",SUMPRODUCT(COUNTIFS(pbp_PlayType,EM_Type,pbp_Pitcher,$B255)*EM_HBP))</f>
        <v/>
      </c>
      <c r="L255" s="42" t="str">
        <f>IF($B255="","",COUNTIFS(pbp_PlayType,"?*",pbp_Desc,"*struck out*",pbp_Pitcher,$B255))</f>
        <v/>
      </c>
      <c r="M255" s="42" t="str">
        <f>IF($B255="","",SUMIFS(pbp_Runs,pbp_Pitcher,$B255))</f>
        <v/>
      </c>
      <c r="N255" s="42" t="str">
        <f>IF($B255="","",SUMPRODUCT(COUNTIFS(pbp_PlayType,EM_Type,pbp_Pitcher,$B255)*EM_AB))</f>
        <v/>
      </c>
      <c r="O255" s="42" t="str">
        <f>IF($B255="","",SUMPRODUCT(COUNTIFS(pbp_PlayType,EM_Type,pbp_Pitcher,$B255)*EM_SF))</f>
        <v/>
      </c>
      <c r="P255" s="42" t="str">
        <f>IF($B255="","",SUMIFS(pbp_Pitches,pbp_Pitcher,$B255,pbp_PlayType,"?*"))</f>
        <v/>
      </c>
      <c r="Q255" s="60" t="str">
        <f t="shared" si="28"/>
        <v/>
      </c>
      <c r="R255" s="59" t="str">
        <f>IF($B255="","",IF(E255=0,"",1-SUMPRODUCT((pbp_Pitcher=$B255)*(LEN(pbp_PlayType)&gt;0)*((LEN("/"&amp;SUBSTITUTE(TRIM(pbp_Seq),"/","//")&amp;"/")-LEN(SUBSTITUTE("/"&amp;SUBSTITUTE(TRIM(pbp_Seq),"/","//")&amp;"/","/B/","")))/3+(LEN("/"&amp;SUBSTITUTE(TRIM(pbp_Seq),"/","//")&amp;"/")-LEN(SUBSTITUTE("/"&amp;SUBSTITUTE(TRIM(pbp_Seq),"/","//")&amp;"/","/IB/","")))/4+(LEN("/"&amp;SUBSTITUTE(TRIM(pbp_Seq),"/","//")&amp;"/")-LEN(SUBSTITUTE("/"&amp;SUBSTITUTE(TRIM(pbp_Seq),"/","//")&amp;"/","/HB/","")))/4+(LEN("/"&amp;SUBSTITUTE(TRIM(pbp_Seq),"/","//")&amp;"/")-LEN(SUBSTITUTE("/"&amp;SUBSTITUTE(TRIM(pbp_Seq),"/","//")&amp;"/","/PO/","")))/4))/SUMPRODUCT((pbp_Pitcher=$B255)*(LEN(pbp_PlayType)&gt;0)*((LEN("/"&amp;SUBSTITUTE(TRIM(pbp_Seq),"/","//")&amp;"/")-LEN(SUBSTITUTE("/"&amp;SUBSTITUTE(TRIM(pbp_Seq),"/","//")&amp;"/","/","")))/2-((LEN("/"&amp;SUBSTITUTE(TRIM(pbp_Seq),"/","//")&amp;"/")-LEN(SUBSTITUTE("/"&amp;SUBSTITUTE(TRIM(pbp_Seq),"/","//")&amp;"/","/NP/","")))/4+(LEN("/"&amp;SUBSTITUTE(TRIM(pbp_Seq),"/","//")&amp;"/")-LEN(SUBSTITUTE("/"&amp;SUBSTITUTE(TRIM(pbp_Seq),"/","//")&amp;"/","/POF/","")))/5+(LEN("/"&amp;SUBSTITUTE(TRIM(pbp_Seq),"/","//")&amp;"/")-LEN(SUBSTITUTE("/"&amp;SUBSTITUTE(TRIM(pbp_Seq),"/","//")&amp;"/","/N-A/","")))/5)))))</f>
        <v/>
      </c>
      <c r="S255" s="59" t="str">
        <f>IF($B255="","",IF((SUMPRODUCT((pbp_Pitcher=$B255)*(LEN(pbp_PlayType)&gt;0)))=0,"",(SUMPRODUCT((pbp_Pitcher=$B255)*(LEN(pbp_PlayType)&gt;0)*ISNUMBER(MATCH(LEFT(TRIM(pbp_Seq)&amp;"/",FIND("/",TRIM(pbp_Seq)&amp;"/")-1),{"S","F","FT","FB","IN","MB","POS"},0))))/(SUMPRODUCT((pbp_Pitcher=$B255)*(LEN(pbp_PlayType)&gt;0)))))</f>
        <v/>
      </c>
      <c r="T255" s="59" t="str">
        <f t="shared" si="29"/>
        <v/>
      </c>
      <c r="U255" s="59" t="str">
        <f t="shared" si="30"/>
        <v/>
      </c>
      <c r="V255" s="59" t="str">
        <f t="shared" si="31"/>
        <v/>
      </c>
      <c r="W255" s="60" t="str">
        <f t="shared" si="32"/>
        <v/>
      </c>
      <c r="X255" s="60" t="str">
        <f t="shared" si="33"/>
        <v/>
      </c>
      <c r="Y255" s="58" t="str">
        <f t="shared" si="34"/>
        <v/>
      </c>
      <c r="Z255" s="58" t="str">
        <f t="shared" si="35"/>
        <v/>
      </c>
      <c r="AA255" s="62" t="str">
        <f>IF($B255="","",IF(OR(E255&lt;MinBF,X255=""),"",COUNTIFS($E$6:$E$255,"&gt;="&amp;MinBF,$X$6:$X$255,"&lt;"&amp;X255)+COUNTIFS($E$5:E254,"&gt;="&amp;MinBF,$X$5:X254,X255)+1))</f>
        <v/>
      </c>
    </row>
  </sheetData>
  <autoFilter ref="B5:AA255" xr:uid="{00000000-0009-0000-0000-000006000000}"/>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B2:R28"/>
  <sheetViews>
    <sheetView showGridLines="0" zoomScaleNormal="100" workbookViewId="0">
      <pane xSplit="2" ySplit="8" topLeftCell="C9" activePane="bottomRight" state="frozen"/>
      <selection pane="topRight"/>
      <selection pane="bottomLeft"/>
      <selection pane="bottomRight"/>
    </sheetView>
  </sheetViews>
  <sheetFormatPr baseColWidth="10" defaultColWidth="8.6640625" defaultRowHeight="15" x14ac:dyDescent="0.2"/>
  <cols>
    <col min="1" max="1" width="3" customWidth="1"/>
    <col min="2" max="2" width="34" customWidth="1"/>
    <col min="3" max="18" width="8" customWidth="1"/>
  </cols>
  <sheetData>
    <row r="2" spans="2:18" ht="21" x14ac:dyDescent="0.25">
      <c r="B2" s="37" t="s">
        <v>396</v>
      </c>
    </row>
    <row r="3" spans="2:18" x14ac:dyDescent="0.2">
      <c r="B3" s="38" t="s">
        <v>397</v>
      </c>
    </row>
    <row r="5" spans="2:18" x14ac:dyDescent="0.2">
      <c r="B5" s="44" t="s">
        <v>398</v>
      </c>
      <c r="C5" s="63" t="s">
        <v>348</v>
      </c>
      <c r="D5" s="38" t="s">
        <v>349</v>
      </c>
      <c r="E5" s="38" t="str">
        <f>IF(OR(C5="",C5="All Teams"),"*",C5)</f>
        <v>*</v>
      </c>
    </row>
    <row r="6" spans="2:18" x14ac:dyDescent="0.2">
      <c r="B6" s="44" t="s">
        <v>311</v>
      </c>
      <c r="C6" s="63" t="s">
        <v>350</v>
      </c>
      <c r="D6" s="38" t="s">
        <v>349</v>
      </c>
      <c r="E6" s="38" t="str">
        <f>IF(OR(C6="",C6="All Players"),"*",C6)</f>
        <v>*</v>
      </c>
    </row>
    <row r="8" spans="2:18" ht="31.5" customHeight="1" x14ac:dyDescent="0.2">
      <c r="B8" s="43" t="s">
        <v>351</v>
      </c>
      <c r="C8" s="43" t="s">
        <v>310</v>
      </c>
      <c r="D8" s="43" t="s">
        <v>317</v>
      </c>
      <c r="E8" s="43" t="s">
        <v>318</v>
      </c>
      <c r="F8" s="43" t="s">
        <v>320</v>
      </c>
      <c r="G8" s="43" t="s">
        <v>319</v>
      </c>
      <c r="H8" s="43" t="s">
        <v>321</v>
      </c>
      <c r="I8" s="43" t="s">
        <v>323</v>
      </c>
      <c r="J8" s="43" t="s">
        <v>325</v>
      </c>
      <c r="K8" s="43" t="s">
        <v>324</v>
      </c>
      <c r="L8" s="43" t="s">
        <v>295</v>
      </c>
      <c r="M8" s="43" t="s">
        <v>330</v>
      </c>
      <c r="N8" s="43" t="s">
        <v>331</v>
      </c>
      <c r="O8" s="43" t="s">
        <v>294</v>
      </c>
      <c r="P8" s="43" t="s">
        <v>334</v>
      </c>
      <c r="Q8" s="43" t="s">
        <v>335</v>
      </c>
      <c r="R8" s="43" t="s">
        <v>352</v>
      </c>
    </row>
    <row r="9" spans="2:18" x14ac:dyDescent="0.2">
      <c r="B9" s="44" t="s">
        <v>353</v>
      </c>
      <c r="C9" s="64">
        <f>SUMPRODUCT(COUNTIFS(pbp_PlayType,EM_Type,pbp_PitTeam,$E$5,pbp_Pitcher,$E$6)*EM_PA)</f>
        <v>99</v>
      </c>
      <c r="D9" s="64">
        <f>SUMPRODUCT(COUNTIFS(pbp_PlayType,EM_Type,pbp_PitTeam,$E$5,pbp_Pitcher,$E$6)*EM_AB)</f>
        <v>84</v>
      </c>
      <c r="E9" s="64">
        <f>SUMPRODUCT(COUNTIFS(pbp_PlayType,EM_Type,pbp_PitTeam,$E$5,pbp_Pitcher,$E$6)*EM_H)</f>
        <v>25</v>
      </c>
      <c r="F9" s="64">
        <f>SUMPRODUCT(COUNTIFS(pbp_PlayType,EM_Type,pbp_PitTeam,$E$5,pbp_Pitcher,$E$6)*EM_1B)+2*(SUMPRODUCT(COUNTIFS(pbp_PlayType,EM_Type,pbp_PitTeam,$E$5,pbp_Pitcher,$E$6)*EM_2B))+3*(SUMPRODUCT(COUNTIFS(pbp_PlayType,EM_Type,pbp_PitTeam,$E$5,pbp_Pitcher,$E$6)*EM_3B))+4*(SUMPRODUCT(COUNTIFS(pbp_PlayType,EM_Type,pbp_PitTeam,$E$5,pbp_Pitcher,$E$6)*EM_HR))</f>
        <v>41</v>
      </c>
      <c r="G9" s="64">
        <f>SUMPRODUCT(COUNTIFS(pbp_PlayType,EM_Type,pbp_PitTeam,$E$5,pbp_Pitcher,$E$6)*EM_HR)</f>
        <v>4</v>
      </c>
      <c r="H9" s="64">
        <f>SUMPRODUCT(COUNTIFS(pbp_PlayType,EM_Type,pbp_PitTeam,$E$5,pbp_Pitcher,$E$6)*EM_BB)</f>
        <v>9</v>
      </c>
      <c r="I9" s="64">
        <f>SUMPRODUCT(COUNTIFS(pbp_PlayType,EM_Type,pbp_PitTeam,$E$5,pbp_Pitcher,$E$6)*EM_HBP)</f>
        <v>2</v>
      </c>
      <c r="J9" s="64">
        <f>SUMPRODUCT(COUNTIFS(pbp_PlayType,EM_Type,pbp_PitTeam,$E$5,pbp_Pitcher,$E$6)*EM_SF)</f>
        <v>2</v>
      </c>
      <c r="K9" s="64">
        <f>COUNTIFS(pbp_PlayType,"?*",pbp_Desc,"*struck out*",pbp_PitTeam,$E$5,pbp_Pitcher,$E$6)</f>
        <v>17</v>
      </c>
      <c r="L9" s="65">
        <f t="shared" ref="L9:L26" si="0">IF((D9)=0,"",(E9)/(D9))</f>
        <v>0.29761904761904762</v>
      </c>
      <c r="M9" s="65">
        <f t="shared" ref="M9:M26" si="1">IF(((D9+H9+I9+J9))=0,"",((E9+H9+I9))/((D9+H9+I9+J9)))</f>
        <v>0.37113402061855671</v>
      </c>
      <c r="N9" s="65">
        <f t="shared" ref="N9:N26" si="2">IF((D9)=0,"",(F9)/(D9))</f>
        <v>0.48809523809523808</v>
      </c>
      <c r="O9" s="65">
        <f t="shared" ref="O9:O26" si="3">IF(D9=0,"",M9+N9)</f>
        <v>0.85922925871379485</v>
      </c>
      <c r="P9" s="66">
        <f t="shared" ref="P9:P26" si="4">IF((C9)=0,"",(K9)/(C9))</f>
        <v>0.17171717171717171</v>
      </c>
      <c r="Q9" s="66">
        <f t="shared" ref="Q9:Q26" si="5">IF((C9)=0,"",(H9)/(C9))</f>
        <v>9.0909090909090912E-2</v>
      </c>
      <c r="R9" s="66">
        <f t="shared" ref="R9:R26" si="6">IF(($C$9)=0,"",(C9)/($C$9))</f>
        <v>1</v>
      </c>
    </row>
    <row r="10" spans="2:18" x14ac:dyDescent="0.2">
      <c r="B10" s="48" t="s">
        <v>399</v>
      </c>
      <c r="C10" s="67">
        <f>SUMPRODUCT(COUNTIFS(pbp_PlayType,EM_Type,pbp_PitTeam,$E$5,pbp_Pitcher,$E$6,pbp_BatHand,"L")*EM_PA)</f>
        <v>37</v>
      </c>
      <c r="D10" s="67">
        <f>SUMPRODUCT(COUNTIFS(pbp_PlayType,EM_Type,pbp_PitTeam,$E$5,pbp_Pitcher,$E$6,pbp_BatHand,"L")*EM_AB)</f>
        <v>31</v>
      </c>
      <c r="E10" s="67">
        <f>SUMPRODUCT(COUNTIFS(pbp_PlayType,EM_Type,pbp_PitTeam,$E$5,pbp_Pitcher,$E$6,pbp_BatHand,"L")*EM_H)</f>
        <v>9</v>
      </c>
      <c r="F10" s="67">
        <f>SUMPRODUCT(COUNTIFS(pbp_PlayType,EM_Type,pbp_PitTeam,$E$5,pbp_Pitcher,$E$6,pbp_BatHand,"L")*EM_1B)+2*(SUMPRODUCT(COUNTIFS(pbp_PlayType,EM_Type,pbp_PitTeam,$E$5,pbp_Pitcher,$E$6,pbp_BatHand,"L")*EM_2B))+3*(SUMPRODUCT(COUNTIFS(pbp_PlayType,EM_Type,pbp_PitTeam,$E$5,pbp_Pitcher,$E$6,pbp_BatHand,"L")*EM_3B))+4*(SUMPRODUCT(COUNTIFS(pbp_PlayType,EM_Type,pbp_PitTeam,$E$5,pbp_Pitcher,$E$6,pbp_BatHand,"L")*EM_HR))</f>
        <v>13</v>
      </c>
      <c r="G10" s="67">
        <f>SUMPRODUCT(COUNTIFS(pbp_PlayType,EM_Type,pbp_PitTeam,$E$5,pbp_Pitcher,$E$6,pbp_BatHand,"L")*EM_HR)</f>
        <v>1</v>
      </c>
      <c r="H10" s="67">
        <f>SUMPRODUCT(COUNTIFS(pbp_PlayType,EM_Type,pbp_PitTeam,$E$5,pbp_Pitcher,$E$6,pbp_BatHand,"L")*EM_BB)</f>
        <v>4</v>
      </c>
      <c r="I10" s="67">
        <f>SUMPRODUCT(COUNTIFS(pbp_PlayType,EM_Type,pbp_PitTeam,$E$5,pbp_Pitcher,$E$6,pbp_BatHand,"L")*EM_HBP)</f>
        <v>1</v>
      </c>
      <c r="J10" s="67">
        <f>SUMPRODUCT(COUNTIFS(pbp_PlayType,EM_Type,pbp_PitTeam,$E$5,pbp_Pitcher,$E$6,pbp_BatHand,"L")*EM_SF)</f>
        <v>0</v>
      </c>
      <c r="K10" s="67">
        <f>COUNTIFS(pbp_PlayType,"?*",pbp_Desc,"*struck out*",pbp_PitTeam,$E$5,pbp_Pitcher,$E$6,pbp_BatHand,"L")</f>
        <v>7</v>
      </c>
      <c r="L10" s="68">
        <f t="shared" si="0"/>
        <v>0.29032258064516131</v>
      </c>
      <c r="M10" s="68">
        <f t="shared" si="1"/>
        <v>0.3888888888888889</v>
      </c>
      <c r="N10" s="68">
        <f t="shared" si="2"/>
        <v>0.41935483870967744</v>
      </c>
      <c r="O10" s="68">
        <f t="shared" si="3"/>
        <v>0.80824372759856633</v>
      </c>
      <c r="P10" s="69">
        <f t="shared" si="4"/>
        <v>0.1891891891891892</v>
      </c>
      <c r="Q10" s="69">
        <f t="shared" si="5"/>
        <v>0.10810810810810811</v>
      </c>
      <c r="R10" s="69">
        <f t="shared" si="6"/>
        <v>0.37373737373737376</v>
      </c>
    </row>
    <row r="11" spans="2:18" x14ac:dyDescent="0.2">
      <c r="B11" s="40" t="s">
        <v>400</v>
      </c>
      <c r="C11" s="42">
        <f>SUMPRODUCT(COUNTIFS(pbp_PlayType,EM_Type,pbp_PitTeam,$E$5,pbp_Pitcher,$E$6,pbp_BatHand,"R")*EM_PA)</f>
        <v>58</v>
      </c>
      <c r="D11" s="42">
        <f>SUMPRODUCT(COUNTIFS(pbp_PlayType,EM_Type,pbp_PitTeam,$E$5,pbp_Pitcher,$E$6,pbp_BatHand,"R")*EM_AB)</f>
        <v>50</v>
      </c>
      <c r="E11" s="42">
        <f>SUMPRODUCT(COUNTIFS(pbp_PlayType,EM_Type,pbp_PitTeam,$E$5,pbp_Pitcher,$E$6,pbp_BatHand,"R")*EM_H)</f>
        <v>16</v>
      </c>
      <c r="F11" s="42">
        <f>SUMPRODUCT(COUNTIFS(pbp_PlayType,EM_Type,pbp_PitTeam,$E$5,pbp_Pitcher,$E$6,pbp_BatHand,"R")*EM_1B)+2*(SUMPRODUCT(COUNTIFS(pbp_PlayType,EM_Type,pbp_PitTeam,$E$5,pbp_Pitcher,$E$6,pbp_BatHand,"R")*EM_2B))+3*(SUMPRODUCT(COUNTIFS(pbp_PlayType,EM_Type,pbp_PitTeam,$E$5,pbp_Pitcher,$E$6,pbp_BatHand,"R")*EM_3B))+4*(SUMPRODUCT(COUNTIFS(pbp_PlayType,EM_Type,pbp_PitTeam,$E$5,pbp_Pitcher,$E$6,pbp_BatHand,"R")*EM_HR))</f>
        <v>28</v>
      </c>
      <c r="G11" s="42">
        <f>SUMPRODUCT(COUNTIFS(pbp_PlayType,EM_Type,pbp_PitTeam,$E$5,pbp_Pitcher,$E$6,pbp_BatHand,"R")*EM_HR)</f>
        <v>3</v>
      </c>
      <c r="H11" s="42">
        <f>SUMPRODUCT(COUNTIFS(pbp_PlayType,EM_Type,pbp_PitTeam,$E$5,pbp_Pitcher,$E$6,pbp_BatHand,"R")*EM_BB)</f>
        <v>5</v>
      </c>
      <c r="I11" s="42">
        <f>SUMPRODUCT(COUNTIFS(pbp_PlayType,EM_Type,pbp_PitTeam,$E$5,pbp_Pitcher,$E$6,pbp_BatHand,"R")*EM_HBP)</f>
        <v>1</v>
      </c>
      <c r="J11" s="42">
        <f>SUMPRODUCT(COUNTIFS(pbp_PlayType,EM_Type,pbp_PitTeam,$E$5,pbp_Pitcher,$E$6,pbp_BatHand,"R")*EM_SF)</f>
        <v>1</v>
      </c>
      <c r="K11" s="42">
        <f>COUNTIFS(pbp_PlayType,"?*",pbp_Desc,"*struck out*",pbp_PitTeam,$E$5,pbp_Pitcher,$E$6,pbp_BatHand,"R")</f>
        <v>10</v>
      </c>
      <c r="L11" s="58">
        <f t="shared" si="0"/>
        <v>0.32</v>
      </c>
      <c r="M11" s="58">
        <f t="shared" si="1"/>
        <v>0.38596491228070173</v>
      </c>
      <c r="N11" s="58">
        <f t="shared" si="2"/>
        <v>0.56000000000000005</v>
      </c>
      <c r="O11" s="58">
        <f t="shared" si="3"/>
        <v>0.94596491228070179</v>
      </c>
      <c r="P11" s="59">
        <f t="shared" si="4"/>
        <v>0.17241379310344829</v>
      </c>
      <c r="Q11" s="59">
        <f t="shared" si="5"/>
        <v>8.6206896551724144E-2</v>
      </c>
      <c r="R11" s="59">
        <f t="shared" si="6"/>
        <v>0.58585858585858586</v>
      </c>
    </row>
    <row r="12" spans="2:18" x14ac:dyDescent="0.2">
      <c r="B12" s="48" t="s">
        <v>356</v>
      </c>
      <c r="C12" s="67">
        <f>SUMPRODUCT(COUNTIFS(pbp_PlayType,EM_Type,pbp_PitTeam,$E$5,pbp_Pitcher,$E$6,pbp_On1B,"",pbp_On2B,"",pbp_On3B,"")*EM_PA)</f>
        <v>46</v>
      </c>
      <c r="D12" s="67">
        <f>SUMPRODUCT(COUNTIFS(pbp_PlayType,EM_Type,pbp_PitTeam,$E$5,pbp_Pitcher,$E$6,pbp_On1B,"",pbp_On2B,"",pbp_On3B,"")*EM_AB)</f>
        <v>41</v>
      </c>
      <c r="E12" s="67">
        <f>SUMPRODUCT(COUNTIFS(pbp_PlayType,EM_Type,pbp_PitTeam,$E$5,pbp_Pitcher,$E$6,pbp_On1B,"",pbp_On2B,"",pbp_On3B,"")*EM_H)</f>
        <v>15</v>
      </c>
      <c r="F12" s="67">
        <f>SUMPRODUCT(COUNTIFS(pbp_PlayType,EM_Type,pbp_PitTeam,$E$5,pbp_Pitcher,$E$6,pbp_On1B,"",pbp_On2B,"",pbp_On3B,"")*EM_1B)+2*(SUMPRODUCT(COUNTIFS(pbp_PlayType,EM_Type,pbp_PitTeam,$E$5,pbp_Pitcher,$E$6,pbp_On1B,"",pbp_On2B,"",pbp_On3B,"")*EM_2B))+3*(SUMPRODUCT(COUNTIFS(pbp_PlayType,EM_Type,pbp_PitTeam,$E$5,pbp_Pitcher,$E$6,pbp_On1B,"",pbp_On2B,"",pbp_On3B,"")*EM_3B))+4*(SUMPRODUCT(COUNTIFS(pbp_PlayType,EM_Type,pbp_PitTeam,$E$5,pbp_Pitcher,$E$6,pbp_On1B,"",pbp_On2B,"",pbp_On3B,"")*EM_HR))</f>
        <v>27</v>
      </c>
      <c r="G12" s="67">
        <f>SUMPRODUCT(COUNTIFS(pbp_PlayType,EM_Type,pbp_PitTeam,$E$5,pbp_Pitcher,$E$6,pbp_On1B,"",pbp_On2B,"",pbp_On3B,"")*EM_HR)</f>
        <v>3</v>
      </c>
      <c r="H12" s="67">
        <f>SUMPRODUCT(COUNTIFS(pbp_PlayType,EM_Type,pbp_PitTeam,$E$5,pbp_Pitcher,$E$6,pbp_On1B,"",pbp_On2B,"",pbp_On3B,"")*EM_BB)</f>
        <v>4</v>
      </c>
      <c r="I12" s="67">
        <f>SUMPRODUCT(COUNTIFS(pbp_PlayType,EM_Type,pbp_PitTeam,$E$5,pbp_Pitcher,$E$6,pbp_On1B,"",pbp_On2B,"",pbp_On3B,"")*EM_HBP)</f>
        <v>1</v>
      </c>
      <c r="J12" s="67">
        <f>SUMPRODUCT(COUNTIFS(pbp_PlayType,EM_Type,pbp_PitTeam,$E$5,pbp_Pitcher,$E$6,pbp_On1B,"",pbp_On2B,"",pbp_On3B,"")*EM_SF)</f>
        <v>0</v>
      </c>
      <c r="K12" s="67">
        <f>COUNTIFS(pbp_PlayType,"?*",pbp_Desc,"*struck out*",pbp_PitTeam,$E$5,pbp_Pitcher,$E$6,pbp_On1B,"",pbp_On2B,"",pbp_On3B,"")</f>
        <v>8</v>
      </c>
      <c r="L12" s="68">
        <f t="shared" si="0"/>
        <v>0.36585365853658536</v>
      </c>
      <c r="M12" s="68">
        <f t="shared" si="1"/>
        <v>0.43478260869565216</v>
      </c>
      <c r="N12" s="68">
        <f t="shared" si="2"/>
        <v>0.65853658536585369</v>
      </c>
      <c r="O12" s="68">
        <f t="shared" si="3"/>
        <v>1.0933191940615059</v>
      </c>
      <c r="P12" s="69">
        <f t="shared" si="4"/>
        <v>0.17391304347826086</v>
      </c>
      <c r="Q12" s="69">
        <f t="shared" si="5"/>
        <v>8.6956521739130432E-2</v>
      </c>
      <c r="R12" s="69">
        <f t="shared" si="6"/>
        <v>0.46464646464646464</v>
      </c>
    </row>
    <row r="13" spans="2:18" x14ac:dyDescent="0.2">
      <c r="B13" s="40" t="s">
        <v>357</v>
      </c>
      <c r="C13" s="42">
        <f>SUMPRODUCT(COUNTIFS(pbp_PlayType,EM_Type,pbp_PitTeam,$E$5,pbp_Pitcher,$E$6,pbp_On1B,"?*")*EM_PA)+SUMPRODUCT(COUNTIFS(pbp_PlayType,EM_Type,pbp_PitTeam,$E$5,pbp_Pitcher,$E$6,pbp_On1B,"",pbp_On2B,"?*")*EM_PA)+SUMPRODUCT(COUNTIFS(pbp_PlayType,EM_Type,pbp_PitTeam,$E$5,pbp_Pitcher,$E$6,pbp_On1B,"",pbp_On2B,"",pbp_On3B,"?*")*EM_PA)</f>
        <v>53</v>
      </c>
      <c r="D13" s="42">
        <f>SUMPRODUCT(COUNTIFS(pbp_PlayType,EM_Type,pbp_PitTeam,$E$5,pbp_Pitcher,$E$6,pbp_On1B,"?*")*EM_AB)+SUMPRODUCT(COUNTIFS(pbp_PlayType,EM_Type,pbp_PitTeam,$E$5,pbp_Pitcher,$E$6,pbp_On1B,"",pbp_On2B,"?*")*EM_AB)+SUMPRODUCT(COUNTIFS(pbp_PlayType,EM_Type,pbp_PitTeam,$E$5,pbp_Pitcher,$E$6,pbp_On1B,"",pbp_On2B,"",pbp_On3B,"?*")*EM_AB)</f>
        <v>43</v>
      </c>
      <c r="E13" s="42">
        <f>SUMPRODUCT(COUNTIFS(pbp_PlayType,EM_Type,pbp_PitTeam,$E$5,pbp_Pitcher,$E$6,pbp_On1B,"?*")*EM_H)+SUMPRODUCT(COUNTIFS(pbp_PlayType,EM_Type,pbp_PitTeam,$E$5,pbp_Pitcher,$E$6,pbp_On1B,"",pbp_On2B,"?*")*EM_H)+SUMPRODUCT(COUNTIFS(pbp_PlayType,EM_Type,pbp_PitTeam,$E$5,pbp_Pitcher,$E$6,pbp_On1B,"",pbp_On2B,"",pbp_On3B,"?*")*EM_H)</f>
        <v>10</v>
      </c>
      <c r="F13" s="42">
        <f>SUMPRODUCT(COUNTIFS(pbp_PlayType,EM_Type,pbp_PitTeam,$E$5,pbp_Pitcher,$E$6,pbp_On1B,"?*")*EM_1B)+SUMPRODUCT(COUNTIFS(pbp_PlayType,EM_Type,pbp_PitTeam,$E$5,pbp_Pitcher,$E$6,pbp_On1B,"",pbp_On2B,"?*")*EM_1B)+SUMPRODUCT(COUNTIFS(pbp_PlayType,EM_Type,pbp_PitTeam,$E$5,pbp_Pitcher,$E$6,pbp_On1B,"",pbp_On2B,"",pbp_On3B,"?*")*EM_1B)+2*(SUMPRODUCT(COUNTIFS(pbp_PlayType,EM_Type,pbp_PitTeam,$E$5,pbp_Pitcher,$E$6,pbp_On1B,"?*")*EM_2B)+SUMPRODUCT(COUNTIFS(pbp_PlayType,EM_Type,pbp_PitTeam,$E$5,pbp_Pitcher,$E$6,pbp_On1B,"",pbp_On2B,"?*")*EM_2B)+SUMPRODUCT(COUNTIFS(pbp_PlayType,EM_Type,pbp_PitTeam,$E$5,pbp_Pitcher,$E$6,pbp_On1B,"",pbp_On2B,"",pbp_On3B,"?*")*EM_2B))+3*(SUMPRODUCT(COUNTIFS(pbp_PlayType,EM_Type,pbp_PitTeam,$E$5,pbp_Pitcher,$E$6,pbp_On1B,"?*")*EM_3B)+SUMPRODUCT(COUNTIFS(pbp_PlayType,EM_Type,pbp_PitTeam,$E$5,pbp_Pitcher,$E$6,pbp_On1B,"",pbp_On2B,"?*")*EM_3B)+SUMPRODUCT(COUNTIFS(pbp_PlayType,EM_Type,pbp_PitTeam,$E$5,pbp_Pitcher,$E$6,pbp_On1B,"",pbp_On2B,"",pbp_On3B,"?*")*EM_3B))+4*(SUMPRODUCT(COUNTIFS(pbp_PlayType,EM_Type,pbp_PitTeam,$E$5,pbp_Pitcher,$E$6,pbp_On1B,"?*")*EM_HR)+SUMPRODUCT(COUNTIFS(pbp_PlayType,EM_Type,pbp_PitTeam,$E$5,pbp_Pitcher,$E$6,pbp_On1B,"",pbp_On2B,"?*")*EM_HR)+SUMPRODUCT(COUNTIFS(pbp_PlayType,EM_Type,pbp_PitTeam,$E$5,pbp_Pitcher,$E$6,pbp_On1B,"",pbp_On2B,"",pbp_On3B,"?*")*EM_HR))</f>
        <v>14</v>
      </c>
      <c r="G13" s="42">
        <f>SUMPRODUCT(COUNTIFS(pbp_PlayType,EM_Type,pbp_PitTeam,$E$5,pbp_Pitcher,$E$6,pbp_On1B,"?*")*EM_HR)+SUMPRODUCT(COUNTIFS(pbp_PlayType,EM_Type,pbp_PitTeam,$E$5,pbp_Pitcher,$E$6,pbp_On1B,"",pbp_On2B,"?*")*EM_HR)+SUMPRODUCT(COUNTIFS(pbp_PlayType,EM_Type,pbp_PitTeam,$E$5,pbp_Pitcher,$E$6,pbp_On1B,"",pbp_On2B,"",pbp_On3B,"?*")*EM_HR)</f>
        <v>1</v>
      </c>
      <c r="H13" s="42">
        <f>SUMPRODUCT(COUNTIFS(pbp_PlayType,EM_Type,pbp_PitTeam,$E$5,pbp_Pitcher,$E$6,pbp_On1B,"?*")*EM_BB)+SUMPRODUCT(COUNTIFS(pbp_PlayType,EM_Type,pbp_PitTeam,$E$5,pbp_Pitcher,$E$6,pbp_On1B,"",pbp_On2B,"?*")*EM_BB)+SUMPRODUCT(COUNTIFS(pbp_PlayType,EM_Type,pbp_PitTeam,$E$5,pbp_Pitcher,$E$6,pbp_On1B,"",pbp_On2B,"",pbp_On3B,"?*")*EM_BB)</f>
        <v>5</v>
      </c>
      <c r="I13" s="42">
        <f>SUMPRODUCT(COUNTIFS(pbp_PlayType,EM_Type,pbp_PitTeam,$E$5,pbp_Pitcher,$E$6,pbp_On1B,"?*")*EM_HBP)+SUMPRODUCT(COUNTIFS(pbp_PlayType,EM_Type,pbp_PitTeam,$E$5,pbp_Pitcher,$E$6,pbp_On1B,"",pbp_On2B,"?*")*EM_HBP)+SUMPRODUCT(COUNTIFS(pbp_PlayType,EM_Type,pbp_PitTeam,$E$5,pbp_Pitcher,$E$6,pbp_On1B,"",pbp_On2B,"",pbp_On3B,"?*")*EM_HBP)</f>
        <v>1</v>
      </c>
      <c r="J13" s="42">
        <f>SUMPRODUCT(COUNTIFS(pbp_PlayType,EM_Type,pbp_PitTeam,$E$5,pbp_Pitcher,$E$6,pbp_On1B,"?*")*EM_SF)+SUMPRODUCT(COUNTIFS(pbp_PlayType,EM_Type,pbp_PitTeam,$E$5,pbp_Pitcher,$E$6,pbp_On1B,"",pbp_On2B,"?*")*EM_SF)+SUMPRODUCT(COUNTIFS(pbp_PlayType,EM_Type,pbp_PitTeam,$E$5,pbp_Pitcher,$E$6,pbp_On1B,"",pbp_On2B,"",pbp_On3B,"?*")*EM_SF)</f>
        <v>2</v>
      </c>
      <c r="K13" s="42">
        <f>COUNTIFS(pbp_PlayType,"?*",pbp_Desc,"*struck out*",pbp_PitTeam,$E$5,pbp_Pitcher,$E$6,pbp_On1B,"?*")+COUNTIFS(pbp_PlayType,"?*",pbp_Desc,"*struck out*",pbp_PitTeam,$E$5,pbp_Pitcher,$E$6,pbp_On1B,"",pbp_On2B,"?*")+COUNTIFS(pbp_PlayType,"?*",pbp_Desc,"*struck out*",pbp_PitTeam,$E$5,pbp_Pitcher,$E$6,pbp_On1B,"",pbp_On2B,"",pbp_On3B,"?*")</f>
        <v>9</v>
      </c>
      <c r="L13" s="58">
        <f t="shared" si="0"/>
        <v>0.23255813953488372</v>
      </c>
      <c r="M13" s="58">
        <f t="shared" si="1"/>
        <v>0.31372549019607843</v>
      </c>
      <c r="N13" s="58">
        <f t="shared" si="2"/>
        <v>0.32558139534883723</v>
      </c>
      <c r="O13" s="58">
        <f t="shared" si="3"/>
        <v>0.63930688554491566</v>
      </c>
      <c r="P13" s="59">
        <f t="shared" si="4"/>
        <v>0.16981132075471697</v>
      </c>
      <c r="Q13" s="59">
        <f t="shared" si="5"/>
        <v>9.4339622641509441E-2</v>
      </c>
      <c r="R13" s="59">
        <f t="shared" si="6"/>
        <v>0.53535353535353536</v>
      </c>
    </row>
    <row r="14" spans="2:18" x14ac:dyDescent="0.2">
      <c r="B14" s="48" t="s">
        <v>358</v>
      </c>
      <c r="C14" s="67">
        <f>SUMPRODUCT(COUNTIFS(pbp_PlayType,EM_Type,pbp_PitTeam,$E$5,pbp_Pitcher,$E$6,pbp_On2B,"?*")*EM_PA)+SUMPRODUCT(COUNTIFS(pbp_PlayType,EM_Type,pbp_PitTeam,$E$5,pbp_Pitcher,$E$6,pbp_On2B,"",pbp_On3B,"?*")*EM_PA)</f>
        <v>36</v>
      </c>
      <c r="D14" s="67">
        <f>SUMPRODUCT(COUNTIFS(pbp_PlayType,EM_Type,pbp_PitTeam,$E$5,pbp_Pitcher,$E$6,pbp_On2B,"?*")*EM_AB)+SUMPRODUCT(COUNTIFS(pbp_PlayType,EM_Type,pbp_PitTeam,$E$5,pbp_Pitcher,$E$6,pbp_On2B,"",pbp_On3B,"?*")*EM_AB)</f>
        <v>28</v>
      </c>
      <c r="E14" s="67">
        <f>SUMPRODUCT(COUNTIFS(pbp_PlayType,EM_Type,pbp_PitTeam,$E$5,pbp_Pitcher,$E$6,pbp_On2B,"?*")*EM_H)+SUMPRODUCT(COUNTIFS(pbp_PlayType,EM_Type,pbp_PitTeam,$E$5,pbp_Pitcher,$E$6,pbp_On2B,"",pbp_On3B,"?*")*EM_H)</f>
        <v>4</v>
      </c>
      <c r="F14" s="67">
        <f>SUMPRODUCT(COUNTIFS(pbp_PlayType,EM_Type,pbp_PitTeam,$E$5,pbp_Pitcher,$E$6,pbp_On2B,"?*")*EM_1B)+SUMPRODUCT(COUNTIFS(pbp_PlayType,EM_Type,pbp_PitTeam,$E$5,pbp_Pitcher,$E$6,pbp_On2B,"",pbp_On3B,"?*")*EM_1B)+2*(SUMPRODUCT(COUNTIFS(pbp_PlayType,EM_Type,pbp_PitTeam,$E$5,pbp_Pitcher,$E$6,pbp_On2B,"?*")*EM_2B)+SUMPRODUCT(COUNTIFS(pbp_PlayType,EM_Type,pbp_PitTeam,$E$5,pbp_Pitcher,$E$6,pbp_On2B,"",pbp_On3B,"?*")*EM_2B))+3*(SUMPRODUCT(COUNTIFS(pbp_PlayType,EM_Type,pbp_PitTeam,$E$5,pbp_Pitcher,$E$6,pbp_On2B,"?*")*EM_3B)+SUMPRODUCT(COUNTIFS(pbp_PlayType,EM_Type,pbp_PitTeam,$E$5,pbp_Pitcher,$E$6,pbp_On2B,"",pbp_On3B,"?*")*EM_3B))+4*(SUMPRODUCT(COUNTIFS(pbp_PlayType,EM_Type,pbp_PitTeam,$E$5,pbp_Pitcher,$E$6,pbp_On2B,"?*")*EM_HR)+SUMPRODUCT(COUNTIFS(pbp_PlayType,EM_Type,pbp_PitTeam,$E$5,pbp_Pitcher,$E$6,pbp_On2B,"",pbp_On3B,"?*")*EM_HR))</f>
        <v>8</v>
      </c>
      <c r="G14" s="67">
        <f>SUMPRODUCT(COUNTIFS(pbp_PlayType,EM_Type,pbp_PitTeam,$E$5,pbp_Pitcher,$E$6,pbp_On2B,"?*")*EM_HR)+SUMPRODUCT(COUNTIFS(pbp_PlayType,EM_Type,pbp_PitTeam,$E$5,pbp_Pitcher,$E$6,pbp_On2B,"",pbp_On3B,"?*")*EM_HR)</f>
        <v>1</v>
      </c>
      <c r="H14" s="67">
        <f>SUMPRODUCT(COUNTIFS(pbp_PlayType,EM_Type,pbp_PitTeam,$E$5,pbp_Pitcher,$E$6,pbp_On2B,"?*")*EM_BB)+SUMPRODUCT(COUNTIFS(pbp_PlayType,EM_Type,pbp_PitTeam,$E$5,pbp_Pitcher,$E$6,pbp_On2B,"",pbp_On3B,"?*")*EM_BB)</f>
        <v>4</v>
      </c>
      <c r="I14" s="67">
        <f>SUMPRODUCT(COUNTIFS(pbp_PlayType,EM_Type,pbp_PitTeam,$E$5,pbp_Pitcher,$E$6,pbp_On2B,"?*")*EM_HBP)+SUMPRODUCT(COUNTIFS(pbp_PlayType,EM_Type,pbp_PitTeam,$E$5,pbp_Pitcher,$E$6,pbp_On2B,"",pbp_On3B,"?*")*EM_HBP)</f>
        <v>1</v>
      </c>
      <c r="J14" s="67">
        <f>SUMPRODUCT(COUNTIFS(pbp_PlayType,EM_Type,pbp_PitTeam,$E$5,pbp_Pitcher,$E$6,pbp_On2B,"?*")*EM_SF)+SUMPRODUCT(COUNTIFS(pbp_PlayType,EM_Type,pbp_PitTeam,$E$5,pbp_Pitcher,$E$6,pbp_On2B,"",pbp_On3B,"?*")*EM_SF)</f>
        <v>2</v>
      </c>
      <c r="K14" s="67">
        <f>COUNTIFS(pbp_PlayType,"?*",pbp_Desc,"*struck out*",pbp_PitTeam,$E$5,pbp_Pitcher,$E$6,pbp_On2B,"?*")+COUNTIFS(pbp_PlayType,"?*",pbp_Desc,"*struck out*",pbp_PitTeam,$E$5,pbp_Pitcher,$E$6,pbp_On2B,"",pbp_On3B,"?*")</f>
        <v>5</v>
      </c>
      <c r="L14" s="68">
        <f t="shared" si="0"/>
        <v>0.14285714285714285</v>
      </c>
      <c r="M14" s="68">
        <f t="shared" si="1"/>
        <v>0.25714285714285712</v>
      </c>
      <c r="N14" s="68">
        <f t="shared" si="2"/>
        <v>0.2857142857142857</v>
      </c>
      <c r="O14" s="68">
        <f t="shared" si="3"/>
        <v>0.54285714285714282</v>
      </c>
      <c r="P14" s="69">
        <f t="shared" si="4"/>
        <v>0.1388888888888889</v>
      </c>
      <c r="Q14" s="69">
        <f t="shared" si="5"/>
        <v>0.1111111111111111</v>
      </c>
      <c r="R14" s="69">
        <f t="shared" si="6"/>
        <v>0.36363636363636365</v>
      </c>
    </row>
    <row r="15" spans="2:18" x14ac:dyDescent="0.2">
      <c r="B15" s="40" t="s">
        <v>359</v>
      </c>
      <c r="C15" s="42">
        <f>SUMPRODUCT(COUNTIFS(pbp_PlayType,EM_Type,pbp_PitTeam,$E$5,pbp_Pitcher,$E$6,pbp_On1B,"?*",pbp_On2B,"?*",pbp_On3B,"?*")*EM_PA)</f>
        <v>6</v>
      </c>
      <c r="D15" s="42">
        <f>SUMPRODUCT(COUNTIFS(pbp_PlayType,EM_Type,pbp_PitTeam,$E$5,pbp_Pitcher,$E$6,pbp_On1B,"?*",pbp_On2B,"?*",pbp_On3B,"?*")*EM_AB)</f>
        <v>5</v>
      </c>
      <c r="E15" s="42">
        <f>SUMPRODUCT(COUNTIFS(pbp_PlayType,EM_Type,pbp_PitTeam,$E$5,pbp_Pitcher,$E$6,pbp_On1B,"?*",pbp_On2B,"?*",pbp_On3B,"?*")*EM_H)</f>
        <v>0</v>
      </c>
      <c r="F15" s="42">
        <f>SUMPRODUCT(COUNTIFS(pbp_PlayType,EM_Type,pbp_PitTeam,$E$5,pbp_Pitcher,$E$6,pbp_On1B,"?*",pbp_On2B,"?*",pbp_On3B,"?*")*EM_1B)+2*(SUMPRODUCT(COUNTIFS(pbp_PlayType,EM_Type,pbp_PitTeam,$E$5,pbp_Pitcher,$E$6,pbp_On1B,"?*",pbp_On2B,"?*",pbp_On3B,"?*")*EM_2B))+3*(SUMPRODUCT(COUNTIFS(pbp_PlayType,EM_Type,pbp_PitTeam,$E$5,pbp_Pitcher,$E$6,pbp_On1B,"?*",pbp_On2B,"?*",pbp_On3B,"?*")*EM_3B))+4*(SUMPRODUCT(COUNTIFS(pbp_PlayType,EM_Type,pbp_PitTeam,$E$5,pbp_Pitcher,$E$6,pbp_On1B,"?*",pbp_On2B,"?*",pbp_On3B,"?*")*EM_HR))</f>
        <v>0</v>
      </c>
      <c r="G15" s="42">
        <f>SUMPRODUCT(COUNTIFS(pbp_PlayType,EM_Type,pbp_PitTeam,$E$5,pbp_Pitcher,$E$6,pbp_On1B,"?*",pbp_On2B,"?*",pbp_On3B,"?*")*EM_HR)</f>
        <v>0</v>
      </c>
      <c r="H15" s="42">
        <f>SUMPRODUCT(COUNTIFS(pbp_PlayType,EM_Type,pbp_PitTeam,$E$5,pbp_Pitcher,$E$6,pbp_On1B,"?*",pbp_On2B,"?*",pbp_On3B,"?*")*EM_BB)</f>
        <v>0</v>
      </c>
      <c r="I15" s="42">
        <f>SUMPRODUCT(COUNTIFS(pbp_PlayType,EM_Type,pbp_PitTeam,$E$5,pbp_Pitcher,$E$6,pbp_On1B,"?*",pbp_On2B,"?*",pbp_On3B,"?*")*EM_HBP)</f>
        <v>0</v>
      </c>
      <c r="J15" s="42">
        <f>SUMPRODUCT(COUNTIFS(pbp_PlayType,EM_Type,pbp_PitTeam,$E$5,pbp_Pitcher,$E$6,pbp_On1B,"?*",pbp_On2B,"?*",pbp_On3B,"?*")*EM_SF)</f>
        <v>1</v>
      </c>
      <c r="K15" s="42">
        <f>COUNTIFS(pbp_PlayType,"?*",pbp_Desc,"*struck out*",pbp_PitTeam,$E$5,pbp_Pitcher,$E$6,pbp_On1B,"?*",pbp_On2B,"?*",pbp_On3B,"?*")</f>
        <v>1</v>
      </c>
      <c r="L15" s="58">
        <f t="shared" si="0"/>
        <v>0</v>
      </c>
      <c r="M15" s="58">
        <f t="shared" si="1"/>
        <v>0</v>
      </c>
      <c r="N15" s="58">
        <f t="shared" si="2"/>
        <v>0</v>
      </c>
      <c r="O15" s="58">
        <f t="shared" si="3"/>
        <v>0</v>
      </c>
      <c r="P15" s="59">
        <f t="shared" si="4"/>
        <v>0.16666666666666666</v>
      </c>
      <c r="Q15" s="59">
        <f t="shared" si="5"/>
        <v>0</v>
      </c>
      <c r="R15" s="59">
        <f t="shared" si="6"/>
        <v>6.0606060606060608E-2</v>
      </c>
    </row>
    <row r="16" spans="2:18" x14ac:dyDescent="0.2">
      <c r="B16" s="48" t="s">
        <v>360</v>
      </c>
      <c r="C16" s="67">
        <f>SUMPRODUCT(COUNTIFS(pbp_PlayType,EM_Type,pbp_PitTeam,$E$5,pbp_Pitcher,$E$6,pbp_Seq,"IN*")*EM_PA)</f>
        <v>11</v>
      </c>
      <c r="D16" s="67">
        <f>SUMPRODUCT(COUNTIFS(pbp_PlayType,EM_Type,pbp_PitTeam,$E$5,pbp_Pitcher,$E$6,pbp_Seq,"IN*")*EM_AB)</f>
        <v>9</v>
      </c>
      <c r="E16" s="67">
        <f>SUMPRODUCT(COUNTIFS(pbp_PlayType,EM_Type,pbp_PitTeam,$E$5,pbp_Pitcher,$E$6,pbp_Seq,"IN*")*EM_H)</f>
        <v>3</v>
      </c>
      <c r="F16" s="67">
        <f>SUMPRODUCT(COUNTIFS(pbp_PlayType,EM_Type,pbp_PitTeam,$E$5,pbp_Pitcher,$E$6,pbp_Seq,"IN*")*EM_1B)+2*(SUMPRODUCT(COUNTIFS(pbp_PlayType,EM_Type,pbp_PitTeam,$E$5,pbp_Pitcher,$E$6,pbp_Seq,"IN*")*EM_2B))+3*(SUMPRODUCT(COUNTIFS(pbp_PlayType,EM_Type,pbp_PitTeam,$E$5,pbp_Pitcher,$E$6,pbp_Seq,"IN*")*EM_3B))+4*(SUMPRODUCT(COUNTIFS(pbp_PlayType,EM_Type,pbp_PitTeam,$E$5,pbp_Pitcher,$E$6,pbp_Seq,"IN*")*EM_HR))</f>
        <v>7</v>
      </c>
      <c r="G16" s="67">
        <f>SUMPRODUCT(COUNTIFS(pbp_PlayType,EM_Type,pbp_PitTeam,$E$5,pbp_Pitcher,$E$6,pbp_Seq,"IN*")*EM_HR)</f>
        <v>1</v>
      </c>
      <c r="H16" s="67">
        <f>SUMPRODUCT(COUNTIFS(pbp_PlayType,EM_Type,pbp_PitTeam,$E$5,pbp_Pitcher,$E$6,pbp_Seq,"IN*")*EM_BB)</f>
        <v>0</v>
      </c>
      <c r="I16" s="67">
        <f>SUMPRODUCT(COUNTIFS(pbp_PlayType,EM_Type,pbp_PitTeam,$E$5,pbp_Pitcher,$E$6,pbp_Seq,"IN*")*EM_HBP)</f>
        <v>0</v>
      </c>
      <c r="J16" s="67">
        <f>SUMPRODUCT(COUNTIFS(pbp_PlayType,EM_Type,pbp_PitTeam,$E$5,pbp_Pitcher,$E$6,pbp_Seq,"IN*")*EM_SF)</f>
        <v>0</v>
      </c>
      <c r="K16" s="67">
        <f>COUNTIFS(pbp_PlayType,"?*",pbp_Desc,"*struck out*",pbp_PitTeam,$E$5,pbp_Pitcher,$E$6,pbp_Seq,"IN*")</f>
        <v>0</v>
      </c>
      <c r="L16" s="68">
        <f t="shared" si="0"/>
        <v>0.33333333333333331</v>
      </c>
      <c r="M16" s="68">
        <f t="shared" si="1"/>
        <v>0.33333333333333331</v>
      </c>
      <c r="N16" s="68">
        <f t="shared" si="2"/>
        <v>0.77777777777777779</v>
      </c>
      <c r="O16" s="68">
        <f t="shared" si="3"/>
        <v>1.1111111111111112</v>
      </c>
      <c r="P16" s="69">
        <f t="shared" si="4"/>
        <v>0</v>
      </c>
      <c r="Q16" s="69">
        <f t="shared" si="5"/>
        <v>0</v>
      </c>
      <c r="R16" s="69">
        <f t="shared" si="6"/>
        <v>0.1111111111111111</v>
      </c>
    </row>
    <row r="17" spans="2:18" x14ac:dyDescent="0.2">
      <c r="B17" s="40" t="s">
        <v>361</v>
      </c>
      <c r="C17" s="42">
        <f>SUMPRODUCT(COUNTIFS(pbp_PlayType,EM_Type,pbp_PitTeam,$E$5,pbp_Pitcher,$E$6,pbp_Strike2,"?*")*EM_PA)</f>
        <v>42</v>
      </c>
      <c r="D17" s="42">
        <f>SUMPRODUCT(COUNTIFS(pbp_PlayType,EM_Type,pbp_PitTeam,$E$5,pbp_Pitcher,$E$6,pbp_Strike2,"?*")*EM_AB)</f>
        <v>37</v>
      </c>
      <c r="E17" s="42">
        <f>SUMPRODUCT(COUNTIFS(pbp_PlayType,EM_Type,pbp_PitTeam,$E$5,pbp_Pitcher,$E$6,pbp_Strike2,"?*")*EM_H)</f>
        <v>11</v>
      </c>
      <c r="F17" s="42">
        <f>SUMPRODUCT(COUNTIFS(pbp_PlayType,EM_Type,pbp_PitTeam,$E$5,pbp_Pitcher,$E$6,pbp_Strike2,"?*")*EM_1B)+2*(SUMPRODUCT(COUNTIFS(pbp_PlayType,EM_Type,pbp_PitTeam,$E$5,pbp_Pitcher,$E$6,pbp_Strike2,"?*")*EM_2B))+3*(SUMPRODUCT(COUNTIFS(pbp_PlayType,EM_Type,pbp_PitTeam,$E$5,pbp_Pitcher,$E$6,pbp_Strike2,"?*")*EM_3B))+4*(SUMPRODUCT(COUNTIFS(pbp_PlayType,EM_Type,pbp_PitTeam,$E$5,pbp_Pitcher,$E$6,pbp_Strike2,"?*")*EM_HR))</f>
        <v>17</v>
      </c>
      <c r="G17" s="42">
        <f>SUMPRODUCT(COUNTIFS(pbp_PlayType,EM_Type,pbp_PitTeam,$E$5,pbp_Pitcher,$E$6,pbp_Strike2,"?*")*EM_HR)</f>
        <v>1</v>
      </c>
      <c r="H17" s="42">
        <f>SUMPRODUCT(COUNTIFS(pbp_PlayType,EM_Type,pbp_PitTeam,$E$5,pbp_Pitcher,$E$6,pbp_Strike2,"?*")*EM_BB)</f>
        <v>4</v>
      </c>
      <c r="I17" s="42">
        <f>SUMPRODUCT(COUNTIFS(pbp_PlayType,EM_Type,pbp_PitTeam,$E$5,pbp_Pitcher,$E$6,pbp_Strike2,"?*")*EM_HBP)</f>
        <v>1</v>
      </c>
      <c r="J17" s="42">
        <f>SUMPRODUCT(COUNTIFS(pbp_PlayType,EM_Type,pbp_PitTeam,$E$5,pbp_Pitcher,$E$6,pbp_Strike2,"?*")*EM_SF)</f>
        <v>0</v>
      </c>
      <c r="K17" s="42">
        <f>COUNTIFS(pbp_PlayType,"?*",pbp_Desc,"*struck out*",pbp_PitTeam,$E$5,pbp_Pitcher,$E$6,pbp_Strike2,"?*")</f>
        <v>17</v>
      </c>
      <c r="L17" s="58">
        <f t="shared" si="0"/>
        <v>0.29729729729729731</v>
      </c>
      <c r="M17" s="58">
        <f t="shared" si="1"/>
        <v>0.38095238095238093</v>
      </c>
      <c r="N17" s="58">
        <f t="shared" si="2"/>
        <v>0.45945945945945948</v>
      </c>
      <c r="O17" s="58">
        <f t="shared" si="3"/>
        <v>0.84041184041184036</v>
      </c>
      <c r="P17" s="59">
        <f t="shared" si="4"/>
        <v>0.40476190476190477</v>
      </c>
      <c r="Q17" s="59">
        <f t="shared" si="5"/>
        <v>9.5238095238095233E-2</v>
      </c>
      <c r="R17" s="59">
        <f t="shared" si="6"/>
        <v>0.42424242424242425</v>
      </c>
    </row>
    <row r="18" spans="2:18" x14ac:dyDescent="0.2">
      <c r="B18" s="48" t="s">
        <v>362</v>
      </c>
      <c r="C18" s="67">
        <f>SUMPRODUCT(COUNTIFS(pbp_PlayType,EM_Type,pbp_PitTeam,$E$5,pbp_Pitcher,$E$6,pbp_Ball3,"?*",pbp_Strike2,"?*")*EM_PA)</f>
        <v>13</v>
      </c>
      <c r="D18" s="67">
        <f>SUMPRODUCT(COUNTIFS(pbp_PlayType,EM_Type,pbp_PitTeam,$E$5,pbp_Pitcher,$E$6,pbp_Ball3,"?*",pbp_Strike2,"?*")*EM_AB)</f>
        <v>9</v>
      </c>
      <c r="E18" s="67">
        <f>SUMPRODUCT(COUNTIFS(pbp_PlayType,EM_Type,pbp_PitTeam,$E$5,pbp_Pitcher,$E$6,pbp_Ball3,"?*",pbp_Strike2,"?*")*EM_H)</f>
        <v>4</v>
      </c>
      <c r="F18" s="67">
        <f>SUMPRODUCT(COUNTIFS(pbp_PlayType,EM_Type,pbp_PitTeam,$E$5,pbp_Pitcher,$E$6,pbp_Ball3,"?*",pbp_Strike2,"?*")*EM_1B)+2*(SUMPRODUCT(COUNTIFS(pbp_PlayType,EM_Type,pbp_PitTeam,$E$5,pbp_Pitcher,$E$6,pbp_Ball3,"?*",pbp_Strike2,"?*")*EM_2B))+3*(SUMPRODUCT(COUNTIFS(pbp_PlayType,EM_Type,pbp_PitTeam,$E$5,pbp_Pitcher,$E$6,pbp_Ball3,"?*",pbp_Strike2,"?*")*EM_3B))+4*(SUMPRODUCT(COUNTIFS(pbp_PlayType,EM_Type,pbp_PitTeam,$E$5,pbp_Pitcher,$E$6,pbp_Ball3,"?*",pbp_Strike2,"?*")*EM_HR))</f>
        <v>9</v>
      </c>
      <c r="G18" s="67">
        <f>SUMPRODUCT(COUNTIFS(pbp_PlayType,EM_Type,pbp_PitTeam,$E$5,pbp_Pitcher,$E$6,pbp_Ball3,"?*",pbp_Strike2,"?*")*EM_HR)</f>
        <v>1</v>
      </c>
      <c r="H18" s="67">
        <f>SUMPRODUCT(COUNTIFS(pbp_PlayType,EM_Type,pbp_PitTeam,$E$5,pbp_Pitcher,$E$6,pbp_Ball3,"?*",pbp_Strike2,"?*")*EM_BB)</f>
        <v>4</v>
      </c>
      <c r="I18" s="67">
        <f>SUMPRODUCT(COUNTIFS(pbp_PlayType,EM_Type,pbp_PitTeam,$E$5,pbp_Pitcher,$E$6,pbp_Ball3,"?*",pbp_Strike2,"?*")*EM_HBP)</f>
        <v>0</v>
      </c>
      <c r="J18" s="67">
        <f>SUMPRODUCT(COUNTIFS(pbp_PlayType,EM_Type,pbp_PitTeam,$E$5,pbp_Pitcher,$E$6,pbp_Ball3,"?*",pbp_Strike2,"?*")*EM_SF)</f>
        <v>0</v>
      </c>
      <c r="K18" s="67">
        <f>COUNTIFS(pbp_PlayType,"?*",pbp_Desc,"*struck out*",pbp_PitTeam,$E$5,pbp_Pitcher,$E$6,pbp_Ball3,"?*",pbp_Strike2,"?*")</f>
        <v>3</v>
      </c>
      <c r="L18" s="68">
        <f t="shared" si="0"/>
        <v>0.44444444444444442</v>
      </c>
      <c r="M18" s="68">
        <f t="shared" si="1"/>
        <v>0.61538461538461542</v>
      </c>
      <c r="N18" s="68">
        <f t="shared" si="2"/>
        <v>1</v>
      </c>
      <c r="O18" s="68">
        <f t="shared" si="3"/>
        <v>1.6153846153846154</v>
      </c>
      <c r="P18" s="69">
        <f t="shared" si="4"/>
        <v>0.23076923076923078</v>
      </c>
      <c r="Q18" s="69">
        <f t="shared" si="5"/>
        <v>0.30769230769230771</v>
      </c>
      <c r="R18" s="69">
        <f t="shared" si="6"/>
        <v>0.13131313131313133</v>
      </c>
    </row>
    <row r="19" spans="2:18" x14ac:dyDescent="0.2">
      <c r="B19" s="40" t="s">
        <v>363</v>
      </c>
      <c r="C19" s="42">
        <f>SUMPRODUCT(COUNTIFS(pbp_PlayType,EM_Type,pbp_PitTeam,$E$5,pbp_Pitcher,$E$6,pbp_Pitches,1)*EM_PA)</f>
        <v>12</v>
      </c>
      <c r="D19" s="42">
        <f>SUMPRODUCT(COUNTIFS(pbp_PlayType,EM_Type,pbp_PitTeam,$E$5,pbp_Pitcher,$E$6,pbp_Pitches,1)*EM_AB)</f>
        <v>9</v>
      </c>
      <c r="E19" s="42">
        <f>SUMPRODUCT(COUNTIFS(pbp_PlayType,EM_Type,pbp_PitTeam,$E$5,pbp_Pitcher,$E$6,pbp_Pitches,1)*EM_H)</f>
        <v>3</v>
      </c>
      <c r="F19" s="42">
        <f>SUMPRODUCT(COUNTIFS(pbp_PlayType,EM_Type,pbp_PitTeam,$E$5,pbp_Pitcher,$E$6,pbp_Pitches,1)*EM_1B)+2*(SUMPRODUCT(COUNTIFS(pbp_PlayType,EM_Type,pbp_PitTeam,$E$5,pbp_Pitcher,$E$6,pbp_Pitches,1)*EM_2B))+3*(SUMPRODUCT(COUNTIFS(pbp_PlayType,EM_Type,pbp_PitTeam,$E$5,pbp_Pitcher,$E$6,pbp_Pitches,1)*EM_3B))+4*(SUMPRODUCT(COUNTIFS(pbp_PlayType,EM_Type,pbp_PitTeam,$E$5,pbp_Pitcher,$E$6,pbp_Pitches,1)*EM_HR))</f>
        <v>7</v>
      </c>
      <c r="G19" s="42">
        <f>SUMPRODUCT(COUNTIFS(pbp_PlayType,EM_Type,pbp_PitTeam,$E$5,pbp_Pitcher,$E$6,pbp_Pitches,1)*EM_HR)</f>
        <v>1</v>
      </c>
      <c r="H19" s="42">
        <f>SUMPRODUCT(COUNTIFS(pbp_PlayType,EM_Type,pbp_PitTeam,$E$5,pbp_Pitcher,$E$6,pbp_Pitches,1)*EM_BB)</f>
        <v>1</v>
      </c>
      <c r="I19" s="42">
        <f>SUMPRODUCT(COUNTIFS(pbp_PlayType,EM_Type,pbp_PitTeam,$E$5,pbp_Pitcher,$E$6,pbp_Pitches,1)*EM_HBP)</f>
        <v>0</v>
      </c>
      <c r="J19" s="42">
        <f>SUMPRODUCT(COUNTIFS(pbp_PlayType,EM_Type,pbp_PitTeam,$E$5,pbp_Pitcher,$E$6,pbp_Pitches,1)*EM_SF)</f>
        <v>0</v>
      </c>
      <c r="K19" s="42">
        <f>COUNTIFS(pbp_PlayType,"?*",pbp_Desc,"*struck out*",pbp_PitTeam,$E$5,pbp_Pitcher,$E$6,pbp_Pitches,1)</f>
        <v>0</v>
      </c>
      <c r="L19" s="58">
        <f t="shared" si="0"/>
        <v>0.33333333333333331</v>
      </c>
      <c r="M19" s="58">
        <f t="shared" si="1"/>
        <v>0.4</v>
      </c>
      <c r="N19" s="58">
        <f t="shared" si="2"/>
        <v>0.77777777777777779</v>
      </c>
      <c r="O19" s="58">
        <f t="shared" si="3"/>
        <v>1.1777777777777778</v>
      </c>
      <c r="P19" s="59">
        <f t="shared" si="4"/>
        <v>0</v>
      </c>
      <c r="Q19" s="59">
        <f t="shared" si="5"/>
        <v>8.3333333333333329E-2</v>
      </c>
      <c r="R19" s="59">
        <f t="shared" si="6"/>
        <v>0.12121212121212122</v>
      </c>
    </row>
    <row r="20" spans="2:18" x14ac:dyDescent="0.2">
      <c r="B20" s="48" t="s">
        <v>364</v>
      </c>
      <c r="C20" s="67">
        <f>SUMPRODUCT(COUNTIFS(pbp_PlayType,EM_Type,pbp_PitTeam,$E$5,pbp_Pitcher,$E$6,pbp_Pitches,"&gt;=2",pbp_Pitches,"&lt;=3")*EM_PA)</f>
        <v>39</v>
      </c>
      <c r="D20" s="67">
        <f>SUMPRODUCT(COUNTIFS(pbp_PlayType,EM_Type,pbp_PitTeam,$E$5,pbp_Pitcher,$E$6,pbp_Pitches,"&gt;=2",pbp_Pitches,"&lt;=3")*EM_AB)</f>
        <v>36</v>
      </c>
      <c r="E20" s="67">
        <f>SUMPRODUCT(COUNTIFS(pbp_PlayType,EM_Type,pbp_PitTeam,$E$5,pbp_Pitcher,$E$6,pbp_Pitches,"&gt;=2",pbp_Pitches,"&lt;=3")*EM_H)</f>
        <v>11</v>
      </c>
      <c r="F20" s="67">
        <f>SUMPRODUCT(COUNTIFS(pbp_PlayType,EM_Type,pbp_PitTeam,$E$5,pbp_Pitcher,$E$6,pbp_Pitches,"&gt;=2",pbp_Pitches,"&lt;=3")*EM_1B)+2*(SUMPRODUCT(COUNTIFS(pbp_PlayType,EM_Type,pbp_PitTeam,$E$5,pbp_Pitcher,$E$6,pbp_Pitches,"&gt;=2",pbp_Pitches,"&lt;=3")*EM_2B))+3*(SUMPRODUCT(COUNTIFS(pbp_PlayType,EM_Type,pbp_PitTeam,$E$5,pbp_Pitcher,$E$6,pbp_Pitches,"&gt;=2",pbp_Pitches,"&lt;=3")*EM_3B))+4*(SUMPRODUCT(COUNTIFS(pbp_PlayType,EM_Type,pbp_PitTeam,$E$5,pbp_Pitcher,$E$6,pbp_Pitches,"&gt;=2",pbp_Pitches,"&lt;=3")*EM_HR))</f>
        <v>17</v>
      </c>
      <c r="G20" s="67">
        <f>SUMPRODUCT(COUNTIFS(pbp_PlayType,EM_Type,pbp_PitTeam,$E$5,pbp_Pitcher,$E$6,pbp_Pitches,"&gt;=2",pbp_Pitches,"&lt;=3")*EM_HR)</f>
        <v>2</v>
      </c>
      <c r="H20" s="67">
        <f>SUMPRODUCT(COUNTIFS(pbp_PlayType,EM_Type,pbp_PitTeam,$E$5,pbp_Pitcher,$E$6,pbp_Pitches,"&gt;=2",pbp_Pitches,"&lt;=3")*EM_BB)</f>
        <v>0</v>
      </c>
      <c r="I20" s="67">
        <f>SUMPRODUCT(COUNTIFS(pbp_PlayType,EM_Type,pbp_PitTeam,$E$5,pbp_Pitcher,$E$6,pbp_Pitches,"&gt;=2",pbp_Pitches,"&lt;=3")*EM_HBP)</f>
        <v>1</v>
      </c>
      <c r="J20" s="67">
        <f>SUMPRODUCT(COUNTIFS(pbp_PlayType,EM_Type,pbp_PitTeam,$E$5,pbp_Pitcher,$E$6,pbp_Pitches,"&gt;=2",pbp_Pitches,"&lt;=3")*EM_SF)</f>
        <v>2</v>
      </c>
      <c r="K20" s="67">
        <f>COUNTIFS(pbp_PlayType,"?*",pbp_Desc,"*struck out*",pbp_PitTeam,$E$5,pbp_Pitcher,$E$6,pbp_Pitches,"&gt;=2",pbp_Pitches,"&lt;=3")</f>
        <v>1</v>
      </c>
      <c r="L20" s="68">
        <f t="shared" si="0"/>
        <v>0.30555555555555558</v>
      </c>
      <c r="M20" s="68">
        <f t="shared" si="1"/>
        <v>0.30769230769230771</v>
      </c>
      <c r="N20" s="68">
        <f t="shared" si="2"/>
        <v>0.47222222222222221</v>
      </c>
      <c r="O20" s="68">
        <f t="shared" si="3"/>
        <v>0.77991452991452992</v>
      </c>
      <c r="P20" s="69">
        <f t="shared" si="4"/>
        <v>2.564102564102564E-2</v>
      </c>
      <c r="Q20" s="69">
        <f t="shared" si="5"/>
        <v>0</v>
      </c>
      <c r="R20" s="69">
        <f t="shared" si="6"/>
        <v>0.39393939393939392</v>
      </c>
    </row>
    <row r="21" spans="2:18" x14ac:dyDescent="0.2">
      <c r="B21" s="40" t="s">
        <v>365</v>
      </c>
      <c r="C21" s="42">
        <f>SUMPRODUCT(COUNTIFS(pbp_PlayType,EM_Type,pbp_PitTeam,$E$5,pbp_Pitcher,$E$6,pbp_Pitches,"&gt;=4",pbp_Pitches,"&lt;=5")*EM_PA)</f>
        <v>33</v>
      </c>
      <c r="D21" s="42">
        <f>SUMPRODUCT(COUNTIFS(pbp_PlayType,EM_Type,pbp_PitTeam,$E$5,pbp_Pitcher,$E$6,pbp_Pitches,"&gt;=4",pbp_Pitches,"&lt;=5")*EM_AB)</f>
        <v>28</v>
      </c>
      <c r="E21" s="42">
        <f>SUMPRODUCT(COUNTIFS(pbp_PlayType,EM_Type,pbp_PitTeam,$E$5,pbp_Pitcher,$E$6,pbp_Pitches,"&gt;=4",pbp_Pitches,"&lt;=5")*EM_H)</f>
        <v>7</v>
      </c>
      <c r="F21" s="42">
        <f>SUMPRODUCT(COUNTIFS(pbp_PlayType,EM_Type,pbp_PitTeam,$E$5,pbp_Pitcher,$E$6,pbp_Pitches,"&gt;=4",pbp_Pitches,"&lt;=5")*EM_1B)+2*(SUMPRODUCT(COUNTIFS(pbp_PlayType,EM_Type,pbp_PitTeam,$E$5,pbp_Pitcher,$E$6,pbp_Pitches,"&gt;=4",pbp_Pitches,"&lt;=5")*EM_2B))+3*(SUMPRODUCT(COUNTIFS(pbp_PlayType,EM_Type,pbp_PitTeam,$E$5,pbp_Pitcher,$E$6,pbp_Pitches,"&gt;=4",pbp_Pitches,"&lt;=5")*EM_3B))+4*(SUMPRODUCT(COUNTIFS(pbp_PlayType,EM_Type,pbp_PitTeam,$E$5,pbp_Pitcher,$E$6,pbp_Pitches,"&gt;=4",pbp_Pitches,"&lt;=5")*EM_HR))</f>
        <v>8</v>
      </c>
      <c r="G21" s="42">
        <f>SUMPRODUCT(COUNTIFS(pbp_PlayType,EM_Type,pbp_PitTeam,$E$5,pbp_Pitcher,$E$6,pbp_Pitches,"&gt;=4",pbp_Pitches,"&lt;=5")*EM_HR)</f>
        <v>0</v>
      </c>
      <c r="H21" s="42">
        <f>SUMPRODUCT(COUNTIFS(pbp_PlayType,EM_Type,pbp_PitTeam,$E$5,pbp_Pitcher,$E$6,pbp_Pitches,"&gt;=4",pbp_Pitches,"&lt;=5")*EM_BB)</f>
        <v>4</v>
      </c>
      <c r="I21" s="42">
        <f>SUMPRODUCT(COUNTIFS(pbp_PlayType,EM_Type,pbp_PitTeam,$E$5,pbp_Pitcher,$E$6,pbp_Pitches,"&gt;=4",pbp_Pitches,"&lt;=5")*EM_HBP)</f>
        <v>1</v>
      </c>
      <c r="J21" s="42">
        <f>SUMPRODUCT(COUNTIFS(pbp_PlayType,EM_Type,pbp_PitTeam,$E$5,pbp_Pitcher,$E$6,pbp_Pitches,"&gt;=4",pbp_Pitches,"&lt;=5")*EM_SF)</f>
        <v>0</v>
      </c>
      <c r="K21" s="42">
        <f>COUNTIFS(pbp_PlayType,"?*",pbp_Desc,"*struck out*",pbp_PitTeam,$E$5,pbp_Pitcher,$E$6,pbp_Pitches,"&gt;=4",pbp_Pitches,"&lt;=5")</f>
        <v>11</v>
      </c>
      <c r="L21" s="58">
        <f t="shared" si="0"/>
        <v>0.25</v>
      </c>
      <c r="M21" s="58">
        <f t="shared" si="1"/>
        <v>0.36363636363636365</v>
      </c>
      <c r="N21" s="58">
        <f t="shared" si="2"/>
        <v>0.2857142857142857</v>
      </c>
      <c r="O21" s="58">
        <f t="shared" si="3"/>
        <v>0.64935064935064934</v>
      </c>
      <c r="P21" s="59">
        <f t="shared" si="4"/>
        <v>0.33333333333333331</v>
      </c>
      <c r="Q21" s="59">
        <f t="shared" si="5"/>
        <v>0.12121212121212122</v>
      </c>
      <c r="R21" s="59">
        <f t="shared" si="6"/>
        <v>0.33333333333333331</v>
      </c>
    </row>
    <row r="22" spans="2:18" x14ac:dyDescent="0.2">
      <c r="B22" s="48" t="s">
        <v>366</v>
      </c>
      <c r="C22" s="67">
        <f>SUMPRODUCT(COUNTIFS(pbp_PlayType,EM_Type,pbp_PitTeam,$E$5,pbp_Pitcher,$E$6,pbp_Pitches,"&gt;=6")*EM_PA)</f>
        <v>15</v>
      </c>
      <c r="D22" s="67">
        <f>SUMPRODUCT(COUNTIFS(pbp_PlayType,EM_Type,pbp_PitTeam,$E$5,pbp_Pitcher,$E$6,pbp_Pitches,"&gt;=6")*EM_AB)</f>
        <v>11</v>
      </c>
      <c r="E22" s="67">
        <f>SUMPRODUCT(COUNTIFS(pbp_PlayType,EM_Type,pbp_PitTeam,$E$5,pbp_Pitcher,$E$6,pbp_Pitches,"&gt;=6")*EM_H)</f>
        <v>4</v>
      </c>
      <c r="F22" s="67">
        <f>SUMPRODUCT(COUNTIFS(pbp_PlayType,EM_Type,pbp_PitTeam,$E$5,pbp_Pitcher,$E$6,pbp_Pitches,"&gt;=6")*EM_1B)+2*(SUMPRODUCT(COUNTIFS(pbp_PlayType,EM_Type,pbp_PitTeam,$E$5,pbp_Pitcher,$E$6,pbp_Pitches,"&gt;=6")*EM_2B))+3*(SUMPRODUCT(COUNTIFS(pbp_PlayType,EM_Type,pbp_PitTeam,$E$5,pbp_Pitcher,$E$6,pbp_Pitches,"&gt;=6")*EM_3B))+4*(SUMPRODUCT(COUNTIFS(pbp_PlayType,EM_Type,pbp_PitTeam,$E$5,pbp_Pitcher,$E$6,pbp_Pitches,"&gt;=6")*EM_HR))</f>
        <v>9</v>
      </c>
      <c r="G22" s="67">
        <f>SUMPRODUCT(COUNTIFS(pbp_PlayType,EM_Type,pbp_PitTeam,$E$5,pbp_Pitcher,$E$6,pbp_Pitches,"&gt;=6")*EM_HR)</f>
        <v>1</v>
      </c>
      <c r="H22" s="67">
        <f>SUMPRODUCT(COUNTIFS(pbp_PlayType,EM_Type,pbp_PitTeam,$E$5,pbp_Pitcher,$E$6,pbp_Pitches,"&gt;=6")*EM_BB)</f>
        <v>4</v>
      </c>
      <c r="I22" s="67">
        <f>SUMPRODUCT(COUNTIFS(pbp_PlayType,EM_Type,pbp_PitTeam,$E$5,pbp_Pitcher,$E$6,pbp_Pitches,"&gt;=6")*EM_HBP)</f>
        <v>0</v>
      </c>
      <c r="J22" s="67">
        <f>SUMPRODUCT(COUNTIFS(pbp_PlayType,EM_Type,pbp_PitTeam,$E$5,pbp_Pitcher,$E$6,pbp_Pitches,"&gt;=6")*EM_SF)</f>
        <v>0</v>
      </c>
      <c r="K22" s="67">
        <f>COUNTIFS(pbp_PlayType,"?*",pbp_Desc,"*struck out*",pbp_PitTeam,$E$5,pbp_Pitcher,$E$6,pbp_Pitches,"&gt;=6")</f>
        <v>5</v>
      </c>
      <c r="L22" s="68">
        <f t="shared" si="0"/>
        <v>0.36363636363636365</v>
      </c>
      <c r="M22" s="68">
        <f t="shared" si="1"/>
        <v>0.53333333333333333</v>
      </c>
      <c r="N22" s="68">
        <f t="shared" si="2"/>
        <v>0.81818181818181823</v>
      </c>
      <c r="O22" s="68">
        <f t="shared" si="3"/>
        <v>1.3515151515151516</v>
      </c>
      <c r="P22" s="69">
        <f t="shared" si="4"/>
        <v>0.33333333333333331</v>
      </c>
      <c r="Q22" s="69">
        <f t="shared" si="5"/>
        <v>0.26666666666666666</v>
      </c>
      <c r="R22" s="69">
        <f t="shared" si="6"/>
        <v>0.15151515151515152</v>
      </c>
    </row>
    <row r="23" spans="2:18" x14ac:dyDescent="0.2">
      <c r="B23" s="40" t="s">
        <v>367</v>
      </c>
      <c r="C23" s="42">
        <f>SUMPRODUCT(COUNTIFS(pbp_PlayType,EM_Type,pbp_PitTeam,$E$5,pbp_Pitcher,$E$6,pbp_Inning,"1?")*EM_PA)+SUMPRODUCT(COUNTIFS(pbp_PlayType,EM_Type,pbp_PitTeam,$E$5,pbp_Pitcher,$E$6,pbp_Inning,"2?")*EM_PA)+SUMPRODUCT(COUNTIFS(pbp_PlayType,EM_Type,pbp_PitTeam,$E$5,pbp_Pitcher,$E$6,pbp_Inning,"3?")*EM_PA)</f>
        <v>26</v>
      </c>
      <c r="D23" s="42">
        <f>SUMPRODUCT(COUNTIFS(pbp_PlayType,EM_Type,pbp_PitTeam,$E$5,pbp_Pitcher,$E$6,pbp_Inning,"1?")*EM_AB)+SUMPRODUCT(COUNTIFS(pbp_PlayType,EM_Type,pbp_PitTeam,$E$5,pbp_Pitcher,$E$6,pbp_Inning,"2?")*EM_AB)+SUMPRODUCT(COUNTIFS(pbp_PlayType,EM_Type,pbp_PitTeam,$E$5,pbp_Pitcher,$E$6,pbp_Inning,"3?")*EM_AB)</f>
        <v>23</v>
      </c>
      <c r="E23" s="42">
        <f>SUMPRODUCT(COUNTIFS(pbp_PlayType,EM_Type,pbp_PitTeam,$E$5,pbp_Pitcher,$E$6,pbp_Inning,"1?")*EM_H)+SUMPRODUCT(COUNTIFS(pbp_PlayType,EM_Type,pbp_PitTeam,$E$5,pbp_Pitcher,$E$6,pbp_Inning,"2?")*EM_H)+SUMPRODUCT(COUNTIFS(pbp_PlayType,EM_Type,pbp_PitTeam,$E$5,pbp_Pitcher,$E$6,pbp_Inning,"3?")*EM_H)</f>
        <v>7</v>
      </c>
      <c r="F23" s="42">
        <f>SUMPRODUCT(COUNTIFS(pbp_PlayType,EM_Type,pbp_PitTeam,$E$5,pbp_Pitcher,$E$6,pbp_Inning,"1?")*EM_1B)+SUMPRODUCT(COUNTIFS(pbp_PlayType,EM_Type,pbp_PitTeam,$E$5,pbp_Pitcher,$E$6,pbp_Inning,"2?")*EM_1B)+SUMPRODUCT(COUNTIFS(pbp_PlayType,EM_Type,pbp_PitTeam,$E$5,pbp_Pitcher,$E$6,pbp_Inning,"3?")*EM_1B)+2*(SUMPRODUCT(COUNTIFS(pbp_PlayType,EM_Type,pbp_PitTeam,$E$5,pbp_Pitcher,$E$6,pbp_Inning,"1?")*EM_2B)+SUMPRODUCT(COUNTIFS(pbp_PlayType,EM_Type,pbp_PitTeam,$E$5,pbp_Pitcher,$E$6,pbp_Inning,"2?")*EM_2B)+SUMPRODUCT(COUNTIFS(pbp_PlayType,EM_Type,pbp_PitTeam,$E$5,pbp_Pitcher,$E$6,pbp_Inning,"3?")*EM_2B))+3*(SUMPRODUCT(COUNTIFS(pbp_PlayType,EM_Type,pbp_PitTeam,$E$5,pbp_Pitcher,$E$6,pbp_Inning,"1?")*EM_3B)+SUMPRODUCT(COUNTIFS(pbp_PlayType,EM_Type,pbp_PitTeam,$E$5,pbp_Pitcher,$E$6,pbp_Inning,"2?")*EM_3B)+SUMPRODUCT(COUNTIFS(pbp_PlayType,EM_Type,pbp_PitTeam,$E$5,pbp_Pitcher,$E$6,pbp_Inning,"3?")*EM_3B))+4*(SUMPRODUCT(COUNTIFS(pbp_PlayType,EM_Type,pbp_PitTeam,$E$5,pbp_Pitcher,$E$6,pbp_Inning,"1?")*EM_HR)+SUMPRODUCT(COUNTIFS(pbp_PlayType,EM_Type,pbp_PitTeam,$E$5,pbp_Pitcher,$E$6,pbp_Inning,"2?")*EM_HR)+SUMPRODUCT(COUNTIFS(pbp_PlayType,EM_Type,pbp_PitTeam,$E$5,pbp_Pitcher,$E$6,pbp_Inning,"3?")*EM_HR))</f>
        <v>10</v>
      </c>
      <c r="G23" s="42">
        <f>SUMPRODUCT(COUNTIFS(pbp_PlayType,EM_Type,pbp_PitTeam,$E$5,pbp_Pitcher,$E$6,pbp_Inning,"1?")*EM_HR)+SUMPRODUCT(COUNTIFS(pbp_PlayType,EM_Type,pbp_PitTeam,$E$5,pbp_Pitcher,$E$6,pbp_Inning,"2?")*EM_HR)+SUMPRODUCT(COUNTIFS(pbp_PlayType,EM_Type,pbp_PitTeam,$E$5,pbp_Pitcher,$E$6,pbp_Inning,"3?")*EM_HR)</f>
        <v>1</v>
      </c>
      <c r="H23" s="42">
        <f>SUMPRODUCT(COUNTIFS(pbp_PlayType,EM_Type,pbp_PitTeam,$E$5,pbp_Pitcher,$E$6,pbp_Inning,"1?")*EM_BB)+SUMPRODUCT(COUNTIFS(pbp_PlayType,EM_Type,pbp_PitTeam,$E$5,pbp_Pitcher,$E$6,pbp_Inning,"2?")*EM_BB)+SUMPRODUCT(COUNTIFS(pbp_PlayType,EM_Type,pbp_PitTeam,$E$5,pbp_Pitcher,$E$6,pbp_Inning,"3?")*EM_BB)</f>
        <v>2</v>
      </c>
      <c r="I23" s="42">
        <f>SUMPRODUCT(COUNTIFS(pbp_PlayType,EM_Type,pbp_PitTeam,$E$5,pbp_Pitcher,$E$6,pbp_Inning,"1?")*EM_HBP)+SUMPRODUCT(COUNTIFS(pbp_PlayType,EM_Type,pbp_PitTeam,$E$5,pbp_Pitcher,$E$6,pbp_Inning,"2?")*EM_HBP)+SUMPRODUCT(COUNTIFS(pbp_PlayType,EM_Type,pbp_PitTeam,$E$5,pbp_Pitcher,$E$6,pbp_Inning,"3?")*EM_HBP)</f>
        <v>0</v>
      </c>
      <c r="J23" s="42">
        <f>SUMPRODUCT(COUNTIFS(pbp_PlayType,EM_Type,pbp_PitTeam,$E$5,pbp_Pitcher,$E$6,pbp_Inning,"1?")*EM_SF)+SUMPRODUCT(COUNTIFS(pbp_PlayType,EM_Type,pbp_PitTeam,$E$5,pbp_Pitcher,$E$6,pbp_Inning,"2?")*EM_SF)+SUMPRODUCT(COUNTIFS(pbp_PlayType,EM_Type,pbp_PitTeam,$E$5,pbp_Pitcher,$E$6,pbp_Inning,"3?")*EM_SF)</f>
        <v>0</v>
      </c>
      <c r="K23" s="42">
        <f>COUNTIFS(pbp_PlayType,"?*",pbp_Desc,"*struck out*",pbp_PitTeam,$E$5,pbp_Pitcher,$E$6,pbp_Inning,"1?")+COUNTIFS(pbp_PlayType,"?*",pbp_Desc,"*struck out*",pbp_PitTeam,$E$5,pbp_Pitcher,$E$6,pbp_Inning,"2?")+COUNTIFS(pbp_PlayType,"?*",pbp_Desc,"*struck out*",pbp_PitTeam,$E$5,pbp_Pitcher,$E$6,pbp_Inning,"3?")</f>
        <v>6</v>
      </c>
      <c r="L23" s="58">
        <f t="shared" si="0"/>
        <v>0.30434782608695654</v>
      </c>
      <c r="M23" s="58">
        <f t="shared" si="1"/>
        <v>0.36</v>
      </c>
      <c r="N23" s="58">
        <f t="shared" si="2"/>
        <v>0.43478260869565216</v>
      </c>
      <c r="O23" s="58">
        <f t="shared" si="3"/>
        <v>0.7947826086956522</v>
      </c>
      <c r="P23" s="59">
        <f t="shared" si="4"/>
        <v>0.23076923076923078</v>
      </c>
      <c r="Q23" s="59">
        <f t="shared" si="5"/>
        <v>7.6923076923076927E-2</v>
      </c>
      <c r="R23" s="59">
        <f t="shared" si="6"/>
        <v>0.26262626262626265</v>
      </c>
    </row>
    <row r="24" spans="2:18" x14ac:dyDescent="0.2">
      <c r="B24" s="48" t="s">
        <v>368</v>
      </c>
      <c r="C24" s="67">
        <f>SUMPRODUCT(COUNTIFS(pbp_PlayType,EM_Type,pbp_PitTeam,$E$5,pbp_Pitcher,$E$6,pbp_Inning,"4?")*EM_PA)+SUMPRODUCT(COUNTIFS(pbp_PlayType,EM_Type,pbp_PitTeam,$E$5,pbp_Pitcher,$E$6,pbp_Inning,"5?")*EM_PA)+SUMPRODUCT(COUNTIFS(pbp_PlayType,EM_Type,pbp_PitTeam,$E$5,pbp_Pitcher,$E$6,pbp_Inning,"6?")*EM_PA)</f>
        <v>31</v>
      </c>
      <c r="D24" s="67">
        <f>SUMPRODUCT(COUNTIFS(pbp_PlayType,EM_Type,pbp_PitTeam,$E$5,pbp_Pitcher,$E$6,pbp_Inning,"4?")*EM_AB)+SUMPRODUCT(COUNTIFS(pbp_PlayType,EM_Type,pbp_PitTeam,$E$5,pbp_Pitcher,$E$6,pbp_Inning,"5?")*EM_AB)+SUMPRODUCT(COUNTIFS(pbp_PlayType,EM_Type,pbp_PitTeam,$E$5,pbp_Pitcher,$E$6,pbp_Inning,"6?")*EM_AB)</f>
        <v>26</v>
      </c>
      <c r="E24" s="67">
        <f>SUMPRODUCT(COUNTIFS(pbp_PlayType,EM_Type,pbp_PitTeam,$E$5,pbp_Pitcher,$E$6,pbp_Inning,"4?")*EM_H)+SUMPRODUCT(COUNTIFS(pbp_PlayType,EM_Type,pbp_PitTeam,$E$5,pbp_Pitcher,$E$6,pbp_Inning,"5?")*EM_H)+SUMPRODUCT(COUNTIFS(pbp_PlayType,EM_Type,pbp_PitTeam,$E$5,pbp_Pitcher,$E$6,pbp_Inning,"6?")*EM_H)</f>
        <v>10</v>
      </c>
      <c r="F24" s="67">
        <f>SUMPRODUCT(COUNTIFS(pbp_PlayType,EM_Type,pbp_PitTeam,$E$5,pbp_Pitcher,$E$6,pbp_Inning,"4?")*EM_1B)+SUMPRODUCT(COUNTIFS(pbp_PlayType,EM_Type,pbp_PitTeam,$E$5,pbp_Pitcher,$E$6,pbp_Inning,"5?")*EM_1B)+SUMPRODUCT(COUNTIFS(pbp_PlayType,EM_Type,pbp_PitTeam,$E$5,pbp_Pitcher,$E$6,pbp_Inning,"6?")*EM_1B)+2*(SUMPRODUCT(COUNTIFS(pbp_PlayType,EM_Type,pbp_PitTeam,$E$5,pbp_Pitcher,$E$6,pbp_Inning,"4?")*EM_2B)+SUMPRODUCT(COUNTIFS(pbp_PlayType,EM_Type,pbp_PitTeam,$E$5,pbp_Pitcher,$E$6,pbp_Inning,"5?")*EM_2B)+SUMPRODUCT(COUNTIFS(pbp_PlayType,EM_Type,pbp_PitTeam,$E$5,pbp_Pitcher,$E$6,pbp_Inning,"6?")*EM_2B))+3*(SUMPRODUCT(COUNTIFS(pbp_PlayType,EM_Type,pbp_PitTeam,$E$5,pbp_Pitcher,$E$6,pbp_Inning,"4?")*EM_3B)+SUMPRODUCT(COUNTIFS(pbp_PlayType,EM_Type,pbp_PitTeam,$E$5,pbp_Pitcher,$E$6,pbp_Inning,"5?")*EM_3B)+SUMPRODUCT(COUNTIFS(pbp_PlayType,EM_Type,pbp_PitTeam,$E$5,pbp_Pitcher,$E$6,pbp_Inning,"6?")*EM_3B))+4*(SUMPRODUCT(COUNTIFS(pbp_PlayType,EM_Type,pbp_PitTeam,$E$5,pbp_Pitcher,$E$6,pbp_Inning,"4?")*EM_HR)+SUMPRODUCT(COUNTIFS(pbp_PlayType,EM_Type,pbp_PitTeam,$E$5,pbp_Pitcher,$E$6,pbp_Inning,"5?")*EM_HR)+SUMPRODUCT(COUNTIFS(pbp_PlayType,EM_Type,pbp_PitTeam,$E$5,pbp_Pitcher,$E$6,pbp_Inning,"6?")*EM_HR))</f>
        <v>12</v>
      </c>
      <c r="G24" s="67">
        <f>SUMPRODUCT(COUNTIFS(pbp_PlayType,EM_Type,pbp_PitTeam,$E$5,pbp_Pitcher,$E$6,pbp_Inning,"4?")*EM_HR)+SUMPRODUCT(COUNTIFS(pbp_PlayType,EM_Type,pbp_PitTeam,$E$5,pbp_Pitcher,$E$6,pbp_Inning,"5?")*EM_HR)+SUMPRODUCT(COUNTIFS(pbp_PlayType,EM_Type,pbp_PitTeam,$E$5,pbp_Pitcher,$E$6,pbp_Inning,"6?")*EM_HR)</f>
        <v>0</v>
      </c>
      <c r="H24" s="67">
        <f>SUMPRODUCT(COUNTIFS(pbp_PlayType,EM_Type,pbp_PitTeam,$E$5,pbp_Pitcher,$E$6,pbp_Inning,"4?")*EM_BB)+SUMPRODUCT(COUNTIFS(pbp_PlayType,EM_Type,pbp_PitTeam,$E$5,pbp_Pitcher,$E$6,pbp_Inning,"5?")*EM_BB)+SUMPRODUCT(COUNTIFS(pbp_PlayType,EM_Type,pbp_PitTeam,$E$5,pbp_Pitcher,$E$6,pbp_Inning,"6?")*EM_BB)</f>
        <v>2</v>
      </c>
      <c r="I24" s="67">
        <f>SUMPRODUCT(COUNTIFS(pbp_PlayType,EM_Type,pbp_PitTeam,$E$5,pbp_Pitcher,$E$6,pbp_Inning,"4?")*EM_HBP)+SUMPRODUCT(COUNTIFS(pbp_PlayType,EM_Type,pbp_PitTeam,$E$5,pbp_Pitcher,$E$6,pbp_Inning,"5?")*EM_HBP)+SUMPRODUCT(COUNTIFS(pbp_PlayType,EM_Type,pbp_PitTeam,$E$5,pbp_Pitcher,$E$6,pbp_Inning,"6?")*EM_HBP)</f>
        <v>1</v>
      </c>
      <c r="J24" s="67">
        <f>SUMPRODUCT(COUNTIFS(pbp_PlayType,EM_Type,pbp_PitTeam,$E$5,pbp_Pitcher,$E$6,pbp_Inning,"4?")*EM_SF)+SUMPRODUCT(COUNTIFS(pbp_PlayType,EM_Type,pbp_PitTeam,$E$5,pbp_Pitcher,$E$6,pbp_Inning,"5?")*EM_SF)+SUMPRODUCT(COUNTIFS(pbp_PlayType,EM_Type,pbp_PitTeam,$E$5,pbp_Pitcher,$E$6,pbp_Inning,"6?")*EM_SF)</f>
        <v>2</v>
      </c>
      <c r="K24" s="67">
        <f>COUNTIFS(pbp_PlayType,"?*",pbp_Desc,"*struck out*",pbp_PitTeam,$E$5,pbp_Pitcher,$E$6,pbp_Inning,"4?")+COUNTIFS(pbp_PlayType,"?*",pbp_Desc,"*struck out*",pbp_PitTeam,$E$5,pbp_Pitcher,$E$6,pbp_Inning,"5?")+COUNTIFS(pbp_PlayType,"?*",pbp_Desc,"*struck out*",pbp_PitTeam,$E$5,pbp_Pitcher,$E$6,pbp_Inning,"6?")</f>
        <v>4</v>
      </c>
      <c r="L24" s="68">
        <f t="shared" si="0"/>
        <v>0.38461538461538464</v>
      </c>
      <c r="M24" s="68">
        <f t="shared" si="1"/>
        <v>0.41935483870967744</v>
      </c>
      <c r="N24" s="68">
        <f t="shared" si="2"/>
        <v>0.46153846153846156</v>
      </c>
      <c r="O24" s="68">
        <f t="shared" si="3"/>
        <v>0.88089330024813894</v>
      </c>
      <c r="P24" s="69">
        <f t="shared" si="4"/>
        <v>0.12903225806451613</v>
      </c>
      <c r="Q24" s="69">
        <f t="shared" si="5"/>
        <v>6.4516129032258063E-2</v>
      </c>
      <c r="R24" s="69">
        <f t="shared" si="6"/>
        <v>0.31313131313131315</v>
      </c>
    </row>
    <row r="25" spans="2:18" x14ac:dyDescent="0.2">
      <c r="B25" s="40" t="s">
        <v>369</v>
      </c>
      <c r="C25" s="42">
        <f>SUMPRODUCT(COUNTIFS(pbp_PlayType,EM_Type,pbp_PitTeam,$E$5,pbp_Pitcher,$E$6,pbp_Inning,"7?")*EM_PA)+SUMPRODUCT(COUNTIFS(pbp_PlayType,EM_Type,pbp_PitTeam,$E$5,pbp_Pitcher,$E$6,pbp_Inning,"8?")*EM_PA)+SUMPRODUCT(COUNTIFS(pbp_PlayType,EM_Type,pbp_PitTeam,$E$5,pbp_Pitcher,$E$6,pbp_Inning,"9?")*EM_PA)</f>
        <v>25</v>
      </c>
      <c r="D25" s="42">
        <f>SUMPRODUCT(COUNTIFS(pbp_PlayType,EM_Type,pbp_PitTeam,$E$5,pbp_Pitcher,$E$6,pbp_Inning,"7?")*EM_AB)+SUMPRODUCT(COUNTIFS(pbp_PlayType,EM_Type,pbp_PitTeam,$E$5,pbp_Pitcher,$E$6,pbp_Inning,"8?")*EM_AB)+SUMPRODUCT(COUNTIFS(pbp_PlayType,EM_Type,pbp_PitTeam,$E$5,pbp_Pitcher,$E$6,pbp_Inning,"9?")*EM_AB)</f>
        <v>22</v>
      </c>
      <c r="E25" s="42">
        <f>SUMPRODUCT(COUNTIFS(pbp_PlayType,EM_Type,pbp_PitTeam,$E$5,pbp_Pitcher,$E$6,pbp_Inning,"7?")*EM_H)+SUMPRODUCT(COUNTIFS(pbp_PlayType,EM_Type,pbp_PitTeam,$E$5,pbp_Pitcher,$E$6,pbp_Inning,"8?")*EM_H)+SUMPRODUCT(COUNTIFS(pbp_PlayType,EM_Type,pbp_PitTeam,$E$5,pbp_Pitcher,$E$6,pbp_Inning,"9?")*EM_H)</f>
        <v>5</v>
      </c>
      <c r="F25" s="42">
        <f>SUMPRODUCT(COUNTIFS(pbp_PlayType,EM_Type,pbp_PitTeam,$E$5,pbp_Pitcher,$E$6,pbp_Inning,"7?")*EM_1B)+SUMPRODUCT(COUNTIFS(pbp_PlayType,EM_Type,pbp_PitTeam,$E$5,pbp_Pitcher,$E$6,pbp_Inning,"8?")*EM_1B)+SUMPRODUCT(COUNTIFS(pbp_PlayType,EM_Type,pbp_PitTeam,$E$5,pbp_Pitcher,$E$6,pbp_Inning,"9?")*EM_1B)+2*(SUMPRODUCT(COUNTIFS(pbp_PlayType,EM_Type,pbp_PitTeam,$E$5,pbp_Pitcher,$E$6,pbp_Inning,"7?")*EM_2B)+SUMPRODUCT(COUNTIFS(pbp_PlayType,EM_Type,pbp_PitTeam,$E$5,pbp_Pitcher,$E$6,pbp_Inning,"8?")*EM_2B)+SUMPRODUCT(COUNTIFS(pbp_PlayType,EM_Type,pbp_PitTeam,$E$5,pbp_Pitcher,$E$6,pbp_Inning,"9?")*EM_2B))+3*(SUMPRODUCT(COUNTIFS(pbp_PlayType,EM_Type,pbp_PitTeam,$E$5,pbp_Pitcher,$E$6,pbp_Inning,"7?")*EM_3B)+SUMPRODUCT(COUNTIFS(pbp_PlayType,EM_Type,pbp_PitTeam,$E$5,pbp_Pitcher,$E$6,pbp_Inning,"8?")*EM_3B)+SUMPRODUCT(COUNTIFS(pbp_PlayType,EM_Type,pbp_PitTeam,$E$5,pbp_Pitcher,$E$6,pbp_Inning,"9?")*EM_3B))+4*(SUMPRODUCT(COUNTIFS(pbp_PlayType,EM_Type,pbp_PitTeam,$E$5,pbp_Pitcher,$E$6,pbp_Inning,"7?")*EM_HR)+SUMPRODUCT(COUNTIFS(pbp_PlayType,EM_Type,pbp_PitTeam,$E$5,pbp_Pitcher,$E$6,pbp_Inning,"8?")*EM_HR)+SUMPRODUCT(COUNTIFS(pbp_PlayType,EM_Type,pbp_PitTeam,$E$5,pbp_Pitcher,$E$6,pbp_Inning,"9?")*EM_HR))</f>
        <v>12</v>
      </c>
      <c r="G25" s="42">
        <f>SUMPRODUCT(COUNTIFS(pbp_PlayType,EM_Type,pbp_PitTeam,$E$5,pbp_Pitcher,$E$6,pbp_Inning,"7?")*EM_HR)+SUMPRODUCT(COUNTIFS(pbp_PlayType,EM_Type,pbp_PitTeam,$E$5,pbp_Pitcher,$E$6,pbp_Inning,"8?")*EM_HR)+SUMPRODUCT(COUNTIFS(pbp_PlayType,EM_Type,pbp_PitTeam,$E$5,pbp_Pitcher,$E$6,pbp_Inning,"9?")*EM_HR)</f>
        <v>2</v>
      </c>
      <c r="H25" s="42">
        <f>SUMPRODUCT(COUNTIFS(pbp_PlayType,EM_Type,pbp_PitTeam,$E$5,pbp_Pitcher,$E$6,pbp_Inning,"7?")*EM_BB)+SUMPRODUCT(COUNTIFS(pbp_PlayType,EM_Type,pbp_PitTeam,$E$5,pbp_Pitcher,$E$6,pbp_Inning,"8?")*EM_BB)+SUMPRODUCT(COUNTIFS(pbp_PlayType,EM_Type,pbp_PitTeam,$E$5,pbp_Pitcher,$E$6,pbp_Inning,"9?")*EM_BB)</f>
        <v>2</v>
      </c>
      <c r="I25" s="42">
        <f>SUMPRODUCT(COUNTIFS(pbp_PlayType,EM_Type,pbp_PitTeam,$E$5,pbp_Pitcher,$E$6,pbp_Inning,"7?")*EM_HBP)+SUMPRODUCT(COUNTIFS(pbp_PlayType,EM_Type,pbp_PitTeam,$E$5,pbp_Pitcher,$E$6,pbp_Inning,"8?")*EM_HBP)+SUMPRODUCT(COUNTIFS(pbp_PlayType,EM_Type,pbp_PitTeam,$E$5,pbp_Pitcher,$E$6,pbp_Inning,"9?")*EM_HBP)</f>
        <v>1</v>
      </c>
      <c r="J25" s="42">
        <f>SUMPRODUCT(COUNTIFS(pbp_PlayType,EM_Type,pbp_PitTeam,$E$5,pbp_Pitcher,$E$6,pbp_Inning,"7?")*EM_SF)+SUMPRODUCT(COUNTIFS(pbp_PlayType,EM_Type,pbp_PitTeam,$E$5,pbp_Pitcher,$E$6,pbp_Inning,"8?")*EM_SF)+SUMPRODUCT(COUNTIFS(pbp_PlayType,EM_Type,pbp_PitTeam,$E$5,pbp_Pitcher,$E$6,pbp_Inning,"9?")*EM_SF)</f>
        <v>0</v>
      </c>
      <c r="K25" s="42">
        <f>COUNTIFS(pbp_PlayType,"?*",pbp_Desc,"*struck out*",pbp_PitTeam,$E$5,pbp_Pitcher,$E$6,pbp_Inning,"7?")+COUNTIFS(pbp_PlayType,"?*",pbp_Desc,"*struck out*",pbp_PitTeam,$E$5,pbp_Pitcher,$E$6,pbp_Inning,"8?")+COUNTIFS(pbp_PlayType,"?*",pbp_Desc,"*struck out*",pbp_PitTeam,$E$5,pbp_Pitcher,$E$6,pbp_Inning,"9?")</f>
        <v>6</v>
      </c>
      <c r="L25" s="58">
        <f t="shared" si="0"/>
        <v>0.22727272727272727</v>
      </c>
      <c r="M25" s="58">
        <f t="shared" si="1"/>
        <v>0.32</v>
      </c>
      <c r="N25" s="58">
        <f t="shared" si="2"/>
        <v>0.54545454545454541</v>
      </c>
      <c r="O25" s="58">
        <f t="shared" si="3"/>
        <v>0.86545454545454548</v>
      </c>
      <c r="P25" s="59">
        <f t="shared" si="4"/>
        <v>0.24</v>
      </c>
      <c r="Q25" s="59">
        <f t="shared" si="5"/>
        <v>0.08</v>
      </c>
      <c r="R25" s="59">
        <f t="shared" si="6"/>
        <v>0.25252525252525254</v>
      </c>
    </row>
    <row r="26" spans="2:18" x14ac:dyDescent="0.2">
      <c r="B26" s="48" t="s">
        <v>370</v>
      </c>
      <c r="C26" s="67">
        <f>SUMPRODUCT(COUNTIFS(pbp_PlayType,EM_Type,pbp_PitTeam,$E$5,pbp_Pitcher,$E$6,pbp_Inning,"1??")*EM_PA)</f>
        <v>17</v>
      </c>
      <c r="D26" s="67">
        <f>SUMPRODUCT(COUNTIFS(pbp_PlayType,EM_Type,pbp_PitTeam,$E$5,pbp_Pitcher,$E$6,pbp_Inning,"1??")*EM_AB)</f>
        <v>13</v>
      </c>
      <c r="E26" s="67">
        <f>SUMPRODUCT(COUNTIFS(pbp_PlayType,EM_Type,pbp_PitTeam,$E$5,pbp_Pitcher,$E$6,pbp_Inning,"1??")*EM_H)</f>
        <v>3</v>
      </c>
      <c r="F26" s="67">
        <f>SUMPRODUCT(COUNTIFS(pbp_PlayType,EM_Type,pbp_PitTeam,$E$5,pbp_Pitcher,$E$6,pbp_Inning,"1??")*EM_1B)+2*(SUMPRODUCT(COUNTIFS(pbp_PlayType,EM_Type,pbp_PitTeam,$E$5,pbp_Pitcher,$E$6,pbp_Inning,"1??")*EM_2B))+3*(SUMPRODUCT(COUNTIFS(pbp_PlayType,EM_Type,pbp_PitTeam,$E$5,pbp_Pitcher,$E$6,pbp_Inning,"1??")*EM_3B))+4*(SUMPRODUCT(COUNTIFS(pbp_PlayType,EM_Type,pbp_PitTeam,$E$5,pbp_Pitcher,$E$6,pbp_Inning,"1??")*EM_HR))</f>
        <v>7</v>
      </c>
      <c r="G26" s="67">
        <f>SUMPRODUCT(COUNTIFS(pbp_PlayType,EM_Type,pbp_PitTeam,$E$5,pbp_Pitcher,$E$6,pbp_Inning,"1??")*EM_HR)</f>
        <v>1</v>
      </c>
      <c r="H26" s="67">
        <f>SUMPRODUCT(COUNTIFS(pbp_PlayType,EM_Type,pbp_PitTeam,$E$5,pbp_Pitcher,$E$6,pbp_Inning,"1??")*EM_BB)</f>
        <v>3</v>
      </c>
      <c r="I26" s="67">
        <f>SUMPRODUCT(COUNTIFS(pbp_PlayType,EM_Type,pbp_PitTeam,$E$5,pbp_Pitcher,$E$6,pbp_Inning,"1??")*EM_HBP)</f>
        <v>0</v>
      </c>
      <c r="J26" s="67">
        <f>SUMPRODUCT(COUNTIFS(pbp_PlayType,EM_Type,pbp_PitTeam,$E$5,pbp_Pitcher,$E$6,pbp_Inning,"1??")*EM_SF)</f>
        <v>0</v>
      </c>
      <c r="K26" s="67">
        <f>COUNTIFS(pbp_PlayType,"?*",pbp_Desc,"*struck out*",pbp_PitTeam,$E$5,pbp_Pitcher,$E$6,pbp_Inning,"1??")</f>
        <v>1</v>
      </c>
      <c r="L26" s="68">
        <f t="shared" si="0"/>
        <v>0.23076923076923078</v>
      </c>
      <c r="M26" s="68">
        <f t="shared" si="1"/>
        <v>0.375</v>
      </c>
      <c r="N26" s="68">
        <f t="shared" si="2"/>
        <v>0.53846153846153844</v>
      </c>
      <c r="O26" s="68">
        <f t="shared" si="3"/>
        <v>0.91346153846153844</v>
      </c>
      <c r="P26" s="69">
        <f t="shared" si="4"/>
        <v>5.8823529411764705E-2</v>
      </c>
      <c r="Q26" s="69">
        <f t="shared" si="5"/>
        <v>0.17647058823529413</v>
      </c>
      <c r="R26" s="69">
        <f t="shared" si="6"/>
        <v>0.17171717171717171</v>
      </c>
    </row>
    <row r="28" spans="2:18" x14ac:dyDescent="0.2">
      <c r="B28" s="38" t="s">
        <v>371</v>
      </c>
    </row>
  </sheetData>
  <conditionalFormatting sqref="O9:O26">
    <cfRule type="colorScale" priority="2">
      <colorScale>
        <cfvo type="min"/>
        <cfvo type="percentile" val="50"/>
        <cfvo type="max"/>
        <color rgb="FFF8CBAD"/>
        <color rgb="FFFFFFFF"/>
        <color rgb="FFA9D08E"/>
      </colorScale>
    </cfRule>
  </conditionalFormatting>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700-000000000000}">
          <x14:formula1>
            <xm:f>Lists!$F$6:$F$36</xm:f>
          </x14:formula1>
          <x14:formula2>
            <xm:f>0</xm:f>
          </x14:formula2>
          <xm:sqref>C5</xm:sqref>
        </x14:dataValidation>
        <x14:dataValidation type="list" allowBlank="1" xr:uid="{00000000-0002-0000-0700-000001000000}">
          <x14:formula1>
            <xm:f>Lists!$H$6:$H$256</xm:f>
          </x14:formula1>
          <x14:formula2>
            <xm:f>0</xm:f>
          </x14:formula2>
          <xm:sqref>C6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pageSetUpPr fitToPage="1"/>
  </sheetPr>
  <dimension ref="B2:L34"/>
  <sheetViews>
    <sheetView showGridLines="0" zoomScaleNormal="100" workbookViewId="0"/>
  </sheetViews>
  <sheetFormatPr baseColWidth="10" defaultColWidth="8.6640625" defaultRowHeight="15" x14ac:dyDescent="0.2"/>
  <cols>
    <col min="1" max="1" width="3" customWidth="1"/>
    <col min="2" max="2" width="26" customWidth="1"/>
    <col min="3" max="9" width="11" customWidth="1"/>
    <col min="10" max="12" width="13" customWidth="1"/>
  </cols>
  <sheetData>
    <row r="2" spans="2:9" ht="21" x14ac:dyDescent="0.25">
      <c r="B2" s="37" t="s">
        <v>401</v>
      </c>
    </row>
    <row r="3" spans="2:9" x14ac:dyDescent="0.2">
      <c r="B3" s="38" t="s">
        <v>402</v>
      </c>
    </row>
    <row r="5" spans="2:9" x14ac:dyDescent="0.2">
      <c r="B5" s="44" t="s">
        <v>403</v>
      </c>
      <c r="C5" s="63" t="s">
        <v>348</v>
      </c>
      <c r="E5" s="38" t="str">
        <f>IF(OR(C5="",C5="All Teams"),"*",C5)</f>
        <v>*</v>
      </c>
    </row>
    <row r="6" spans="2:9" x14ac:dyDescent="0.2">
      <c r="B6" s="44" t="s">
        <v>404</v>
      </c>
      <c r="C6" s="63" t="s">
        <v>348</v>
      </c>
      <c r="E6" s="38" t="str">
        <f>IF(OR(C6="",C6="All Teams"),"*",C6)</f>
        <v>*</v>
      </c>
    </row>
    <row r="8" spans="2:9" ht="16" x14ac:dyDescent="0.2">
      <c r="B8" s="39" t="s">
        <v>405</v>
      </c>
    </row>
    <row r="9" spans="2:9" ht="31.5" customHeight="1" x14ac:dyDescent="0.2">
      <c r="B9" s="43" t="s">
        <v>406</v>
      </c>
      <c r="C9" s="43" t="s">
        <v>407</v>
      </c>
      <c r="D9" s="43" t="s">
        <v>408</v>
      </c>
      <c r="E9" s="43" t="s">
        <v>409</v>
      </c>
      <c r="F9" s="43" t="s">
        <v>410</v>
      </c>
      <c r="G9" s="43" t="s">
        <v>411</v>
      </c>
      <c r="H9" s="43" t="s">
        <v>412</v>
      </c>
      <c r="I9" s="43" t="s">
        <v>413</v>
      </c>
    </row>
    <row r="10" spans="2:9" x14ac:dyDescent="0.2">
      <c r="B10" s="40" t="s">
        <v>414</v>
      </c>
      <c r="C10" s="42">
        <f>SUMPRODUCT(COUNTIFS(pbp_PlayType,EM_Type,pbp_BatTeam,$E$5,pbp_HitType,"LINE*")*EM_PA)</f>
        <v>17</v>
      </c>
      <c r="D10" s="59">
        <f>IF(SUM($C$10:$C$13)=0,"",C10/SUM($C$10:$C$13))</f>
        <v>0.40476190476190477</v>
      </c>
      <c r="E10" s="42">
        <f>SUMPRODUCT(COUNTIFS(pbp_PlayType,EM_Type,pbp_BatTeam,$E$5,pbp_HitType,"LINE*")*EM_H)</f>
        <v>17</v>
      </c>
      <c r="F10" s="42">
        <f>SUMPRODUCT(COUNTIFS(pbp_PlayType,EM_Type,pbp_BatTeam,$E$5,pbp_HitType,"LINE*")*EM_2B)+SUMPRODUCT(COUNTIFS(pbp_PlayType,EM_Type,pbp_BatTeam,$E$5,pbp_HitType,"LINE*")*EM_3B)+SUMPRODUCT(COUNTIFS(pbp_PlayType,EM_Type,pbp_BatTeam,$E$5,pbp_HitType,"LINE*")*EM_HR)</f>
        <v>3</v>
      </c>
      <c r="G10" s="42">
        <f>SUMPRODUCT(COUNTIFS(pbp_PlayType,EM_Type,pbp_BatTeam,$E$5,pbp_HitType,"LINE*")*EM_HR)</f>
        <v>0</v>
      </c>
      <c r="H10" s="58">
        <f>IF((SUMPRODUCT(COUNTIFS(pbp_PlayType,EM_Type,pbp_BatTeam,$E$5,pbp_HitType,"LINE*")*EM_AB))=0,"",E10/(SUMPRODUCT(COUNTIFS(pbp_PlayType,EM_Type,pbp_BatTeam,$E$5,pbp_HitType,"LINE*")*EM_AB)))</f>
        <v>1</v>
      </c>
      <c r="I10" s="58">
        <f>IF((SUMPRODUCT(COUNTIFS(pbp_PlayType,EM_Type,pbp_BatTeam,$E$5,pbp_HitType,"LINE*")*EM_AB))=0,"",(SUMPRODUCT(COUNTIFS(pbp_PlayType,EM_Type,pbp_BatTeam,$E$5,pbp_HitType,"LINE*")*EM_1B)+2*(SUMPRODUCT(COUNTIFS(pbp_PlayType,EM_Type,pbp_BatTeam,$E$5,pbp_HitType,"LINE*")*EM_2B))+3*(SUMPRODUCT(COUNTIFS(pbp_PlayType,EM_Type,pbp_BatTeam,$E$5,pbp_HitType,"LINE*")*EM_3B))+4*(SUMPRODUCT(COUNTIFS(pbp_PlayType,EM_Type,pbp_BatTeam,$E$5,pbp_HitType,"LINE*")*EM_HR)))/(SUMPRODUCT(COUNTIFS(pbp_PlayType,EM_Type,pbp_BatTeam,$E$5,pbp_HitType,"LINE*")*EM_AB)))</f>
        <v>1.1764705882352942</v>
      </c>
    </row>
    <row r="11" spans="2:9" x14ac:dyDescent="0.2">
      <c r="B11" s="40" t="s">
        <v>415</v>
      </c>
      <c r="C11" s="42">
        <f>SUMPRODUCT(COUNTIFS(pbp_PlayType,EM_Type,pbp_BatTeam,$E$5,pbp_HitType,"FLY*")*EM_PA)</f>
        <v>20</v>
      </c>
      <c r="D11" s="59">
        <f>IF(SUM($C$10:$C$13)=0,"",C11/SUM($C$10:$C$13))</f>
        <v>0.47619047619047616</v>
      </c>
      <c r="E11" s="42">
        <f>SUMPRODUCT(COUNTIFS(pbp_PlayType,EM_Type,pbp_BatTeam,$E$5,pbp_HitType,"FLY*")*EM_H)</f>
        <v>5</v>
      </c>
      <c r="F11" s="42">
        <f>SUMPRODUCT(COUNTIFS(pbp_PlayType,EM_Type,pbp_BatTeam,$E$5,pbp_HitType,"FLY*")*EM_2B)+SUMPRODUCT(COUNTIFS(pbp_PlayType,EM_Type,pbp_BatTeam,$E$5,pbp_HitType,"FLY*")*EM_3B)+SUMPRODUCT(COUNTIFS(pbp_PlayType,EM_Type,pbp_BatTeam,$E$5,pbp_HitType,"FLY*")*EM_HR)</f>
        <v>5</v>
      </c>
      <c r="G11" s="42">
        <f>SUMPRODUCT(COUNTIFS(pbp_PlayType,EM_Type,pbp_BatTeam,$E$5,pbp_HitType,"FLY*")*EM_HR)</f>
        <v>4</v>
      </c>
      <c r="H11" s="58">
        <f>IF((SUMPRODUCT(COUNTIFS(pbp_PlayType,EM_Type,pbp_BatTeam,$E$5,pbp_HitType,"FLY*")*EM_AB))=0,"",E11/(SUMPRODUCT(COUNTIFS(pbp_PlayType,EM_Type,pbp_BatTeam,$E$5,pbp_HitType,"FLY*")*EM_AB)))</f>
        <v>0.26315789473684209</v>
      </c>
      <c r="I11" s="58">
        <f>IF((SUMPRODUCT(COUNTIFS(pbp_PlayType,EM_Type,pbp_BatTeam,$E$5,pbp_HitType,"FLY*")*EM_AB))=0,"",(SUMPRODUCT(COUNTIFS(pbp_PlayType,EM_Type,pbp_BatTeam,$E$5,pbp_HitType,"FLY*")*EM_1B)+2*(SUMPRODUCT(COUNTIFS(pbp_PlayType,EM_Type,pbp_BatTeam,$E$5,pbp_HitType,"FLY*")*EM_2B))+3*(SUMPRODUCT(COUNTIFS(pbp_PlayType,EM_Type,pbp_BatTeam,$E$5,pbp_HitType,"FLY*")*EM_3B))+4*(SUMPRODUCT(COUNTIFS(pbp_PlayType,EM_Type,pbp_BatTeam,$E$5,pbp_HitType,"FLY*")*EM_HR)))/(SUMPRODUCT(COUNTIFS(pbp_PlayType,EM_Type,pbp_BatTeam,$E$5,pbp_HitType,"FLY*")*EM_AB)))</f>
        <v>0.94736842105263153</v>
      </c>
    </row>
    <row r="12" spans="2:9" x14ac:dyDescent="0.2">
      <c r="B12" s="40" t="s">
        <v>416</v>
      </c>
      <c r="C12" s="42">
        <f>SUMPRODUCT(COUNTIFS(pbp_PlayType,EM_Type,pbp_BatTeam,$E$5,pbp_HitType,"GROUND*")*EM_PA)</f>
        <v>3</v>
      </c>
      <c r="D12" s="59">
        <f>IF(SUM($C$10:$C$13)=0,"",C12/SUM($C$10:$C$13))</f>
        <v>7.1428571428571425E-2</v>
      </c>
      <c r="E12" s="42">
        <f>SUMPRODUCT(COUNTIFS(pbp_PlayType,EM_Type,pbp_BatTeam,$E$5,pbp_HitType,"GROUND*")*EM_H)</f>
        <v>3</v>
      </c>
      <c r="F12" s="42">
        <f>SUMPRODUCT(COUNTIFS(pbp_PlayType,EM_Type,pbp_BatTeam,$E$5,pbp_HitType,"GROUND*")*EM_2B)+SUMPRODUCT(COUNTIFS(pbp_PlayType,EM_Type,pbp_BatTeam,$E$5,pbp_HitType,"GROUND*")*EM_3B)+SUMPRODUCT(COUNTIFS(pbp_PlayType,EM_Type,pbp_BatTeam,$E$5,pbp_HitType,"GROUND*")*EM_HR)</f>
        <v>0</v>
      </c>
      <c r="G12" s="42">
        <f>SUMPRODUCT(COUNTIFS(pbp_PlayType,EM_Type,pbp_BatTeam,$E$5,pbp_HitType,"GROUND*")*EM_HR)</f>
        <v>0</v>
      </c>
      <c r="H12" s="58">
        <f>IF((SUMPRODUCT(COUNTIFS(pbp_PlayType,EM_Type,pbp_BatTeam,$E$5,pbp_HitType,"GROUND*")*EM_AB))=0,"",E12/(SUMPRODUCT(COUNTIFS(pbp_PlayType,EM_Type,pbp_BatTeam,$E$5,pbp_HitType,"GROUND*")*EM_AB)))</f>
        <v>1</v>
      </c>
      <c r="I12" s="58">
        <f>IF((SUMPRODUCT(COUNTIFS(pbp_PlayType,EM_Type,pbp_BatTeam,$E$5,pbp_HitType,"GROUND*")*EM_AB))=0,"",(SUMPRODUCT(COUNTIFS(pbp_PlayType,EM_Type,pbp_BatTeam,$E$5,pbp_HitType,"GROUND*")*EM_1B)+2*(SUMPRODUCT(COUNTIFS(pbp_PlayType,EM_Type,pbp_BatTeam,$E$5,pbp_HitType,"GROUND*")*EM_2B))+3*(SUMPRODUCT(COUNTIFS(pbp_PlayType,EM_Type,pbp_BatTeam,$E$5,pbp_HitType,"GROUND*")*EM_3B))+4*(SUMPRODUCT(COUNTIFS(pbp_PlayType,EM_Type,pbp_BatTeam,$E$5,pbp_HitType,"GROUND*")*EM_HR)))/(SUMPRODUCT(COUNTIFS(pbp_PlayType,EM_Type,pbp_BatTeam,$E$5,pbp_HitType,"GROUND*")*EM_AB)))</f>
        <v>1</v>
      </c>
    </row>
    <row r="13" spans="2:9" x14ac:dyDescent="0.2">
      <c r="B13" s="40" t="s">
        <v>417</v>
      </c>
      <c r="C13" s="42">
        <f>SUMPRODUCT(COUNTIFS(pbp_PlayType,EM_Type,pbp_BatTeam,$E$5,pbp_HitType,"POP*")*EM_PA)</f>
        <v>2</v>
      </c>
      <c r="D13" s="59">
        <f>IF(SUM($C$10:$C$13)=0,"",C13/SUM($C$10:$C$13))</f>
        <v>4.7619047619047616E-2</v>
      </c>
      <c r="E13" s="42">
        <f>SUMPRODUCT(COUNTIFS(pbp_PlayType,EM_Type,pbp_BatTeam,$E$5,pbp_HitType,"POP*")*EM_H)</f>
        <v>0</v>
      </c>
      <c r="F13" s="42">
        <f>SUMPRODUCT(COUNTIFS(pbp_PlayType,EM_Type,pbp_BatTeam,$E$5,pbp_HitType,"POP*")*EM_2B)+SUMPRODUCT(COUNTIFS(pbp_PlayType,EM_Type,pbp_BatTeam,$E$5,pbp_HitType,"POP*")*EM_3B)+SUMPRODUCT(COUNTIFS(pbp_PlayType,EM_Type,pbp_BatTeam,$E$5,pbp_HitType,"POP*")*EM_HR)</f>
        <v>0</v>
      </c>
      <c r="G13" s="42">
        <f>SUMPRODUCT(COUNTIFS(pbp_PlayType,EM_Type,pbp_BatTeam,$E$5,pbp_HitType,"POP*")*EM_HR)</f>
        <v>0</v>
      </c>
      <c r="H13" s="58">
        <f>IF((SUMPRODUCT(COUNTIFS(pbp_PlayType,EM_Type,pbp_BatTeam,$E$5,pbp_HitType,"POP*")*EM_AB))=0,"",E13/(SUMPRODUCT(COUNTIFS(pbp_PlayType,EM_Type,pbp_BatTeam,$E$5,pbp_HitType,"POP*")*EM_AB)))</f>
        <v>0</v>
      </c>
      <c r="I13" s="58">
        <f>IF((SUMPRODUCT(COUNTIFS(pbp_PlayType,EM_Type,pbp_BatTeam,$E$5,pbp_HitType,"POP*")*EM_AB))=0,"",(SUMPRODUCT(COUNTIFS(pbp_PlayType,EM_Type,pbp_BatTeam,$E$5,pbp_HitType,"POP*")*EM_1B)+2*(SUMPRODUCT(COUNTIFS(pbp_PlayType,EM_Type,pbp_BatTeam,$E$5,pbp_HitType,"POP*")*EM_2B))+3*(SUMPRODUCT(COUNTIFS(pbp_PlayType,EM_Type,pbp_BatTeam,$E$5,pbp_HitType,"POP*")*EM_3B))+4*(SUMPRODUCT(COUNTIFS(pbp_PlayType,EM_Type,pbp_BatTeam,$E$5,pbp_HitType,"POP*")*EM_HR)))/(SUMPRODUCT(COUNTIFS(pbp_PlayType,EM_Type,pbp_BatTeam,$E$5,pbp_HitType,"POP*")*EM_AB)))</f>
        <v>0</v>
      </c>
    </row>
    <row r="14" spans="2:9" x14ac:dyDescent="0.2">
      <c r="B14" s="44" t="s">
        <v>418</v>
      </c>
      <c r="C14" s="71">
        <f>SUM(C10:C13)</f>
        <v>42</v>
      </c>
      <c r="E14" s="71">
        <f>SUM(E10:E13)</f>
        <v>25</v>
      </c>
      <c r="F14" s="71">
        <f>SUM(F10:F13)</f>
        <v>8</v>
      </c>
      <c r="G14" s="71">
        <f>SUM(G10:G13)</f>
        <v>4</v>
      </c>
    </row>
    <row r="15" spans="2:9" x14ac:dyDescent="0.2">
      <c r="B15" s="38" t="s">
        <v>419</v>
      </c>
    </row>
    <row r="17" spans="2:12" ht="16" x14ac:dyDescent="0.2">
      <c r="B17" s="39" t="s">
        <v>420</v>
      </c>
    </row>
    <row r="18" spans="2:12" ht="31.5" customHeight="1" x14ac:dyDescent="0.2">
      <c r="B18" s="43" t="s">
        <v>421</v>
      </c>
      <c r="C18" s="43" t="s">
        <v>422</v>
      </c>
      <c r="D18" s="43" t="s">
        <v>24</v>
      </c>
      <c r="E18" s="43" t="s">
        <v>25</v>
      </c>
      <c r="F18" s="43" t="s">
        <v>26</v>
      </c>
      <c r="G18" s="43" t="s">
        <v>27</v>
      </c>
      <c r="H18" s="43" t="s">
        <v>28</v>
      </c>
      <c r="I18" s="43" t="s">
        <v>29</v>
      </c>
      <c r="J18" s="43" t="s">
        <v>30</v>
      </c>
      <c r="K18" s="43" t="s">
        <v>31</v>
      </c>
      <c r="L18" s="43" t="s">
        <v>418</v>
      </c>
    </row>
    <row r="19" spans="2:12" x14ac:dyDescent="0.2">
      <c r="B19" s="40" t="s">
        <v>423</v>
      </c>
      <c r="C19" s="72">
        <f>COUNTIFS(pbp_BatTeam,$E$5,pbp_Desc,"Single to P")+COUNTIFS(pbp_BatTeam,$E$5,pbp_Desc,"Single to P.*")+COUNTIFS(pbp_BatTeam,$E$5,pbp_Desc,"Single to P *")</f>
        <v>1</v>
      </c>
      <c r="D19" s="72">
        <f>COUNTIFS(pbp_BatTeam,$E$5,pbp_Desc,"Single to C")+COUNTIFS(pbp_BatTeam,$E$5,pbp_Desc,"Single to C.*")+COUNTIFS(pbp_BatTeam,$E$5,pbp_Desc,"Single to C *")</f>
        <v>0</v>
      </c>
      <c r="E19" s="72">
        <f>COUNTIFS(pbp_BatTeam,$E$5,pbp_Desc,"Single to 1B")+COUNTIFS(pbp_BatTeam,$E$5,pbp_Desc,"Single to 1B.*")+COUNTIFS(pbp_BatTeam,$E$5,pbp_Desc,"Single to 1B *")</f>
        <v>0</v>
      </c>
      <c r="F19" s="72">
        <f>COUNTIFS(pbp_BatTeam,$E$5,pbp_Desc,"Single to 2B")+COUNTIFS(pbp_BatTeam,$E$5,pbp_Desc,"Single to 2B.*")+COUNTIFS(pbp_BatTeam,$E$5,pbp_Desc,"Single to 2B *")</f>
        <v>0</v>
      </c>
      <c r="G19" s="72">
        <f>COUNTIFS(pbp_BatTeam,$E$5,pbp_Desc,"Single to 3B")+COUNTIFS(pbp_BatTeam,$E$5,pbp_Desc,"Single to 3B.*")+COUNTIFS(pbp_BatTeam,$E$5,pbp_Desc,"Single to 3B *")</f>
        <v>0</v>
      </c>
      <c r="H19" s="72">
        <f>COUNTIFS(pbp_BatTeam,$E$5,pbp_Desc,"Single to SS")+COUNTIFS(pbp_BatTeam,$E$5,pbp_Desc,"Single to SS.*")+COUNTIFS(pbp_BatTeam,$E$5,pbp_Desc,"Single to SS *")</f>
        <v>0</v>
      </c>
      <c r="I19" s="72">
        <f>COUNTIFS(pbp_BatTeam,$E$5,pbp_Desc,"Single to LF")+COUNTIFS(pbp_BatTeam,$E$5,pbp_Desc,"Single to LF.*")+COUNTIFS(pbp_BatTeam,$E$5,pbp_Desc,"Single to LF *")</f>
        <v>5</v>
      </c>
      <c r="J19" s="72">
        <f>COUNTIFS(pbp_BatTeam,$E$5,pbp_Desc,"Single to CF")+COUNTIFS(pbp_BatTeam,$E$5,pbp_Desc,"Single to CF.*")+COUNTIFS(pbp_BatTeam,$E$5,pbp_Desc,"Single to CF *")</f>
        <v>4</v>
      </c>
      <c r="K19" s="72">
        <f>COUNTIFS(pbp_BatTeam,$E$5,pbp_Desc,"Single to RF")+COUNTIFS(pbp_BatTeam,$E$5,pbp_Desc,"Single to RF.*")+COUNTIFS(pbp_BatTeam,$E$5,pbp_Desc,"Single to RF *")</f>
        <v>7</v>
      </c>
      <c r="L19" s="73">
        <f>SUM(C19:K19)</f>
        <v>17</v>
      </c>
    </row>
    <row r="20" spans="2:12" x14ac:dyDescent="0.2">
      <c r="B20" s="40" t="s">
        <v>424</v>
      </c>
      <c r="C20" s="72">
        <f>COUNTIFS(pbp_BatTeam,$E$5,pbp_Desc,"Double to P")+COUNTIFS(pbp_BatTeam,$E$5,pbp_Desc,"Double to P.*")+COUNTIFS(pbp_BatTeam,$E$5,pbp_Desc,"Double to P *")</f>
        <v>0</v>
      </c>
      <c r="D20" s="72">
        <f>COUNTIFS(pbp_BatTeam,$E$5,pbp_Desc,"Double to C")+COUNTIFS(pbp_BatTeam,$E$5,pbp_Desc,"Double to C.*")+COUNTIFS(pbp_BatTeam,$E$5,pbp_Desc,"Double to C *")</f>
        <v>0</v>
      </c>
      <c r="E20" s="72">
        <f>COUNTIFS(pbp_BatTeam,$E$5,pbp_Desc,"Double to 1B")+COUNTIFS(pbp_BatTeam,$E$5,pbp_Desc,"Double to 1B.*")+COUNTIFS(pbp_BatTeam,$E$5,pbp_Desc,"Double to 1B *")</f>
        <v>0</v>
      </c>
      <c r="F20" s="72">
        <f>COUNTIFS(pbp_BatTeam,$E$5,pbp_Desc,"Double to 2B")+COUNTIFS(pbp_BatTeam,$E$5,pbp_Desc,"Double to 2B.*")+COUNTIFS(pbp_BatTeam,$E$5,pbp_Desc,"Double to 2B *")</f>
        <v>0</v>
      </c>
      <c r="G20" s="72">
        <f>COUNTIFS(pbp_BatTeam,$E$5,pbp_Desc,"Double to 3B")+COUNTIFS(pbp_BatTeam,$E$5,pbp_Desc,"Double to 3B.*")+COUNTIFS(pbp_BatTeam,$E$5,pbp_Desc,"Double to 3B *")</f>
        <v>0</v>
      </c>
      <c r="H20" s="72">
        <f>COUNTIFS(pbp_BatTeam,$E$5,pbp_Desc,"Double to SS")+COUNTIFS(pbp_BatTeam,$E$5,pbp_Desc,"Double to SS.*")+COUNTIFS(pbp_BatTeam,$E$5,pbp_Desc,"Double to SS *")</f>
        <v>0</v>
      </c>
      <c r="I20" s="72">
        <f>COUNTIFS(pbp_BatTeam,$E$5,pbp_Desc,"Double to LF")+COUNTIFS(pbp_BatTeam,$E$5,pbp_Desc,"Double to LF.*")+COUNTIFS(pbp_BatTeam,$E$5,pbp_Desc,"Double to LF *")</f>
        <v>2</v>
      </c>
      <c r="J20" s="72">
        <f>COUNTIFS(pbp_BatTeam,$E$5,pbp_Desc,"Double to CF")+COUNTIFS(pbp_BatTeam,$E$5,pbp_Desc,"Double to CF.*")+COUNTIFS(pbp_BatTeam,$E$5,pbp_Desc,"Double to CF *")</f>
        <v>1</v>
      </c>
      <c r="K20" s="72">
        <f>COUNTIFS(pbp_BatTeam,$E$5,pbp_Desc,"Double to RF")+COUNTIFS(pbp_BatTeam,$E$5,pbp_Desc,"Double to RF.*")+COUNTIFS(pbp_BatTeam,$E$5,pbp_Desc,"Double to RF *")</f>
        <v>1</v>
      </c>
      <c r="L20" s="73">
        <f>SUM(C20:K20)</f>
        <v>4</v>
      </c>
    </row>
    <row r="21" spans="2:12" x14ac:dyDescent="0.2">
      <c r="B21" s="40" t="s">
        <v>425</v>
      </c>
      <c r="C21" s="72">
        <f>COUNTIFS(pbp_BatTeam,$E$5,pbp_Desc,"Triple to P")+COUNTIFS(pbp_BatTeam,$E$5,pbp_Desc,"Triple to P.*")+COUNTIFS(pbp_BatTeam,$E$5,pbp_Desc,"Triple to P *")</f>
        <v>0</v>
      </c>
      <c r="D21" s="72">
        <f>COUNTIFS(pbp_BatTeam,$E$5,pbp_Desc,"Triple to C")+COUNTIFS(pbp_BatTeam,$E$5,pbp_Desc,"Triple to C.*")+COUNTIFS(pbp_BatTeam,$E$5,pbp_Desc,"Triple to C *")</f>
        <v>0</v>
      </c>
      <c r="E21" s="72">
        <f>COUNTIFS(pbp_BatTeam,$E$5,pbp_Desc,"Triple to 1B")+COUNTIFS(pbp_BatTeam,$E$5,pbp_Desc,"Triple to 1B.*")+COUNTIFS(pbp_BatTeam,$E$5,pbp_Desc,"Triple to 1B *")</f>
        <v>0</v>
      </c>
      <c r="F21" s="72">
        <f>COUNTIFS(pbp_BatTeam,$E$5,pbp_Desc,"Triple to 2B")+COUNTIFS(pbp_BatTeam,$E$5,pbp_Desc,"Triple to 2B.*")+COUNTIFS(pbp_BatTeam,$E$5,pbp_Desc,"Triple to 2B *")</f>
        <v>0</v>
      </c>
      <c r="G21" s="72">
        <f>COUNTIFS(pbp_BatTeam,$E$5,pbp_Desc,"Triple to 3B")+COUNTIFS(pbp_BatTeam,$E$5,pbp_Desc,"Triple to 3B.*")+COUNTIFS(pbp_BatTeam,$E$5,pbp_Desc,"Triple to 3B *")</f>
        <v>0</v>
      </c>
      <c r="H21" s="72">
        <f>COUNTIFS(pbp_BatTeam,$E$5,pbp_Desc,"Triple to SS")+COUNTIFS(pbp_BatTeam,$E$5,pbp_Desc,"Triple to SS.*")+COUNTIFS(pbp_BatTeam,$E$5,pbp_Desc,"Triple to SS *")</f>
        <v>0</v>
      </c>
      <c r="I21" s="72">
        <f>COUNTIFS(pbp_BatTeam,$E$5,pbp_Desc,"Triple to LF")+COUNTIFS(pbp_BatTeam,$E$5,pbp_Desc,"Triple to LF.*")+COUNTIFS(pbp_BatTeam,$E$5,pbp_Desc,"Triple to LF *")</f>
        <v>0</v>
      </c>
      <c r="J21" s="72">
        <f>COUNTIFS(pbp_BatTeam,$E$5,pbp_Desc,"Triple to CF")+COUNTIFS(pbp_BatTeam,$E$5,pbp_Desc,"Triple to CF.*")+COUNTIFS(pbp_BatTeam,$E$5,pbp_Desc,"Triple to CF *")</f>
        <v>0</v>
      </c>
      <c r="K21" s="72">
        <f>COUNTIFS(pbp_BatTeam,$E$5,pbp_Desc,"Triple to RF")+COUNTIFS(pbp_BatTeam,$E$5,pbp_Desc,"Triple to RF.*")+COUNTIFS(pbp_BatTeam,$E$5,pbp_Desc,"Triple to RF *")</f>
        <v>0</v>
      </c>
      <c r="L21" s="73">
        <f>SUM(C21:K21)</f>
        <v>0</v>
      </c>
    </row>
    <row r="22" spans="2:12" x14ac:dyDescent="0.2">
      <c r="B22" s="44" t="s">
        <v>426</v>
      </c>
      <c r="C22" s="74">
        <f t="shared" ref="C22:L22" si="0">SUM(C19:C21)</f>
        <v>1</v>
      </c>
      <c r="D22" s="74">
        <f t="shared" si="0"/>
        <v>0</v>
      </c>
      <c r="E22" s="74">
        <f t="shared" si="0"/>
        <v>0</v>
      </c>
      <c r="F22" s="74">
        <f t="shared" si="0"/>
        <v>0</v>
      </c>
      <c r="G22" s="74">
        <f t="shared" si="0"/>
        <v>0</v>
      </c>
      <c r="H22" s="74">
        <f t="shared" si="0"/>
        <v>0</v>
      </c>
      <c r="I22" s="74">
        <f t="shared" si="0"/>
        <v>7</v>
      </c>
      <c r="J22" s="74">
        <f t="shared" si="0"/>
        <v>5</v>
      </c>
      <c r="K22" s="74">
        <f t="shared" si="0"/>
        <v>8</v>
      </c>
      <c r="L22" s="74">
        <f t="shared" si="0"/>
        <v>21</v>
      </c>
    </row>
    <row r="23" spans="2:12" x14ac:dyDescent="0.2">
      <c r="B23" s="40" t="s">
        <v>427</v>
      </c>
      <c r="C23" s="75">
        <f t="shared" ref="C23:L23" si="1">IF($L$22=0,"",C22/$L$22)</f>
        <v>4.7619047619047616E-2</v>
      </c>
      <c r="D23" s="75">
        <f t="shared" si="1"/>
        <v>0</v>
      </c>
      <c r="E23" s="75">
        <f t="shared" si="1"/>
        <v>0</v>
      </c>
      <c r="F23" s="75">
        <f t="shared" si="1"/>
        <v>0</v>
      </c>
      <c r="G23" s="75">
        <f t="shared" si="1"/>
        <v>0</v>
      </c>
      <c r="H23" s="75">
        <f t="shared" si="1"/>
        <v>0</v>
      </c>
      <c r="I23" s="75">
        <f t="shared" si="1"/>
        <v>0.33333333333333331</v>
      </c>
      <c r="J23" s="75">
        <f t="shared" si="1"/>
        <v>0.23809523809523808</v>
      </c>
      <c r="K23" s="75">
        <f t="shared" si="1"/>
        <v>0.38095238095238093</v>
      </c>
      <c r="L23" s="75">
        <f t="shared" si="1"/>
        <v>1</v>
      </c>
    </row>
    <row r="26" spans="2:12" ht="16" x14ac:dyDescent="0.2">
      <c r="B26" s="39" t="s">
        <v>428</v>
      </c>
    </row>
    <row r="27" spans="2:12" ht="31.5" customHeight="1" x14ac:dyDescent="0.2">
      <c r="B27" s="43" t="s">
        <v>429</v>
      </c>
      <c r="C27" s="43" t="s">
        <v>422</v>
      </c>
      <c r="D27" s="43" t="s">
        <v>24</v>
      </c>
      <c r="E27" s="43" t="s">
        <v>25</v>
      </c>
      <c r="F27" s="43" t="s">
        <v>26</v>
      </c>
      <c r="G27" s="43" t="s">
        <v>27</v>
      </c>
      <c r="H27" s="43" t="s">
        <v>28</v>
      </c>
      <c r="I27" s="43" t="s">
        <v>29</v>
      </c>
      <c r="J27" s="43" t="s">
        <v>30</v>
      </c>
      <c r="K27" s="43" t="s">
        <v>31</v>
      </c>
      <c r="L27" s="43" t="s">
        <v>418</v>
      </c>
    </row>
    <row r="28" spans="2:12" x14ac:dyDescent="0.2">
      <c r="B28" s="40" t="s">
        <v>430</v>
      </c>
      <c r="C28" s="72">
        <f>COUNTIFS(pbp_PitTeam,$E$6,pbp_Desc,"*flied out to P")+COUNTIFS(pbp_PitTeam,$E$6,pbp_Desc,"*flied out to P.*")+COUNTIFS(pbp_PitTeam,$E$6,pbp_Desc,"*flied out to P *")+COUNTIFS(pbp_PitTeam,$E$6,pbp_Desc,"*flied out to  P")+COUNTIFS(pbp_PitTeam,$E$6,pbp_Desc,"*flied out to  P.*")+COUNTIFS(pbp_PitTeam,$E$6,pbp_Desc,"*flied out to  P *")</f>
        <v>0</v>
      </c>
      <c r="D28" s="72">
        <f>COUNTIFS(pbp_PitTeam,$E$6,pbp_Desc,"*flied out to C")+COUNTIFS(pbp_PitTeam,$E$6,pbp_Desc,"*flied out to C.*")+COUNTIFS(pbp_PitTeam,$E$6,pbp_Desc,"*flied out to C *")+COUNTIFS(pbp_PitTeam,$E$6,pbp_Desc,"*flied out to  C")+COUNTIFS(pbp_PitTeam,$E$6,pbp_Desc,"*flied out to  C.*")+COUNTIFS(pbp_PitTeam,$E$6,pbp_Desc,"*flied out to  C *")</f>
        <v>0</v>
      </c>
      <c r="E28" s="72">
        <f>COUNTIFS(pbp_PitTeam,$E$6,pbp_Desc,"*flied out to 1B")+COUNTIFS(pbp_PitTeam,$E$6,pbp_Desc,"*flied out to 1B.*")+COUNTIFS(pbp_PitTeam,$E$6,pbp_Desc,"*flied out to 1B *")+COUNTIFS(pbp_PitTeam,$E$6,pbp_Desc,"*flied out to  1B")+COUNTIFS(pbp_PitTeam,$E$6,pbp_Desc,"*flied out to  1B.*")+COUNTIFS(pbp_PitTeam,$E$6,pbp_Desc,"*flied out to  1B *")</f>
        <v>0</v>
      </c>
      <c r="F28" s="72">
        <f>COUNTIFS(pbp_PitTeam,$E$6,pbp_Desc,"*flied out to 2B")+COUNTIFS(pbp_PitTeam,$E$6,pbp_Desc,"*flied out to 2B.*")+COUNTIFS(pbp_PitTeam,$E$6,pbp_Desc,"*flied out to 2B *")+COUNTIFS(pbp_PitTeam,$E$6,pbp_Desc,"*flied out to  2B")+COUNTIFS(pbp_PitTeam,$E$6,pbp_Desc,"*flied out to  2B.*")+COUNTIFS(pbp_PitTeam,$E$6,pbp_Desc,"*flied out to  2B *")</f>
        <v>0</v>
      </c>
      <c r="G28" s="72">
        <f>COUNTIFS(pbp_PitTeam,$E$6,pbp_Desc,"*flied out to 3B")+COUNTIFS(pbp_PitTeam,$E$6,pbp_Desc,"*flied out to 3B.*")+COUNTIFS(pbp_PitTeam,$E$6,pbp_Desc,"*flied out to 3B *")+COUNTIFS(pbp_PitTeam,$E$6,pbp_Desc,"*flied out to  3B")+COUNTIFS(pbp_PitTeam,$E$6,pbp_Desc,"*flied out to  3B.*")+COUNTIFS(pbp_PitTeam,$E$6,pbp_Desc,"*flied out to  3B *")</f>
        <v>0</v>
      </c>
      <c r="H28" s="72">
        <f>COUNTIFS(pbp_PitTeam,$E$6,pbp_Desc,"*flied out to SS")+COUNTIFS(pbp_PitTeam,$E$6,pbp_Desc,"*flied out to SS.*")+COUNTIFS(pbp_PitTeam,$E$6,pbp_Desc,"*flied out to SS *")+COUNTIFS(pbp_PitTeam,$E$6,pbp_Desc,"*flied out to  SS")+COUNTIFS(pbp_PitTeam,$E$6,pbp_Desc,"*flied out to  SS.*")+COUNTIFS(pbp_PitTeam,$E$6,pbp_Desc,"*flied out to  SS *")</f>
        <v>0</v>
      </c>
      <c r="I28" s="72">
        <f>COUNTIFS(pbp_PitTeam,$E$6,pbp_Desc,"*flied out to LF")+COUNTIFS(pbp_PitTeam,$E$6,pbp_Desc,"*flied out to LF.*")+COUNTIFS(pbp_PitTeam,$E$6,pbp_Desc,"*flied out to LF *")+COUNTIFS(pbp_PitTeam,$E$6,pbp_Desc,"*flied out to  LF")+COUNTIFS(pbp_PitTeam,$E$6,pbp_Desc,"*flied out to  LF.*")+COUNTIFS(pbp_PitTeam,$E$6,pbp_Desc,"*flied out to  LF *")</f>
        <v>2</v>
      </c>
      <c r="J28" s="72">
        <f>COUNTIFS(pbp_PitTeam,$E$6,pbp_Desc,"*flied out to CF")+COUNTIFS(pbp_PitTeam,$E$6,pbp_Desc,"*flied out to CF.*")+COUNTIFS(pbp_PitTeam,$E$6,pbp_Desc,"*flied out to CF *")+COUNTIFS(pbp_PitTeam,$E$6,pbp_Desc,"*flied out to  CF")+COUNTIFS(pbp_PitTeam,$E$6,pbp_Desc,"*flied out to  CF.*")+COUNTIFS(pbp_PitTeam,$E$6,pbp_Desc,"*flied out to  CF *")</f>
        <v>8</v>
      </c>
      <c r="K28" s="72">
        <f>COUNTIFS(pbp_PitTeam,$E$6,pbp_Desc,"*flied out to RF")+COUNTIFS(pbp_PitTeam,$E$6,pbp_Desc,"*flied out to RF.*")+COUNTIFS(pbp_PitTeam,$E$6,pbp_Desc,"*flied out to RF *")+COUNTIFS(pbp_PitTeam,$E$6,pbp_Desc,"*flied out to  RF")+COUNTIFS(pbp_PitTeam,$E$6,pbp_Desc,"*flied out to  RF.*")+COUNTIFS(pbp_PitTeam,$E$6,pbp_Desc,"*flied out to  RF *")</f>
        <v>5</v>
      </c>
      <c r="L28" s="73">
        <f>SUM(C28:K28)</f>
        <v>15</v>
      </c>
    </row>
    <row r="29" spans="2:12" x14ac:dyDescent="0.2">
      <c r="B29" s="40" t="s">
        <v>431</v>
      </c>
      <c r="C29" s="72">
        <f>COUNTIFS(pbp_PitTeam,$E$6,pbp_Desc,"*lined out to P")+COUNTIFS(pbp_PitTeam,$E$6,pbp_Desc,"*lined out to P.*")+COUNTIFS(pbp_PitTeam,$E$6,pbp_Desc,"*lined out to P *")+COUNTIFS(pbp_PitTeam,$E$6,pbp_Desc,"*lined out to  P")+COUNTIFS(pbp_PitTeam,$E$6,pbp_Desc,"*lined out to  P.*")+COUNTIFS(pbp_PitTeam,$E$6,pbp_Desc,"*lined out to  P *")</f>
        <v>0</v>
      </c>
      <c r="D29" s="72">
        <f>COUNTIFS(pbp_PitTeam,$E$6,pbp_Desc,"*lined out to C")+COUNTIFS(pbp_PitTeam,$E$6,pbp_Desc,"*lined out to C.*")+COUNTIFS(pbp_PitTeam,$E$6,pbp_Desc,"*lined out to C *")+COUNTIFS(pbp_PitTeam,$E$6,pbp_Desc,"*lined out to  C")+COUNTIFS(pbp_PitTeam,$E$6,pbp_Desc,"*lined out to  C.*")+COUNTIFS(pbp_PitTeam,$E$6,pbp_Desc,"*lined out to  C *")</f>
        <v>0</v>
      </c>
      <c r="E29" s="72">
        <f>COUNTIFS(pbp_PitTeam,$E$6,pbp_Desc,"*lined out to 1B")+COUNTIFS(pbp_PitTeam,$E$6,pbp_Desc,"*lined out to 1B.*")+COUNTIFS(pbp_PitTeam,$E$6,pbp_Desc,"*lined out to 1B *")+COUNTIFS(pbp_PitTeam,$E$6,pbp_Desc,"*lined out to  1B")+COUNTIFS(pbp_PitTeam,$E$6,pbp_Desc,"*lined out to  1B.*")+COUNTIFS(pbp_PitTeam,$E$6,pbp_Desc,"*lined out to  1B *")</f>
        <v>0</v>
      </c>
      <c r="F29" s="72">
        <f>COUNTIFS(pbp_PitTeam,$E$6,pbp_Desc,"*lined out to 2B")+COUNTIFS(pbp_PitTeam,$E$6,pbp_Desc,"*lined out to 2B.*")+COUNTIFS(pbp_PitTeam,$E$6,pbp_Desc,"*lined out to 2B *")+COUNTIFS(pbp_PitTeam,$E$6,pbp_Desc,"*lined out to  2B")+COUNTIFS(pbp_PitTeam,$E$6,pbp_Desc,"*lined out to  2B.*")+COUNTIFS(pbp_PitTeam,$E$6,pbp_Desc,"*lined out to  2B *")</f>
        <v>0</v>
      </c>
      <c r="G29" s="72">
        <f>COUNTIFS(pbp_PitTeam,$E$6,pbp_Desc,"*lined out to 3B")+COUNTIFS(pbp_PitTeam,$E$6,pbp_Desc,"*lined out to 3B.*")+COUNTIFS(pbp_PitTeam,$E$6,pbp_Desc,"*lined out to 3B *")+COUNTIFS(pbp_PitTeam,$E$6,pbp_Desc,"*lined out to  3B")+COUNTIFS(pbp_PitTeam,$E$6,pbp_Desc,"*lined out to  3B.*")+COUNTIFS(pbp_PitTeam,$E$6,pbp_Desc,"*lined out to  3B *")</f>
        <v>2</v>
      </c>
      <c r="H29" s="72">
        <f>COUNTIFS(pbp_PitTeam,$E$6,pbp_Desc,"*lined out to SS")+COUNTIFS(pbp_PitTeam,$E$6,pbp_Desc,"*lined out to SS.*")+COUNTIFS(pbp_PitTeam,$E$6,pbp_Desc,"*lined out to SS *")+COUNTIFS(pbp_PitTeam,$E$6,pbp_Desc,"*lined out to  SS")+COUNTIFS(pbp_PitTeam,$E$6,pbp_Desc,"*lined out to  SS.*")+COUNTIFS(pbp_PitTeam,$E$6,pbp_Desc,"*lined out to  SS *")</f>
        <v>0</v>
      </c>
      <c r="I29" s="72">
        <f>COUNTIFS(pbp_PitTeam,$E$6,pbp_Desc,"*lined out to LF")+COUNTIFS(pbp_PitTeam,$E$6,pbp_Desc,"*lined out to LF.*")+COUNTIFS(pbp_PitTeam,$E$6,pbp_Desc,"*lined out to LF *")+COUNTIFS(pbp_PitTeam,$E$6,pbp_Desc,"*lined out to  LF")+COUNTIFS(pbp_PitTeam,$E$6,pbp_Desc,"*lined out to  LF.*")+COUNTIFS(pbp_PitTeam,$E$6,pbp_Desc,"*lined out to  LF *")</f>
        <v>1</v>
      </c>
      <c r="J29" s="72">
        <f>COUNTIFS(pbp_PitTeam,$E$6,pbp_Desc,"*lined out to CF")+COUNTIFS(pbp_PitTeam,$E$6,pbp_Desc,"*lined out to CF.*")+COUNTIFS(pbp_PitTeam,$E$6,pbp_Desc,"*lined out to CF *")+COUNTIFS(pbp_PitTeam,$E$6,pbp_Desc,"*lined out to  CF")+COUNTIFS(pbp_PitTeam,$E$6,pbp_Desc,"*lined out to  CF.*")+COUNTIFS(pbp_PitTeam,$E$6,pbp_Desc,"*lined out to  CF *")</f>
        <v>4</v>
      </c>
      <c r="K29" s="72">
        <f>COUNTIFS(pbp_PitTeam,$E$6,pbp_Desc,"*lined out to RF")+COUNTIFS(pbp_PitTeam,$E$6,pbp_Desc,"*lined out to RF.*")+COUNTIFS(pbp_PitTeam,$E$6,pbp_Desc,"*lined out to RF *")+COUNTIFS(pbp_PitTeam,$E$6,pbp_Desc,"*lined out to  RF")+COUNTIFS(pbp_PitTeam,$E$6,pbp_Desc,"*lined out to  RF.*")+COUNTIFS(pbp_PitTeam,$E$6,pbp_Desc,"*lined out to  RF *")</f>
        <v>0</v>
      </c>
      <c r="L29" s="73">
        <f>SUM(C29:K29)</f>
        <v>7</v>
      </c>
    </row>
    <row r="30" spans="2:12" x14ac:dyDescent="0.2">
      <c r="B30" s="40" t="s">
        <v>432</v>
      </c>
      <c r="C30" s="72">
        <f>COUNTIFS(pbp_PitTeam,$E$6,pbp_PlayType,"*POP OUT",pbp_Desc,"* out to P")+COUNTIFS(pbp_PitTeam,$E$6,pbp_PlayType,"*POP OUT",pbp_Desc,"* out to P.*")+COUNTIFS(pbp_PitTeam,$E$6,pbp_PlayType,"*POP OUT",pbp_Desc,"* out to P *")+COUNTIFS(pbp_PitTeam,$E$6,pbp_PlayType,"*POP OUT",pbp_Desc,"* out to  P")+COUNTIFS(pbp_PitTeam,$E$6,pbp_PlayType,"*POP OUT",pbp_Desc,"* out to  P.*")+COUNTIFS(pbp_PitTeam,$E$6,pbp_PlayType,"*POP OUT",pbp_Desc,"* out to  P *")</f>
        <v>0</v>
      </c>
      <c r="D30" s="72">
        <f>COUNTIFS(pbp_PitTeam,$E$6,pbp_PlayType,"*POP OUT",pbp_Desc,"* out to C")+COUNTIFS(pbp_PitTeam,$E$6,pbp_PlayType,"*POP OUT",pbp_Desc,"* out to C.*")+COUNTIFS(pbp_PitTeam,$E$6,pbp_PlayType,"*POP OUT",pbp_Desc,"* out to C *")+COUNTIFS(pbp_PitTeam,$E$6,pbp_PlayType,"*POP OUT",pbp_Desc,"* out to  C")+COUNTIFS(pbp_PitTeam,$E$6,pbp_PlayType,"*POP OUT",pbp_Desc,"* out to  C.*")+COUNTIFS(pbp_PitTeam,$E$6,pbp_PlayType,"*POP OUT",pbp_Desc,"* out to  C *")</f>
        <v>0</v>
      </c>
      <c r="E30" s="72">
        <f>COUNTIFS(pbp_PitTeam,$E$6,pbp_PlayType,"*POP OUT",pbp_Desc,"* out to 1B")+COUNTIFS(pbp_PitTeam,$E$6,pbp_PlayType,"*POP OUT",pbp_Desc,"* out to 1B.*")+COUNTIFS(pbp_PitTeam,$E$6,pbp_PlayType,"*POP OUT",pbp_Desc,"* out to 1B *")+COUNTIFS(pbp_PitTeam,$E$6,pbp_PlayType,"*POP OUT",pbp_Desc,"* out to  1B")+COUNTIFS(pbp_PitTeam,$E$6,pbp_PlayType,"*POP OUT",pbp_Desc,"* out to  1B.*")+COUNTIFS(pbp_PitTeam,$E$6,pbp_PlayType,"*POP OUT",pbp_Desc,"* out to  1B *")</f>
        <v>2</v>
      </c>
      <c r="F30" s="72">
        <f>COUNTIFS(pbp_PitTeam,$E$6,pbp_PlayType,"*POP OUT",pbp_Desc,"* out to 2B")+COUNTIFS(pbp_PitTeam,$E$6,pbp_PlayType,"*POP OUT",pbp_Desc,"* out to 2B.*")+COUNTIFS(pbp_PitTeam,$E$6,pbp_PlayType,"*POP OUT",pbp_Desc,"* out to 2B *")+COUNTIFS(pbp_PitTeam,$E$6,pbp_PlayType,"*POP OUT",pbp_Desc,"* out to  2B")+COUNTIFS(pbp_PitTeam,$E$6,pbp_PlayType,"*POP OUT",pbp_Desc,"* out to  2B.*")+COUNTIFS(pbp_PitTeam,$E$6,pbp_PlayType,"*POP OUT",pbp_Desc,"* out to  2B *")</f>
        <v>0</v>
      </c>
      <c r="G30" s="72">
        <f>COUNTIFS(pbp_PitTeam,$E$6,pbp_PlayType,"*POP OUT",pbp_Desc,"* out to 3B")+COUNTIFS(pbp_PitTeam,$E$6,pbp_PlayType,"*POP OUT",pbp_Desc,"* out to 3B.*")+COUNTIFS(pbp_PitTeam,$E$6,pbp_PlayType,"*POP OUT",pbp_Desc,"* out to 3B *")+COUNTIFS(pbp_PitTeam,$E$6,pbp_PlayType,"*POP OUT",pbp_Desc,"* out to  3B")+COUNTIFS(pbp_PitTeam,$E$6,pbp_PlayType,"*POP OUT",pbp_Desc,"* out to  3B.*")+COUNTIFS(pbp_PitTeam,$E$6,pbp_PlayType,"*POP OUT",pbp_Desc,"* out to  3B *")</f>
        <v>0</v>
      </c>
      <c r="H30" s="72">
        <f>COUNTIFS(pbp_PitTeam,$E$6,pbp_PlayType,"*POP OUT",pbp_Desc,"* out to SS")+COUNTIFS(pbp_PitTeam,$E$6,pbp_PlayType,"*POP OUT",pbp_Desc,"* out to SS.*")+COUNTIFS(pbp_PitTeam,$E$6,pbp_PlayType,"*POP OUT",pbp_Desc,"* out to SS *")+COUNTIFS(pbp_PitTeam,$E$6,pbp_PlayType,"*POP OUT",pbp_Desc,"* out to  SS")+COUNTIFS(pbp_PitTeam,$E$6,pbp_PlayType,"*POP OUT",pbp_Desc,"* out to  SS.*")+COUNTIFS(pbp_PitTeam,$E$6,pbp_PlayType,"*POP OUT",pbp_Desc,"* out to  SS *")</f>
        <v>0</v>
      </c>
      <c r="I30" s="72">
        <f>COUNTIFS(pbp_PitTeam,$E$6,pbp_PlayType,"*POP OUT",pbp_Desc,"* out to LF")+COUNTIFS(pbp_PitTeam,$E$6,pbp_PlayType,"*POP OUT",pbp_Desc,"* out to LF.*")+COUNTIFS(pbp_PitTeam,$E$6,pbp_PlayType,"*POP OUT",pbp_Desc,"* out to LF *")+COUNTIFS(pbp_PitTeam,$E$6,pbp_PlayType,"*POP OUT",pbp_Desc,"* out to  LF")+COUNTIFS(pbp_PitTeam,$E$6,pbp_PlayType,"*POP OUT",pbp_Desc,"* out to  LF.*")+COUNTIFS(pbp_PitTeam,$E$6,pbp_PlayType,"*POP OUT",pbp_Desc,"* out to  LF *")</f>
        <v>0</v>
      </c>
      <c r="J30" s="72">
        <f>COUNTIFS(pbp_PitTeam,$E$6,pbp_PlayType,"*POP OUT",pbp_Desc,"* out to CF")+COUNTIFS(pbp_PitTeam,$E$6,pbp_PlayType,"*POP OUT",pbp_Desc,"* out to CF.*")+COUNTIFS(pbp_PitTeam,$E$6,pbp_PlayType,"*POP OUT",pbp_Desc,"* out to CF *")+COUNTIFS(pbp_PitTeam,$E$6,pbp_PlayType,"*POP OUT",pbp_Desc,"* out to  CF")+COUNTIFS(pbp_PitTeam,$E$6,pbp_PlayType,"*POP OUT",pbp_Desc,"* out to  CF.*")+COUNTIFS(pbp_PitTeam,$E$6,pbp_PlayType,"*POP OUT",pbp_Desc,"* out to  CF *")</f>
        <v>0</v>
      </c>
      <c r="K30" s="72">
        <f>COUNTIFS(pbp_PitTeam,$E$6,pbp_PlayType,"*POP OUT",pbp_Desc,"* out to RF")+COUNTIFS(pbp_PitTeam,$E$6,pbp_PlayType,"*POP OUT",pbp_Desc,"* out to RF.*")+COUNTIFS(pbp_PitTeam,$E$6,pbp_PlayType,"*POP OUT",pbp_Desc,"* out to RF *")+COUNTIFS(pbp_PitTeam,$E$6,pbp_PlayType,"*POP OUT",pbp_Desc,"* out to  RF")+COUNTIFS(pbp_PitTeam,$E$6,pbp_PlayType,"*POP OUT",pbp_Desc,"* out to  RF.*")+COUNTIFS(pbp_PitTeam,$E$6,pbp_PlayType,"*POP OUT",pbp_Desc,"* out to  RF *")</f>
        <v>0</v>
      </c>
      <c r="L30" s="73">
        <f>SUM(C30:K30)</f>
        <v>2</v>
      </c>
    </row>
    <row r="31" spans="2:12" x14ac:dyDescent="0.2">
      <c r="B31" s="40" t="s">
        <v>433</v>
      </c>
      <c r="C31" s="72">
        <f>COUNTIFS(pbp_PitTeam,$E$6,pbp_Desc,"*grounded out, P-*")+COUNTIFS(pbp_PitTeam,$E$6,pbp_Desc,"*grounded out, P unassisted*")+COUNTIFS(pbp_PitTeam,$E$6,pbp_Desc,"*force out, P-*")+COUNTIFS(pbp_PitTeam,$E$6,pbp_Desc,"*double play, P-*")</f>
        <v>4</v>
      </c>
      <c r="D31" s="72">
        <f>COUNTIFS(pbp_PitTeam,$E$6,pbp_Desc,"*grounded out, C-*")+COUNTIFS(pbp_PitTeam,$E$6,pbp_Desc,"*grounded out, C unassisted*")+COUNTIFS(pbp_PitTeam,$E$6,pbp_Desc,"*force out, C-*")+COUNTIFS(pbp_PitTeam,$E$6,pbp_Desc,"*double play, C-*")</f>
        <v>0</v>
      </c>
      <c r="E31" s="72">
        <f>COUNTIFS(pbp_PitTeam,$E$6,pbp_Desc,"*grounded out, 1B-*")+COUNTIFS(pbp_PitTeam,$E$6,pbp_Desc,"*grounded out, 1B unassisted*")+COUNTIFS(pbp_PitTeam,$E$6,pbp_Desc,"*force out, 1B-*")+COUNTIFS(pbp_PitTeam,$E$6,pbp_Desc,"*double play, 1B-*")</f>
        <v>4</v>
      </c>
      <c r="F31" s="72">
        <f>COUNTIFS(pbp_PitTeam,$E$6,pbp_Desc,"*grounded out, 2B-*")+COUNTIFS(pbp_PitTeam,$E$6,pbp_Desc,"*grounded out, 2B unassisted*")+COUNTIFS(pbp_PitTeam,$E$6,pbp_Desc,"*force out, 2B-*")+COUNTIFS(pbp_PitTeam,$E$6,pbp_Desc,"*double play, 2B-*")</f>
        <v>6</v>
      </c>
      <c r="G31" s="72">
        <f>COUNTIFS(pbp_PitTeam,$E$6,pbp_Desc,"*grounded out, 3B-*")+COUNTIFS(pbp_PitTeam,$E$6,pbp_Desc,"*grounded out, 3B unassisted*")+COUNTIFS(pbp_PitTeam,$E$6,pbp_Desc,"*force out, 3B-*")+COUNTIFS(pbp_PitTeam,$E$6,pbp_Desc,"*double play, 3B-*")</f>
        <v>2</v>
      </c>
      <c r="H31" s="72">
        <f>COUNTIFS(pbp_PitTeam,$E$6,pbp_Desc,"*grounded out, SS-*")+COUNTIFS(pbp_PitTeam,$E$6,pbp_Desc,"*grounded out, SS unassisted*")+COUNTIFS(pbp_PitTeam,$E$6,pbp_Desc,"*force out, SS-*")+COUNTIFS(pbp_PitTeam,$E$6,pbp_Desc,"*double play, SS-*")</f>
        <v>6</v>
      </c>
      <c r="I31" s="72">
        <f>COUNTIFS(pbp_PitTeam,$E$6,pbp_Desc,"*grounded out, LF-*")+COUNTIFS(pbp_PitTeam,$E$6,pbp_Desc,"*grounded out, LF unassisted*")+COUNTIFS(pbp_PitTeam,$E$6,pbp_Desc,"*force out, LF-*")+COUNTIFS(pbp_PitTeam,$E$6,pbp_Desc,"*double play, LF-*")</f>
        <v>0</v>
      </c>
      <c r="J31" s="72">
        <f>COUNTIFS(pbp_PitTeam,$E$6,pbp_Desc,"*grounded out, CF-*")+COUNTIFS(pbp_PitTeam,$E$6,pbp_Desc,"*grounded out, CF unassisted*")+COUNTIFS(pbp_PitTeam,$E$6,pbp_Desc,"*force out, CF-*")+COUNTIFS(pbp_PitTeam,$E$6,pbp_Desc,"*double play, CF-*")</f>
        <v>0</v>
      </c>
      <c r="K31" s="72">
        <f>COUNTIFS(pbp_PitTeam,$E$6,pbp_Desc,"*grounded out, RF-*")+COUNTIFS(pbp_PitTeam,$E$6,pbp_Desc,"*grounded out, RF unassisted*")+COUNTIFS(pbp_PitTeam,$E$6,pbp_Desc,"*force out, RF-*")+COUNTIFS(pbp_PitTeam,$E$6,pbp_Desc,"*double play, RF-*")</f>
        <v>0</v>
      </c>
      <c r="L31" s="73">
        <f>SUM(C31:K31)</f>
        <v>22</v>
      </c>
    </row>
    <row r="32" spans="2:12" x14ac:dyDescent="0.2">
      <c r="B32" s="44" t="s">
        <v>434</v>
      </c>
      <c r="C32" s="74">
        <f t="shared" ref="C32:L32" si="2">SUM(C28:C31)</f>
        <v>4</v>
      </c>
      <c r="D32" s="74">
        <f t="shared" si="2"/>
        <v>0</v>
      </c>
      <c r="E32" s="74">
        <f t="shared" si="2"/>
        <v>6</v>
      </c>
      <c r="F32" s="74">
        <f t="shared" si="2"/>
        <v>6</v>
      </c>
      <c r="G32" s="74">
        <f t="shared" si="2"/>
        <v>4</v>
      </c>
      <c r="H32" s="74">
        <f t="shared" si="2"/>
        <v>6</v>
      </c>
      <c r="I32" s="74">
        <f t="shared" si="2"/>
        <v>3</v>
      </c>
      <c r="J32" s="74">
        <f t="shared" si="2"/>
        <v>12</v>
      </c>
      <c r="K32" s="74">
        <f t="shared" si="2"/>
        <v>5</v>
      </c>
      <c r="L32" s="74">
        <f t="shared" si="2"/>
        <v>46</v>
      </c>
    </row>
    <row r="33" spans="2:12" x14ac:dyDescent="0.2">
      <c r="B33" t="s">
        <v>435</v>
      </c>
      <c r="C33" s="75">
        <f t="shared" ref="C33:L33" si="3">IF($L$32=0,"",C32/$L$32)</f>
        <v>8.6956521739130432E-2</v>
      </c>
      <c r="D33" s="75">
        <f t="shared" si="3"/>
        <v>0</v>
      </c>
      <c r="E33" s="75">
        <f t="shared" si="3"/>
        <v>0.13043478260869565</v>
      </c>
      <c r="F33" s="75">
        <f t="shared" si="3"/>
        <v>0.13043478260869565</v>
      </c>
      <c r="G33" s="75">
        <f t="shared" si="3"/>
        <v>8.6956521739130432E-2</v>
      </c>
      <c r="H33" s="75">
        <f t="shared" si="3"/>
        <v>0.13043478260869565</v>
      </c>
      <c r="I33" s="75">
        <f t="shared" si="3"/>
        <v>6.5217391304347824E-2</v>
      </c>
      <c r="J33" s="75">
        <f t="shared" si="3"/>
        <v>0.2608695652173913</v>
      </c>
      <c r="K33" s="75">
        <f t="shared" si="3"/>
        <v>0.10869565217391304</v>
      </c>
      <c r="L33" s="75">
        <f t="shared" si="3"/>
        <v>1</v>
      </c>
    </row>
    <row r="34" spans="2:12" x14ac:dyDescent="0.2">
      <c r="B34" s="38" t="s">
        <v>436</v>
      </c>
    </row>
  </sheetData>
  <conditionalFormatting sqref="C19:K21">
    <cfRule type="colorScale" priority="2">
      <colorScale>
        <cfvo type="num" val="0"/>
        <cfvo type="max"/>
        <color rgb="FFFFFFFF"/>
        <color rgb="FF5B9BD5"/>
      </colorScale>
    </cfRule>
  </conditionalFormatting>
  <conditionalFormatting sqref="C28:K31">
    <cfRule type="colorScale" priority="3">
      <colorScale>
        <cfvo type="num" val="0"/>
        <cfvo type="max"/>
        <color rgb="FFFFFFFF"/>
        <color rgb="FFA9D08E"/>
      </colorScale>
    </cfRule>
  </conditionalFormatting>
  <pageMargins left="0.75" right="0.75" top="1" bottom="1" header="0.511811023622047" footer="0.511811023622047"/>
  <pageSetup fitToHeight="0" orientation="landscape" horizontalDpi="300" verticalDpi="300"/>
  <drawing r:id="rId1"/>
  <extLst>
    <ext xmlns:x14="http://schemas.microsoft.com/office/spreadsheetml/2009/9/main" uri="{CCE6A557-97BC-4b89-ADB6-D9C93CAAB3DF}">
      <x14:dataValidations xmlns:xm="http://schemas.microsoft.com/office/excel/2006/main" count="2">
        <x14:dataValidation type="list" allowBlank="1" xr:uid="{00000000-0002-0000-0800-000000000000}">
          <x14:formula1>
            <xm:f>Lists!$E$6:$E$36</xm:f>
          </x14:formula1>
          <x14:formula2>
            <xm:f>0</xm:f>
          </x14:formula2>
          <xm:sqref>C5</xm:sqref>
        </x14:dataValidation>
        <x14:dataValidation type="list" allowBlank="1" xr:uid="{00000000-0002-0000-0800-000001000000}">
          <x14:formula1>
            <xm:f>Lists!$F$6:$F$36</xm:f>
          </x14:formula1>
          <x14:formula2>
            <xm:f>0</xm:f>
          </x14:formula2>
          <xm:sqref>C6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pageSetUpPr fitToPage="1"/>
  </sheetPr>
  <dimension ref="B2:P37"/>
  <sheetViews>
    <sheetView showGridLines="0" zoomScaleNormal="100" workbookViewId="0">
      <pane xSplit="2" ySplit="5" topLeftCell="C6" activePane="bottomRight" state="frozen"/>
      <selection pane="topRight"/>
      <selection pane="bottomLeft"/>
      <selection pane="bottomRight"/>
    </sheetView>
  </sheetViews>
  <sheetFormatPr baseColWidth="10" defaultColWidth="8.6640625" defaultRowHeight="15" x14ac:dyDescent="0.2"/>
  <cols>
    <col min="1" max="1" width="3" customWidth="1"/>
    <col min="2" max="2" width="24" customWidth="1"/>
    <col min="3" max="15" width="8" customWidth="1"/>
    <col min="16" max="16" width="12" customWidth="1"/>
  </cols>
  <sheetData>
    <row r="2" spans="2:16" ht="21" x14ac:dyDescent="0.25">
      <c r="B2" s="37" t="s">
        <v>437</v>
      </c>
    </row>
    <row r="3" spans="2:16" x14ac:dyDescent="0.2">
      <c r="B3" s="38" t="s">
        <v>438</v>
      </c>
    </row>
    <row r="5" spans="2:16" ht="31.5" customHeight="1" x14ac:dyDescent="0.2">
      <c r="B5" s="43" t="s">
        <v>292</v>
      </c>
      <c r="C5" s="43" t="s">
        <v>151</v>
      </c>
      <c r="D5" s="43" t="s">
        <v>191</v>
      </c>
      <c r="E5" s="43" t="s">
        <v>139</v>
      </c>
      <c r="F5" s="43" t="s">
        <v>201</v>
      </c>
      <c r="G5" s="43" t="s">
        <v>273</v>
      </c>
      <c r="H5" s="43" t="s">
        <v>439</v>
      </c>
      <c r="I5" s="43" t="s">
        <v>440</v>
      </c>
      <c r="J5" s="43" t="s">
        <v>441</v>
      </c>
      <c r="K5" s="43" t="s">
        <v>442</v>
      </c>
      <c r="L5" s="43" t="s">
        <v>443</v>
      </c>
      <c r="M5" s="43" t="s">
        <v>444</v>
      </c>
      <c r="N5" s="43" t="s">
        <v>318</v>
      </c>
      <c r="O5" s="43" t="s">
        <v>319</v>
      </c>
      <c r="P5" s="43" t="s">
        <v>445</v>
      </c>
    </row>
    <row r="6" spans="2:16" x14ac:dyDescent="0.2">
      <c r="B6" s="76" t="str">
        <f>'Team Offense'!B6</f>
        <v>Los Angeles Dodgers</v>
      </c>
      <c r="C6" s="72">
        <f>IF($B6="","",SUMIFS(pbp_Runs,pbp_BatTeam,$B6,pbp_Inning,"1?"))</f>
        <v>0</v>
      </c>
      <c r="D6" s="72">
        <f>IF($B6="","",SUMIFS(pbp_Runs,pbp_BatTeam,$B6,pbp_Inning,"2?"))</f>
        <v>0</v>
      </c>
      <c r="E6" s="72">
        <f>IF($B6="","",SUMIFS(pbp_Runs,pbp_BatTeam,$B6,pbp_Inning,"3?"))</f>
        <v>0</v>
      </c>
      <c r="F6" s="72">
        <f>IF($B6="","",SUMIFS(pbp_Runs,pbp_BatTeam,$B6,pbp_Inning,"4?"))</f>
        <v>1</v>
      </c>
      <c r="G6" s="72">
        <f>IF($B6="","",SUMIFS(pbp_Runs,pbp_BatTeam,$B6,pbp_Inning,"5?"))</f>
        <v>0</v>
      </c>
      <c r="H6" s="72">
        <f>IF($B6="","",SUMIFS(pbp_Runs,pbp_BatTeam,$B6,pbp_Inning,"6?"))</f>
        <v>1</v>
      </c>
      <c r="I6" s="72">
        <f>IF($B6="","",SUMIFS(pbp_Runs,pbp_BatTeam,$B6,pbp_Inning,"7?"))</f>
        <v>0</v>
      </c>
      <c r="J6" s="72">
        <f>IF($B6="","",SUMIFS(pbp_Runs,pbp_BatTeam,$B6,pbp_Inning,"8?"))</f>
        <v>1</v>
      </c>
      <c r="K6" s="72">
        <f>IF($B6="","",SUMIFS(pbp_Runs,pbp_BatTeam,$B6,pbp_Inning,"9?"))</f>
        <v>1</v>
      </c>
      <c r="L6" s="72">
        <f>IF($B6="","",SUMIFS(pbp_Runs,pbp_BatTeam,$B6,pbp_Inning,"1??"))</f>
        <v>1</v>
      </c>
      <c r="M6" s="77">
        <f t="shared" ref="M6:M35" si="0">IF($B6="","",SUM(C6:L6))</f>
        <v>5</v>
      </c>
      <c r="N6" s="78">
        <f>'Team Offense'!G6</f>
        <v>11</v>
      </c>
      <c r="O6" s="78">
        <f>'Team Offense'!K6</f>
        <v>3</v>
      </c>
      <c r="P6" s="52">
        <f>IF($B6="","",IF('Team Offense'!C6=0,"",M6/'Team Offense'!C6))</f>
        <v>5</v>
      </c>
    </row>
    <row r="7" spans="2:16" x14ac:dyDescent="0.2">
      <c r="B7" s="76" t="str">
        <f>'Team Offense'!B7</f>
        <v>Toronto Blue Jays</v>
      </c>
      <c r="C7" s="72">
        <f>IF($B7="","",SUMIFS(pbp_Runs,pbp_BatTeam,$B7,pbp_Inning,"1?"))</f>
        <v>0</v>
      </c>
      <c r="D7" s="72">
        <f>IF($B7="","",SUMIFS(pbp_Runs,pbp_BatTeam,$B7,pbp_Inning,"2?"))</f>
        <v>0</v>
      </c>
      <c r="E7" s="72">
        <f>IF($B7="","",SUMIFS(pbp_Runs,pbp_BatTeam,$B7,pbp_Inning,"3?"))</f>
        <v>3</v>
      </c>
      <c r="F7" s="72">
        <f>IF($B7="","",SUMIFS(pbp_Runs,pbp_BatTeam,$B7,pbp_Inning,"4?"))</f>
        <v>0</v>
      </c>
      <c r="G7" s="72">
        <f>IF($B7="","",SUMIFS(pbp_Runs,pbp_BatTeam,$B7,pbp_Inning,"5?"))</f>
        <v>0</v>
      </c>
      <c r="H7" s="72">
        <f>IF($B7="","",SUMIFS(pbp_Runs,pbp_BatTeam,$B7,pbp_Inning,"6?"))</f>
        <v>1</v>
      </c>
      <c r="I7" s="72">
        <f>IF($B7="","",SUMIFS(pbp_Runs,pbp_BatTeam,$B7,pbp_Inning,"7?"))</f>
        <v>0</v>
      </c>
      <c r="J7" s="72">
        <f>IF($B7="","",SUMIFS(pbp_Runs,pbp_BatTeam,$B7,pbp_Inning,"8?"))</f>
        <v>0</v>
      </c>
      <c r="K7" s="72">
        <f>IF($B7="","",SUMIFS(pbp_Runs,pbp_BatTeam,$B7,pbp_Inning,"9?"))</f>
        <v>0</v>
      </c>
      <c r="L7" s="72">
        <f>IF($B7="","",SUMIFS(pbp_Runs,pbp_BatTeam,$B7,pbp_Inning,"1??"))</f>
        <v>0</v>
      </c>
      <c r="M7" s="77">
        <f t="shared" si="0"/>
        <v>4</v>
      </c>
      <c r="N7" s="78">
        <f>'Team Offense'!G7</f>
        <v>14</v>
      </c>
      <c r="O7" s="78">
        <f>'Team Offense'!K7</f>
        <v>1</v>
      </c>
      <c r="P7" s="52">
        <f>IF($B7="","",IF('Team Offense'!C7=0,"",M7/'Team Offense'!C7))</f>
        <v>4</v>
      </c>
    </row>
    <row r="8" spans="2:16" x14ac:dyDescent="0.2">
      <c r="B8" s="76" t="str">
        <f>'Team Offense'!B8</f>
        <v/>
      </c>
      <c r="C8" s="72" t="str">
        <f>IF($B8="","",SUMIFS(pbp_Runs,pbp_BatTeam,$B8,pbp_Inning,"1?"))</f>
        <v/>
      </c>
      <c r="D8" s="72" t="str">
        <f>IF($B8="","",SUMIFS(pbp_Runs,pbp_BatTeam,$B8,pbp_Inning,"2?"))</f>
        <v/>
      </c>
      <c r="E8" s="72" t="str">
        <f>IF($B8="","",SUMIFS(pbp_Runs,pbp_BatTeam,$B8,pbp_Inning,"3?"))</f>
        <v/>
      </c>
      <c r="F8" s="72" t="str">
        <f>IF($B8="","",SUMIFS(pbp_Runs,pbp_BatTeam,$B8,pbp_Inning,"4?"))</f>
        <v/>
      </c>
      <c r="G8" s="72" t="str">
        <f>IF($B8="","",SUMIFS(pbp_Runs,pbp_BatTeam,$B8,pbp_Inning,"5?"))</f>
        <v/>
      </c>
      <c r="H8" s="72" t="str">
        <f>IF($B8="","",SUMIFS(pbp_Runs,pbp_BatTeam,$B8,pbp_Inning,"6?"))</f>
        <v/>
      </c>
      <c r="I8" s="72" t="str">
        <f>IF($B8="","",SUMIFS(pbp_Runs,pbp_BatTeam,$B8,pbp_Inning,"7?"))</f>
        <v/>
      </c>
      <c r="J8" s="72" t="str">
        <f>IF($B8="","",SUMIFS(pbp_Runs,pbp_BatTeam,$B8,pbp_Inning,"8?"))</f>
        <v/>
      </c>
      <c r="K8" s="72" t="str">
        <f>IF($B8="","",SUMIFS(pbp_Runs,pbp_BatTeam,$B8,pbp_Inning,"9?"))</f>
        <v/>
      </c>
      <c r="L8" s="72" t="str">
        <f>IF($B8="","",SUMIFS(pbp_Runs,pbp_BatTeam,$B8,pbp_Inning,"1??"))</f>
        <v/>
      </c>
      <c r="M8" s="77" t="str">
        <f t="shared" si="0"/>
        <v/>
      </c>
      <c r="N8" s="78" t="str">
        <f>'Team Offense'!G8</f>
        <v/>
      </c>
      <c r="O8" s="78" t="str">
        <f>'Team Offense'!K8</f>
        <v/>
      </c>
      <c r="P8" s="52" t="str">
        <f>IF($B8="","",IF('Team Offense'!C8=0,"",M8/'Team Offense'!C8))</f>
        <v/>
      </c>
    </row>
    <row r="9" spans="2:16" x14ac:dyDescent="0.2">
      <c r="B9" s="76" t="str">
        <f>'Team Offense'!B9</f>
        <v/>
      </c>
      <c r="C9" s="72" t="str">
        <f>IF($B9="","",SUMIFS(pbp_Runs,pbp_BatTeam,$B9,pbp_Inning,"1?"))</f>
        <v/>
      </c>
      <c r="D9" s="72" t="str">
        <f>IF($B9="","",SUMIFS(pbp_Runs,pbp_BatTeam,$B9,pbp_Inning,"2?"))</f>
        <v/>
      </c>
      <c r="E9" s="72" t="str">
        <f>IF($B9="","",SUMIFS(pbp_Runs,pbp_BatTeam,$B9,pbp_Inning,"3?"))</f>
        <v/>
      </c>
      <c r="F9" s="72" t="str">
        <f>IF($B9="","",SUMIFS(pbp_Runs,pbp_BatTeam,$B9,pbp_Inning,"4?"))</f>
        <v/>
      </c>
      <c r="G9" s="72" t="str">
        <f>IF($B9="","",SUMIFS(pbp_Runs,pbp_BatTeam,$B9,pbp_Inning,"5?"))</f>
        <v/>
      </c>
      <c r="H9" s="72" t="str">
        <f>IF($B9="","",SUMIFS(pbp_Runs,pbp_BatTeam,$B9,pbp_Inning,"6?"))</f>
        <v/>
      </c>
      <c r="I9" s="72" t="str">
        <f>IF($B9="","",SUMIFS(pbp_Runs,pbp_BatTeam,$B9,pbp_Inning,"7?"))</f>
        <v/>
      </c>
      <c r="J9" s="72" t="str">
        <f>IF($B9="","",SUMIFS(pbp_Runs,pbp_BatTeam,$B9,pbp_Inning,"8?"))</f>
        <v/>
      </c>
      <c r="K9" s="72" t="str">
        <f>IF($B9="","",SUMIFS(pbp_Runs,pbp_BatTeam,$B9,pbp_Inning,"9?"))</f>
        <v/>
      </c>
      <c r="L9" s="72" t="str">
        <f>IF($B9="","",SUMIFS(pbp_Runs,pbp_BatTeam,$B9,pbp_Inning,"1??"))</f>
        <v/>
      </c>
      <c r="M9" s="77" t="str">
        <f t="shared" si="0"/>
        <v/>
      </c>
      <c r="N9" s="78" t="str">
        <f>'Team Offense'!G9</f>
        <v/>
      </c>
      <c r="O9" s="78" t="str">
        <f>'Team Offense'!K9</f>
        <v/>
      </c>
      <c r="P9" s="52" t="str">
        <f>IF($B9="","",IF('Team Offense'!C9=0,"",M9/'Team Offense'!C9))</f>
        <v/>
      </c>
    </row>
    <row r="10" spans="2:16" x14ac:dyDescent="0.2">
      <c r="B10" s="76" t="str">
        <f>'Team Offense'!B10</f>
        <v/>
      </c>
      <c r="C10" s="72" t="str">
        <f>IF($B10="","",SUMIFS(pbp_Runs,pbp_BatTeam,$B10,pbp_Inning,"1?"))</f>
        <v/>
      </c>
      <c r="D10" s="72" t="str">
        <f>IF($B10="","",SUMIFS(pbp_Runs,pbp_BatTeam,$B10,pbp_Inning,"2?"))</f>
        <v/>
      </c>
      <c r="E10" s="72" t="str">
        <f>IF($B10="","",SUMIFS(pbp_Runs,pbp_BatTeam,$B10,pbp_Inning,"3?"))</f>
        <v/>
      </c>
      <c r="F10" s="72" t="str">
        <f>IF($B10="","",SUMIFS(pbp_Runs,pbp_BatTeam,$B10,pbp_Inning,"4?"))</f>
        <v/>
      </c>
      <c r="G10" s="72" t="str">
        <f>IF($B10="","",SUMIFS(pbp_Runs,pbp_BatTeam,$B10,pbp_Inning,"5?"))</f>
        <v/>
      </c>
      <c r="H10" s="72" t="str">
        <f>IF($B10="","",SUMIFS(pbp_Runs,pbp_BatTeam,$B10,pbp_Inning,"6?"))</f>
        <v/>
      </c>
      <c r="I10" s="72" t="str">
        <f>IF($B10="","",SUMIFS(pbp_Runs,pbp_BatTeam,$B10,pbp_Inning,"7?"))</f>
        <v/>
      </c>
      <c r="J10" s="72" t="str">
        <f>IF($B10="","",SUMIFS(pbp_Runs,pbp_BatTeam,$B10,pbp_Inning,"8?"))</f>
        <v/>
      </c>
      <c r="K10" s="72" t="str">
        <f>IF($B10="","",SUMIFS(pbp_Runs,pbp_BatTeam,$B10,pbp_Inning,"9?"))</f>
        <v/>
      </c>
      <c r="L10" s="72" t="str">
        <f>IF($B10="","",SUMIFS(pbp_Runs,pbp_BatTeam,$B10,pbp_Inning,"1??"))</f>
        <v/>
      </c>
      <c r="M10" s="77" t="str">
        <f t="shared" si="0"/>
        <v/>
      </c>
      <c r="N10" s="78" t="str">
        <f>'Team Offense'!G10</f>
        <v/>
      </c>
      <c r="O10" s="78" t="str">
        <f>'Team Offense'!K10</f>
        <v/>
      </c>
      <c r="P10" s="52" t="str">
        <f>IF($B10="","",IF('Team Offense'!C10=0,"",M10/'Team Offense'!C10))</f>
        <v/>
      </c>
    </row>
    <row r="11" spans="2:16" x14ac:dyDescent="0.2">
      <c r="B11" s="76" t="str">
        <f>'Team Offense'!B11</f>
        <v/>
      </c>
      <c r="C11" s="72" t="str">
        <f>IF($B11="","",SUMIFS(pbp_Runs,pbp_BatTeam,$B11,pbp_Inning,"1?"))</f>
        <v/>
      </c>
      <c r="D11" s="72" t="str">
        <f>IF($B11="","",SUMIFS(pbp_Runs,pbp_BatTeam,$B11,pbp_Inning,"2?"))</f>
        <v/>
      </c>
      <c r="E11" s="72" t="str">
        <f>IF($B11="","",SUMIFS(pbp_Runs,pbp_BatTeam,$B11,pbp_Inning,"3?"))</f>
        <v/>
      </c>
      <c r="F11" s="72" t="str">
        <f>IF($B11="","",SUMIFS(pbp_Runs,pbp_BatTeam,$B11,pbp_Inning,"4?"))</f>
        <v/>
      </c>
      <c r="G11" s="72" t="str">
        <f>IF($B11="","",SUMIFS(pbp_Runs,pbp_BatTeam,$B11,pbp_Inning,"5?"))</f>
        <v/>
      </c>
      <c r="H11" s="72" t="str">
        <f>IF($B11="","",SUMIFS(pbp_Runs,pbp_BatTeam,$B11,pbp_Inning,"6?"))</f>
        <v/>
      </c>
      <c r="I11" s="72" t="str">
        <f>IF($B11="","",SUMIFS(pbp_Runs,pbp_BatTeam,$B11,pbp_Inning,"7?"))</f>
        <v/>
      </c>
      <c r="J11" s="72" t="str">
        <f>IF($B11="","",SUMIFS(pbp_Runs,pbp_BatTeam,$B11,pbp_Inning,"8?"))</f>
        <v/>
      </c>
      <c r="K11" s="72" t="str">
        <f>IF($B11="","",SUMIFS(pbp_Runs,pbp_BatTeam,$B11,pbp_Inning,"9?"))</f>
        <v/>
      </c>
      <c r="L11" s="72" t="str">
        <f>IF($B11="","",SUMIFS(pbp_Runs,pbp_BatTeam,$B11,pbp_Inning,"1??"))</f>
        <v/>
      </c>
      <c r="M11" s="77" t="str">
        <f t="shared" si="0"/>
        <v/>
      </c>
      <c r="N11" s="78" t="str">
        <f>'Team Offense'!G11</f>
        <v/>
      </c>
      <c r="O11" s="78" t="str">
        <f>'Team Offense'!K11</f>
        <v/>
      </c>
      <c r="P11" s="52" t="str">
        <f>IF($B11="","",IF('Team Offense'!C11=0,"",M11/'Team Offense'!C11))</f>
        <v/>
      </c>
    </row>
    <row r="12" spans="2:16" x14ac:dyDescent="0.2">
      <c r="B12" s="76" t="str">
        <f>'Team Offense'!B12</f>
        <v/>
      </c>
      <c r="C12" s="72" t="str">
        <f>IF($B12="","",SUMIFS(pbp_Runs,pbp_BatTeam,$B12,pbp_Inning,"1?"))</f>
        <v/>
      </c>
      <c r="D12" s="72" t="str">
        <f>IF($B12="","",SUMIFS(pbp_Runs,pbp_BatTeam,$B12,pbp_Inning,"2?"))</f>
        <v/>
      </c>
      <c r="E12" s="72" t="str">
        <f>IF($B12="","",SUMIFS(pbp_Runs,pbp_BatTeam,$B12,pbp_Inning,"3?"))</f>
        <v/>
      </c>
      <c r="F12" s="72" t="str">
        <f>IF($B12="","",SUMIFS(pbp_Runs,pbp_BatTeam,$B12,pbp_Inning,"4?"))</f>
        <v/>
      </c>
      <c r="G12" s="72" t="str">
        <f>IF($B12="","",SUMIFS(pbp_Runs,pbp_BatTeam,$B12,pbp_Inning,"5?"))</f>
        <v/>
      </c>
      <c r="H12" s="72" t="str">
        <f>IF($B12="","",SUMIFS(pbp_Runs,pbp_BatTeam,$B12,pbp_Inning,"6?"))</f>
        <v/>
      </c>
      <c r="I12" s="72" t="str">
        <f>IF($B12="","",SUMIFS(pbp_Runs,pbp_BatTeam,$B12,pbp_Inning,"7?"))</f>
        <v/>
      </c>
      <c r="J12" s="72" t="str">
        <f>IF($B12="","",SUMIFS(pbp_Runs,pbp_BatTeam,$B12,pbp_Inning,"8?"))</f>
        <v/>
      </c>
      <c r="K12" s="72" t="str">
        <f>IF($B12="","",SUMIFS(pbp_Runs,pbp_BatTeam,$B12,pbp_Inning,"9?"))</f>
        <v/>
      </c>
      <c r="L12" s="72" t="str">
        <f>IF($B12="","",SUMIFS(pbp_Runs,pbp_BatTeam,$B12,pbp_Inning,"1??"))</f>
        <v/>
      </c>
      <c r="M12" s="77" t="str">
        <f t="shared" si="0"/>
        <v/>
      </c>
      <c r="N12" s="78" t="str">
        <f>'Team Offense'!G12</f>
        <v/>
      </c>
      <c r="O12" s="78" t="str">
        <f>'Team Offense'!K12</f>
        <v/>
      </c>
      <c r="P12" s="52" t="str">
        <f>IF($B12="","",IF('Team Offense'!C12=0,"",M12/'Team Offense'!C12))</f>
        <v/>
      </c>
    </row>
    <row r="13" spans="2:16" x14ac:dyDescent="0.2">
      <c r="B13" s="76" t="str">
        <f>'Team Offense'!B13</f>
        <v/>
      </c>
      <c r="C13" s="72" t="str">
        <f>IF($B13="","",SUMIFS(pbp_Runs,pbp_BatTeam,$B13,pbp_Inning,"1?"))</f>
        <v/>
      </c>
      <c r="D13" s="72" t="str">
        <f>IF($B13="","",SUMIFS(pbp_Runs,pbp_BatTeam,$B13,pbp_Inning,"2?"))</f>
        <v/>
      </c>
      <c r="E13" s="72" t="str">
        <f>IF($B13="","",SUMIFS(pbp_Runs,pbp_BatTeam,$B13,pbp_Inning,"3?"))</f>
        <v/>
      </c>
      <c r="F13" s="72" t="str">
        <f>IF($B13="","",SUMIFS(pbp_Runs,pbp_BatTeam,$B13,pbp_Inning,"4?"))</f>
        <v/>
      </c>
      <c r="G13" s="72" t="str">
        <f>IF($B13="","",SUMIFS(pbp_Runs,pbp_BatTeam,$B13,pbp_Inning,"5?"))</f>
        <v/>
      </c>
      <c r="H13" s="72" t="str">
        <f>IF($B13="","",SUMIFS(pbp_Runs,pbp_BatTeam,$B13,pbp_Inning,"6?"))</f>
        <v/>
      </c>
      <c r="I13" s="72" t="str">
        <f>IF($B13="","",SUMIFS(pbp_Runs,pbp_BatTeam,$B13,pbp_Inning,"7?"))</f>
        <v/>
      </c>
      <c r="J13" s="72" t="str">
        <f>IF($B13="","",SUMIFS(pbp_Runs,pbp_BatTeam,$B13,pbp_Inning,"8?"))</f>
        <v/>
      </c>
      <c r="K13" s="72" t="str">
        <f>IF($B13="","",SUMIFS(pbp_Runs,pbp_BatTeam,$B13,pbp_Inning,"9?"))</f>
        <v/>
      </c>
      <c r="L13" s="72" t="str">
        <f>IF($B13="","",SUMIFS(pbp_Runs,pbp_BatTeam,$B13,pbp_Inning,"1??"))</f>
        <v/>
      </c>
      <c r="M13" s="77" t="str">
        <f t="shared" si="0"/>
        <v/>
      </c>
      <c r="N13" s="78" t="str">
        <f>'Team Offense'!G13</f>
        <v/>
      </c>
      <c r="O13" s="78" t="str">
        <f>'Team Offense'!K13</f>
        <v/>
      </c>
      <c r="P13" s="52" t="str">
        <f>IF($B13="","",IF('Team Offense'!C13=0,"",M13/'Team Offense'!C13))</f>
        <v/>
      </c>
    </row>
    <row r="14" spans="2:16" x14ac:dyDescent="0.2">
      <c r="B14" s="76" t="str">
        <f>'Team Offense'!B14</f>
        <v/>
      </c>
      <c r="C14" s="72" t="str">
        <f>IF($B14="","",SUMIFS(pbp_Runs,pbp_BatTeam,$B14,pbp_Inning,"1?"))</f>
        <v/>
      </c>
      <c r="D14" s="72" t="str">
        <f>IF($B14="","",SUMIFS(pbp_Runs,pbp_BatTeam,$B14,pbp_Inning,"2?"))</f>
        <v/>
      </c>
      <c r="E14" s="72" t="str">
        <f>IF($B14="","",SUMIFS(pbp_Runs,pbp_BatTeam,$B14,pbp_Inning,"3?"))</f>
        <v/>
      </c>
      <c r="F14" s="72" t="str">
        <f>IF($B14="","",SUMIFS(pbp_Runs,pbp_BatTeam,$B14,pbp_Inning,"4?"))</f>
        <v/>
      </c>
      <c r="G14" s="72" t="str">
        <f>IF($B14="","",SUMIFS(pbp_Runs,pbp_BatTeam,$B14,pbp_Inning,"5?"))</f>
        <v/>
      </c>
      <c r="H14" s="72" t="str">
        <f>IF($B14="","",SUMIFS(pbp_Runs,pbp_BatTeam,$B14,pbp_Inning,"6?"))</f>
        <v/>
      </c>
      <c r="I14" s="72" t="str">
        <f>IF($B14="","",SUMIFS(pbp_Runs,pbp_BatTeam,$B14,pbp_Inning,"7?"))</f>
        <v/>
      </c>
      <c r="J14" s="72" t="str">
        <f>IF($B14="","",SUMIFS(pbp_Runs,pbp_BatTeam,$B14,pbp_Inning,"8?"))</f>
        <v/>
      </c>
      <c r="K14" s="72" t="str">
        <f>IF($B14="","",SUMIFS(pbp_Runs,pbp_BatTeam,$B14,pbp_Inning,"9?"))</f>
        <v/>
      </c>
      <c r="L14" s="72" t="str">
        <f>IF($B14="","",SUMIFS(pbp_Runs,pbp_BatTeam,$B14,pbp_Inning,"1??"))</f>
        <v/>
      </c>
      <c r="M14" s="77" t="str">
        <f t="shared" si="0"/>
        <v/>
      </c>
      <c r="N14" s="78" t="str">
        <f>'Team Offense'!G14</f>
        <v/>
      </c>
      <c r="O14" s="78" t="str">
        <f>'Team Offense'!K14</f>
        <v/>
      </c>
      <c r="P14" s="52" t="str">
        <f>IF($B14="","",IF('Team Offense'!C14=0,"",M14/'Team Offense'!C14))</f>
        <v/>
      </c>
    </row>
    <row r="15" spans="2:16" x14ac:dyDescent="0.2">
      <c r="B15" s="76" t="str">
        <f>'Team Offense'!B15</f>
        <v/>
      </c>
      <c r="C15" s="72" t="str">
        <f>IF($B15="","",SUMIFS(pbp_Runs,pbp_BatTeam,$B15,pbp_Inning,"1?"))</f>
        <v/>
      </c>
      <c r="D15" s="72" t="str">
        <f>IF($B15="","",SUMIFS(pbp_Runs,pbp_BatTeam,$B15,pbp_Inning,"2?"))</f>
        <v/>
      </c>
      <c r="E15" s="72" t="str">
        <f>IF($B15="","",SUMIFS(pbp_Runs,pbp_BatTeam,$B15,pbp_Inning,"3?"))</f>
        <v/>
      </c>
      <c r="F15" s="72" t="str">
        <f>IF($B15="","",SUMIFS(pbp_Runs,pbp_BatTeam,$B15,pbp_Inning,"4?"))</f>
        <v/>
      </c>
      <c r="G15" s="72" t="str">
        <f>IF($B15="","",SUMIFS(pbp_Runs,pbp_BatTeam,$B15,pbp_Inning,"5?"))</f>
        <v/>
      </c>
      <c r="H15" s="72" t="str">
        <f>IF($B15="","",SUMIFS(pbp_Runs,pbp_BatTeam,$B15,pbp_Inning,"6?"))</f>
        <v/>
      </c>
      <c r="I15" s="72" t="str">
        <f>IF($B15="","",SUMIFS(pbp_Runs,pbp_BatTeam,$B15,pbp_Inning,"7?"))</f>
        <v/>
      </c>
      <c r="J15" s="72" t="str">
        <f>IF($B15="","",SUMIFS(pbp_Runs,pbp_BatTeam,$B15,pbp_Inning,"8?"))</f>
        <v/>
      </c>
      <c r="K15" s="72" t="str">
        <f>IF($B15="","",SUMIFS(pbp_Runs,pbp_BatTeam,$B15,pbp_Inning,"9?"))</f>
        <v/>
      </c>
      <c r="L15" s="72" t="str">
        <f>IF($B15="","",SUMIFS(pbp_Runs,pbp_BatTeam,$B15,pbp_Inning,"1??"))</f>
        <v/>
      </c>
      <c r="M15" s="77" t="str">
        <f t="shared" si="0"/>
        <v/>
      </c>
      <c r="N15" s="78" t="str">
        <f>'Team Offense'!G15</f>
        <v/>
      </c>
      <c r="O15" s="78" t="str">
        <f>'Team Offense'!K15</f>
        <v/>
      </c>
      <c r="P15" s="52" t="str">
        <f>IF($B15="","",IF('Team Offense'!C15=0,"",M15/'Team Offense'!C15))</f>
        <v/>
      </c>
    </row>
    <row r="16" spans="2:16" x14ac:dyDescent="0.2">
      <c r="B16" s="76" t="str">
        <f>'Team Offense'!B16</f>
        <v/>
      </c>
      <c r="C16" s="72" t="str">
        <f>IF($B16="","",SUMIFS(pbp_Runs,pbp_BatTeam,$B16,pbp_Inning,"1?"))</f>
        <v/>
      </c>
      <c r="D16" s="72" t="str">
        <f>IF($B16="","",SUMIFS(pbp_Runs,pbp_BatTeam,$B16,pbp_Inning,"2?"))</f>
        <v/>
      </c>
      <c r="E16" s="72" t="str">
        <f>IF($B16="","",SUMIFS(pbp_Runs,pbp_BatTeam,$B16,pbp_Inning,"3?"))</f>
        <v/>
      </c>
      <c r="F16" s="72" t="str">
        <f>IF($B16="","",SUMIFS(pbp_Runs,pbp_BatTeam,$B16,pbp_Inning,"4?"))</f>
        <v/>
      </c>
      <c r="G16" s="72" t="str">
        <f>IF($B16="","",SUMIFS(pbp_Runs,pbp_BatTeam,$B16,pbp_Inning,"5?"))</f>
        <v/>
      </c>
      <c r="H16" s="72" t="str">
        <f>IF($B16="","",SUMIFS(pbp_Runs,pbp_BatTeam,$B16,pbp_Inning,"6?"))</f>
        <v/>
      </c>
      <c r="I16" s="72" t="str">
        <f>IF($B16="","",SUMIFS(pbp_Runs,pbp_BatTeam,$B16,pbp_Inning,"7?"))</f>
        <v/>
      </c>
      <c r="J16" s="72" t="str">
        <f>IF($B16="","",SUMIFS(pbp_Runs,pbp_BatTeam,$B16,pbp_Inning,"8?"))</f>
        <v/>
      </c>
      <c r="K16" s="72" t="str">
        <f>IF($B16="","",SUMIFS(pbp_Runs,pbp_BatTeam,$B16,pbp_Inning,"9?"))</f>
        <v/>
      </c>
      <c r="L16" s="72" t="str">
        <f>IF($B16="","",SUMIFS(pbp_Runs,pbp_BatTeam,$B16,pbp_Inning,"1??"))</f>
        <v/>
      </c>
      <c r="M16" s="77" t="str">
        <f t="shared" si="0"/>
        <v/>
      </c>
      <c r="N16" s="78" t="str">
        <f>'Team Offense'!G16</f>
        <v/>
      </c>
      <c r="O16" s="78" t="str">
        <f>'Team Offense'!K16</f>
        <v/>
      </c>
      <c r="P16" s="52" t="str">
        <f>IF($B16="","",IF('Team Offense'!C16=0,"",M16/'Team Offense'!C16))</f>
        <v/>
      </c>
    </row>
    <row r="17" spans="2:16" x14ac:dyDescent="0.2">
      <c r="B17" s="76" t="str">
        <f>'Team Offense'!B17</f>
        <v/>
      </c>
      <c r="C17" s="72" t="str">
        <f>IF($B17="","",SUMIFS(pbp_Runs,pbp_BatTeam,$B17,pbp_Inning,"1?"))</f>
        <v/>
      </c>
      <c r="D17" s="72" t="str">
        <f>IF($B17="","",SUMIFS(pbp_Runs,pbp_BatTeam,$B17,pbp_Inning,"2?"))</f>
        <v/>
      </c>
      <c r="E17" s="72" t="str">
        <f>IF($B17="","",SUMIFS(pbp_Runs,pbp_BatTeam,$B17,pbp_Inning,"3?"))</f>
        <v/>
      </c>
      <c r="F17" s="72" t="str">
        <f>IF($B17="","",SUMIFS(pbp_Runs,pbp_BatTeam,$B17,pbp_Inning,"4?"))</f>
        <v/>
      </c>
      <c r="G17" s="72" t="str">
        <f>IF($B17="","",SUMIFS(pbp_Runs,pbp_BatTeam,$B17,pbp_Inning,"5?"))</f>
        <v/>
      </c>
      <c r="H17" s="72" t="str">
        <f>IF($B17="","",SUMIFS(pbp_Runs,pbp_BatTeam,$B17,pbp_Inning,"6?"))</f>
        <v/>
      </c>
      <c r="I17" s="72" t="str">
        <f>IF($B17="","",SUMIFS(pbp_Runs,pbp_BatTeam,$B17,pbp_Inning,"7?"))</f>
        <v/>
      </c>
      <c r="J17" s="72" t="str">
        <f>IF($B17="","",SUMIFS(pbp_Runs,pbp_BatTeam,$B17,pbp_Inning,"8?"))</f>
        <v/>
      </c>
      <c r="K17" s="72" t="str">
        <f>IF($B17="","",SUMIFS(pbp_Runs,pbp_BatTeam,$B17,pbp_Inning,"9?"))</f>
        <v/>
      </c>
      <c r="L17" s="72" t="str">
        <f>IF($B17="","",SUMIFS(pbp_Runs,pbp_BatTeam,$B17,pbp_Inning,"1??"))</f>
        <v/>
      </c>
      <c r="M17" s="77" t="str">
        <f t="shared" si="0"/>
        <v/>
      </c>
      <c r="N17" s="78" t="str">
        <f>'Team Offense'!G17</f>
        <v/>
      </c>
      <c r="O17" s="78" t="str">
        <f>'Team Offense'!K17</f>
        <v/>
      </c>
      <c r="P17" s="52" t="str">
        <f>IF($B17="","",IF('Team Offense'!C17=0,"",M17/'Team Offense'!C17))</f>
        <v/>
      </c>
    </row>
    <row r="18" spans="2:16" x14ac:dyDescent="0.2">
      <c r="B18" s="76" t="str">
        <f>'Team Offense'!B18</f>
        <v/>
      </c>
      <c r="C18" s="72" t="str">
        <f>IF($B18="","",SUMIFS(pbp_Runs,pbp_BatTeam,$B18,pbp_Inning,"1?"))</f>
        <v/>
      </c>
      <c r="D18" s="72" t="str">
        <f>IF($B18="","",SUMIFS(pbp_Runs,pbp_BatTeam,$B18,pbp_Inning,"2?"))</f>
        <v/>
      </c>
      <c r="E18" s="72" t="str">
        <f>IF($B18="","",SUMIFS(pbp_Runs,pbp_BatTeam,$B18,pbp_Inning,"3?"))</f>
        <v/>
      </c>
      <c r="F18" s="72" t="str">
        <f>IF($B18="","",SUMIFS(pbp_Runs,pbp_BatTeam,$B18,pbp_Inning,"4?"))</f>
        <v/>
      </c>
      <c r="G18" s="72" t="str">
        <f>IF($B18="","",SUMIFS(pbp_Runs,pbp_BatTeam,$B18,pbp_Inning,"5?"))</f>
        <v/>
      </c>
      <c r="H18" s="72" t="str">
        <f>IF($B18="","",SUMIFS(pbp_Runs,pbp_BatTeam,$B18,pbp_Inning,"6?"))</f>
        <v/>
      </c>
      <c r="I18" s="72" t="str">
        <f>IF($B18="","",SUMIFS(pbp_Runs,pbp_BatTeam,$B18,pbp_Inning,"7?"))</f>
        <v/>
      </c>
      <c r="J18" s="72" t="str">
        <f>IF($B18="","",SUMIFS(pbp_Runs,pbp_BatTeam,$B18,pbp_Inning,"8?"))</f>
        <v/>
      </c>
      <c r="K18" s="72" t="str">
        <f>IF($B18="","",SUMIFS(pbp_Runs,pbp_BatTeam,$B18,pbp_Inning,"9?"))</f>
        <v/>
      </c>
      <c r="L18" s="72" t="str">
        <f>IF($B18="","",SUMIFS(pbp_Runs,pbp_BatTeam,$B18,pbp_Inning,"1??"))</f>
        <v/>
      </c>
      <c r="M18" s="77" t="str">
        <f t="shared" si="0"/>
        <v/>
      </c>
      <c r="N18" s="78" t="str">
        <f>'Team Offense'!G18</f>
        <v/>
      </c>
      <c r="O18" s="78" t="str">
        <f>'Team Offense'!K18</f>
        <v/>
      </c>
      <c r="P18" s="52" t="str">
        <f>IF($B18="","",IF('Team Offense'!C18=0,"",M18/'Team Offense'!C18))</f>
        <v/>
      </c>
    </row>
    <row r="19" spans="2:16" x14ac:dyDescent="0.2">
      <c r="B19" s="76" t="str">
        <f>'Team Offense'!B19</f>
        <v/>
      </c>
      <c r="C19" s="72" t="str">
        <f>IF($B19="","",SUMIFS(pbp_Runs,pbp_BatTeam,$B19,pbp_Inning,"1?"))</f>
        <v/>
      </c>
      <c r="D19" s="72" t="str">
        <f>IF($B19="","",SUMIFS(pbp_Runs,pbp_BatTeam,$B19,pbp_Inning,"2?"))</f>
        <v/>
      </c>
      <c r="E19" s="72" t="str">
        <f>IF($B19="","",SUMIFS(pbp_Runs,pbp_BatTeam,$B19,pbp_Inning,"3?"))</f>
        <v/>
      </c>
      <c r="F19" s="72" t="str">
        <f>IF($B19="","",SUMIFS(pbp_Runs,pbp_BatTeam,$B19,pbp_Inning,"4?"))</f>
        <v/>
      </c>
      <c r="G19" s="72" t="str">
        <f>IF($B19="","",SUMIFS(pbp_Runs,pbp_BatTeam,$B19,pbp_Inning,"5?"))</f>
        <v/>
      </c>
      <c r="H19" s="72" t="str">
        <f>IF($B19="","",SUMIFS(pbp_Runs,pbp_BatTeam,$B19,pbp_Inning,"6?"))</f>
        <v/>
      </c>
      <c r="I19" s="72" t="str">
        <f>IF($B19="","",SUMIFS(pbp_Runs,pbp_BatTeam,$B19,pbp_Inning,"7?"))</f>
        <v/>
      </c>
      <c r="J19" s="72" t="str">
        <f>IF($B19="","",SUMIFS(pbp_Runs,pbp_BatTeam,$B19,pbp_Inning,"8?"))</f>
        <v/>
      </c>
      <c r="K19" s="72" t="str">
        <f>IF($B19="","",SUMIFS(pbp_Runs,pbp_BatTeam,$B19,pbp_Inning,"9?"))</f>
        <v/>
      </c>
      <c r="L19" s="72" t="str">
        <f>IF($B19="","",SUMIFS(pbp_Runs,pbp_BatTeam,$B19,pbp_Inning,"1??"))</f>
        <v/>
      </c>
      <c r="M19" s="77" t="str">
        <f t="shared" si="0"/>
        <v/>
      </c>
      <c r="N19" s="78" t="str">
        <f>'Team Offense'!G19</f>
        <v/>
      </c>
      <c r="O19" s="78" t="str">
        <f>'Team Offense'!K19</f>
        <v/>
      </c>
      <c r="P19" s="52" t="str">
        <f>IF($B19="","",IF('Team Offense'!C19=0,"",M19/'Team Offense'!C19))</f>
        <v/>
      </c>
    </row>
    <row r="20" spans="2:16" x14ac:dyDescent="0.2">
      <c r="B20" s="76" t="str">
        <f>'Team Offense'!B20</f>
        <v/>
      </c>
      <c r="C20" s="72" t="str">
        <f>IF($B20="","",SUMIFS(pbp_Runs,pbp_BatTeam,$B20,pbp_Inning,"1?"))</f>
        <v/>
      </c>
      <c r="D20" s="72" t="str">
        <f>IF($B20="","",SUMIFS(pbp_Runs,pbp_BatTeam,$B20,pbp_Inning,"2?"))</f>
        <v/>
      </c>
      <c r="E20" s="72" t="str">
        <f>IF($B20="","",SUMIFS(pbp_Runs,pbp_BatTeam,$B20,pbp_Inning,"3?"))</f>
        <v/>
      </c>
      <c r="F20" s="72" t="str">
        <f>IF($B20="","",SUMIFS(pbp_Runs,pbp_BatTeam,$B20,pbp_Inning,"4?"))</f>
        <v/>
      </c>
      <c r="G20" s="72" t="str">
        <f>IF($B20="","",SUMIFS(pbp_Runs,pbp_BatTeam,$B20,pbp_Inning,"5?"))</f>
        <v/>
      </c>
      <c r="H20" s="72" t="str">
        <f>IF($B20="","",SUMIFS(pbp_Runs,pbp_BatTeam,$B20,pbp_Inning,"6?"))</f>
        <v/>
      </c>
      <c r="I20" s="72" t="str">
        <f>IF($B20="","",SUMIFS(pbp_Runs,pbp_BatTeam,$B20,pbp_Inning,"7?"))</f>
        <v/>
      </c>
      <c r="J20" s="72" t="str">
        <f>IF($B20="","",SUMIFS(pbp_Runs,pbp_BatTeam,$B20,pbp_Inning,"8?"))</f>
        <v/>
      </c>
      <c r="K20" s="72" t="str">
        <f>IF($B20="","",SUMIFS(pbp_Runs,pbp_BatTeam,$B20,pbp_Inning,"9?"))</f>
        <v/>
      </c>
      <c r="L20" s="72" t="str">
        <f>IF($B20="","",SUMIFS(pbp_Runs,pbp_BatTeam,$B20,pbp_Inning,"1??"))</f>
        <v/>
      </c>
      <c r="M20" s="77" t="str">
        <f t="shared" si="0"/>
        <v/>
      </c>
      <c r="N20" s="78" t="str">
        <f>'Team Offense'!G20</f>
        <v/>
      </c>
      <c r="O20" s="78" t="str">
        <f>'Team Offense'!K20</f>
        <v/>
      </c>
      <c r="P20" s="52" t="str">
        <f>IF($B20="","",IF('Team Offense'!C20=0,"",M20/'Team Offense'!C20))</f>
        <v/>
      </c>
    </row>
    <row r="21" spans="2:16" x14ac:dyDescent="0.2">
      <c r="B21" s="76" t="str">
        <f>'Team Offense'!B21</f>
        <v/>
      </c>
      <c r="C21" s="72" t="str">
        <f>IF($B21="","",SUMIFS(pbp_Runs,pbp_BatTeam,$B21,pbp_Inning,"1?"))</f>
        <v/>
      </c>
      <c r="D21" s="72" t="str">
        <f>IF($B21="","",SUMIFS(pbp_Runs,pbp_BatTeam,$B21,pbp_Inning,"2?"))</f>
        <v/>
      </c>
      <c r="E21" s="72" t="str">
        <f>IF($B21="","",SUMIFS(pbp_Runs,pbp_BatTeam,$B21,pbp_Inning,"3?"))</f>
        <v/>
      </c>
      <c r="F21" s="72" t="str">
        <f>IF($B21="","",SUMIFS(pbp_Runs,pbp_BatTeam,$B21,pbp_Inning,"4?"))</f>
        <v/>
      </c>
      <c r="G21" s="72" t="str">
        <f>IF($B21="","",SUMIFS(pbp_Runs,pbp_BatTeam,$B21,pbp_Inning,"5?"))</f>
        <v/>
      </c>
      <c r="H21" s="72" t="str">
        <f>IF($B21="","",SUMIFS(pbp_Runs,pbp_BatTeam,$B21,pbp_Inning,"6?"))</f>
        <v/>
      </c>
      <c r="I21" s="72" t="str">
        <f>IF($B21="","",SUMIFS(pbp_Runs,pbp_BatTeam,$B21,pbp_Inning,"7?"))</f>
        <v/>
      </c>
      <c r="J21" s="72" t="str">
        <f>IF($B21="","",SUMIFS(pbp_Runs,pbp_BatTeam,$B21,pbp_Inning,"8?"))</f>
        <v/>
      </c>
      <c r="K21" s="72" t="str">
        <f>IF($B21="","",SUMIFS(pbp_Runs,pbp_BatTeam,$B21,pbp_Inning,"9?"))</f>
        <v/>
      </c>
      <c r="L21" s="72" t="str">
        <f>IF($B21="","",SUMIFS(pbp_Runs,pbp_BatTeam,$B21,pbp_Inning,"1??"))</f>
        <v/>
      </c>
      <c r="M21" s="77" t="str">
        <f t="shared" si="0"/>
        <v/>
      </c>
      <c r="N21" s="78" t="str">
        <f>'Team Offense'!G21</f>
        <v/>
      </c>
      <c r="O21" s="78" t="str">
        <f>'Team Offense'!K21</f>
        <v/>
      </c>
      <c r="P21" s="52" t="str">
        <f>IF($B21="","",IF('Team Offense'!C21=0,"",M21/'Team Offense'!C21))</f>
        <v/>
      </c>
    </row>
    <row r="22" spans="2:16" x14ac:dyDescent="0.2">
      <c r="B22" s="76" t="str">
        <f>'Team Offense'!B22</f>
        <v/>
      </c>
      <c r="C22" s="72" t="str">
        <f>IF($B22="","",SUMIFS(pbp_Runs,pbp_BatTeam,$B22,pbp_Inning,"1?"))</f>
        <v/>
      </c>
      <c r="D22" s="72" t="str">
        <f>IF($B22="","",SUMIFS(pbp_Runs,pbp_BatTeam,$B22,pbp_Inning,"2?"))</f>
        <v/>
      </c>
      <c r="E22" s="72" t="str">
        <f>IF($B22="","",SUMIFS(pbp_Runs,pbp_BatTeam,$B22,pbp_Inning,"3?"))</f>
        <v/>
      </c>
      <c r="F22" s="72" t="str">
        <f>IF($B22="","",SUMIFS(pbp_Runs,pbp_BatTeam,$B22,pbp_Inning,"4?"))</f>
        <v/>
      </c>
      <c r="G22" s="72" t="str">
        <f>IF($B22="","",SUMIFS(pbp_Runs,pbp_BatTeam,$B22,pbp_Inning,"5?"))</f>
        <v/>
      </c>
      <c r="H22" s="72" t="str">
        <f>IF($B22="","",SUMIFS(pbp_Runs,pbp_BatTeam,$B22,pbp_Inning,"6?"))</f>
        <v/>
      </c>
      <c r="I22" s="72" t="str">
        <f>IF($B22="","",SUMIFS(pbp_Runs,pbp_BatTeam,$B22,pbp_Inning,"7?"))</f>
        <v/>
      </c>
      <c r="J22" s="72" t="str">
        <f>IF($B22="","",SUMIFS(pbp_Runs,pbp_BatTeam,$B22,pbp_Inning,"8?"))</f>
        <v/>
      </c>
      <c r="K22" s="72" t="str">
        <f>IF($B22="","",SUMIFS(pbp_Runs,pbp_BatTeam,$B22,pbp_Inning,"9?"))</f>
        <v/>
      </c>
      <c r="L22" s="72" t="str">
        <f>IF($B22="","",SUMIFS(pbp_Runs,pbp_BatTeam,$B22,pbp_Inning,"1??"))</f>
        <v/>
      </c>
      <c r="M22" s="77" t="str">
        <f t="shared" si="0"/>
        <v/>
      </c>
      <c r="N22" s="78" t="str">
        <f>'Team Offense'!G22</f>
        <v/>
      </c>
      <c r="O22" s="78" t="str">
        <f>'Team Offense'!K22</f>
        <v/>
      </c>
      <c r="P22" s="52" t="str">
        <f>IF($B22="","",IF('Team Offense'!C22=0,"",M22/'Team Offense'!C22))</f>
        <v/>
      </c>
    </row>
    <row r="23" spans="2:16" x14ac:dyDescent="0.2">
      <c r="B23" s="76" t="str">
        <f>'Team Offense'!B23</f>
        <v/>
      </c>
      <c r="C23" s="72" t="str">
        <f>IF($B23="","",SUMIFS(pbp_Runs,pbp_BatTeam,$B23,pbp_Inning,"1?"))</f>
        <v/>
      </c>
      <c r="D23" s="72" t="str">
        <f>IF($B23="","",SUMIFS(pbp_Runs,pbp_BatTeam,$B23,pbp_Inning,"2?"))</f>
        <v/>
      </c>
      <c r="E23" s="72" t="str">
        <f>IF($B23="","",SUMIFS(pbp_Runs,pbp_BatTeam,$B23,pbp_Inning,"3?"))</f>
        <v/>
      </c>
      <c r="F23" s="72" t="str">
        <f>IF($B23="","",SUMIFS(pbp_Runs,pbp_BatTeam,$B23,pbp_Inning,"4?"))</f>
        <v/>
      </c>
      <c r="G23" s="72" t="str">
        <f>IF($B23="","",SUMIFS(pbp_Runs,pbp_BatTeam,$B23,pbp_Inning,"5?"))</f>
        <v/>
      </c>
      <c r="H23" s="72" t="str">
        <f>IF($B23="","",SUMIFS(pbp_Runs,pbp_BatTeam,$B23,pbp_Inning,"6?"))</f>
        <v/>
      </c>
      <c r="I23" s="72" t="str">
        <f>IF($B23="","",SUMIFS(pbp_Runs,pbp_BatTeam,$B23,pbp_Inning,"7?"))</f>
        <v/>
      </c>
      <c r="J23" s="72" t="str">
        <f>IF($B23="","",SUMIFS(pbp_Runs,pbp_BatTeam,$B23,pbp_Inning,"8?"))</f>
        <v/>
      </c>
      <c r="K23" s="72" t="str">
        <f>IF($B23="","",SUMIFS(pbp_Runs,pbp_BatTeam,$B23,pbp_Inning,"9?"))</f>
        <v/>
      </c>
      <c r="L23" s="72" t="str">
        <f>IF($B23="","",SUMIFS(pbp_Runs,pbp_BatTeam,$B23,pbp_Inning,"1??"))</f>
        <v/>
      </c>
      <c r="M23" s="77" t="str">
        <f t="shared" si="0"/>
        <v/>
      </c>
      <c r="N23" s="78" t="str">
        <f>'Team Offense'!G23</f>
        <v/>
      </c>
      <c r="O23" s="78" t="str">
        <f>'Team Offense'!K23</f>
        <v/>
      </c>
      <c r="P23" s="52" t="str">
        <f>IF($B23="","",IF('Team Offense'!C23=0,"",M23/'Team Offense'!C23))</f>
        <v/>
      </c>
    </row>
    <row r="24" spans="2:16" x14ac:dyDescent="0.2">
      <c r="B24" s="76" t="str">
        <f>'Team Offense'!B24</f>
        <v/>
      </c>
      <c r="C24" s="72" t="str">
        <f>IF($B24="","",SUMIFS(pbp_Runs,pbp_BatTeam,$B24,pbp_Inning,"1?"))</f>
        <v/>
      </c>
      <c r="D24" s="72" t="str">
        <f>IF($B24="","",SUMIFS(pbp_Runs,pbp_BatTeam,$B24,pbp_Inning,"2?"))</f>
        <v/>
      </c>
      <c r="E24" s="72" t="str">
        <f>IF($B24="","",SUMIFS(pbp_Runs,pbp_BatTeam,$B24,pbp_Inning,"3?"))</f>
        <v/>
      </c>
      <c r="F24" s="72" t="str">
        <f>IF($B24="","",SUMIFS(pbp_Runs,pbp_BatTeam,$B24,pbp_Inning,"4?"))</f>
        <v/>
      </c>
      <c r="G24" s="72" t="str">
        <f>IF($B24="","",SUMIFS(pbp_Runs,pbp_BatTeam,$B24,pbp_Inning,"5?"))</f>
        <v/>
      </c>
      <c r="H24" s="72" t="str">
        <f>IF($B24="","",SUMIFS(pbp_Runs,pbp_BatTeam,$B24,pbp_Inning,"6?"))</f>
        <v/>
      </c>
      <c r="I24" s="72" t="str">
        <f>IF($B24="","",SUMIFS(pbp_Runs,pbp_BatTeam,$B24,pbp_Inning,"7?"))</f>
        <v/>
      </c>
      <c r="J24" s="72" t="str">
        <f>IF($B24="","",SUMIFS(pbp_Runs,pbp_BatTeam,$B24,pbp_Inning,"8?"))</f>
        <v/>
      </c>
      <c r="K24" s="72" t="str">
        <f>IF($B24="","",SUMIFS(pbp_Runs,pbp_BatTeam,$B24,pbp_Inning,"9?"))</f>
        <v/>
      </c>
      <c r="L24" s="72" t="str">
        <f>IF($B24="","",SUMIFS(pbp_Runs,pbp_BatTeam,$B24,pbp_Inning,"1??"))</f>
        <v/>
      </c>
      <c r="M24" s="77" t="str">
        <f t="shared" si="0"/>
        <v/>
      </c>
      <c r="N24" s="78" t="str">
        <f>'Team Offense'!G24</f>
        <v/>
      </c>
      <c r="O24" s="78" t="str">
        <f>'Team Offense'!K24</f>
        <v/>
      </c>
      <c r="P24" s="52" t="str">
        <f>IF($B24="","",IF('Team Offense'!C24=0,"",M24/'Team Offense'!C24))</f>
        <v/>
      </c>
    </row>
    <row r="25" spans="2:16" x14ac:dyDescent="0.2">
      <c r="B25" s="76" t="str">
        <f>'Team Offense'!B25</f>
        <v/>
      </c>
      <c r="C25" s="72" t="str">
        <f>IF($B25="","",SUMIFS(pbp_Runs,pbp_BatTeam,$B25,pbp_Inning,"1?"))</f>
        <v/>
      </c>
      <c r="D25" s="72" t="str">
        <f>IF($B25="","",SUMIFS(pbp_Runs,pbp_BatTeam,$B25,pbp_Inning,"2?"))</f>
        <v/>
      </c>
      <c r="E25" s="72" t="str">
        <f>IF($B25="","",SUMIFS(pbp_Runs,pbp_BatTeam,$B25,pbp_Inning,"3?"))</f>
        <v/>
      </c>
      <c r="F25" s="72" t="str">
        <f>IF($B25="","",SUMIFS(pbp_Runs,pbp_BatTeam,$B25,pbp_Inning,"4?"))</f>
        <v/>
      </c>
      <c r="G25" s="72" t="str">
        <f>IF($B25="","",SUMIFS(pbp_Runs,pbp_BatTeam,$B25,pbp_Inning,"5?"))</f>
        <v/>
      </c>
      <c r="H25" s="72" t="str">
        <f>IF($B25="","",SUMIFS(pbp_Runs,pbp_BatTeam,$B25,pbp_Inning,"6?"))</f>
        <v/>
      </c>
      <c r="I25" s="72" t="str">
        <f>IF($B25="","",SUMIFS(pbp_Runs,pbp_BatTeam,$B25,pbp_Inning,"7?"))</f>
        <v/>
      </c>
      <c r="J25" s="72" t="str">
        <f>IF($B25="","",SUMIFS(pbp_Runs,pbp_BatTeam,$B25,pbp_Inning,"8?"))</f>
        <v/>
      </c>
      <c r="K25" s="72" t="str">
        <f>IF($B25="","",SUMIFS(pbp_Runs,pbp_BatTeam,$B25,pbp_Inning,"9?"))</f>
        <v/>
      </c>
      <c r="L25" s="72" t="str">
        <f>IF($B25="","",SUMIFS(pbp_Runs,pbp_BatTeam,$B25,pbp_Inning,"1??"))</f>
        <v/>
      </c>
      <c r="M25" s="77" t="str">
        <f t="shared" si="0"/>
        <v/>
      </c>
      <c r="N25" s="78" t="str">
        <f>'Team Offense'!G25</f>
        <v/>
      </c>
      <c r="O25" s="78" t="str">
        <f>'Team Offense'!K25</f>
        <v/>
      </c>
      <c r="P25" s="52" t="str">
        <f>IF($B25="","",IF('Team Offense'!C25=0,"",M25/'Team Offense'!C25))</f>
        <v/>
      </c>
    </row>
    <row r="26" spans="2:16" x14ac:dyDescent="0.2">
      <c r="B26" s="76" t="str">
        <f>'Team Offense'!B26</f>
        <v/>
      </c>
      <c r="C26" s="72" t="str">
        <f>IF($B26="","",SUMIFS(pbp_Runs,pbp_BatTeam,$B26,pbp_Inning,"1?"))</f>
        <v/>
      </c>
      <c r="D26" s="72" t="str">
        <f>IF($B26="","",SUMIFS(pbp_Runs,pbp_BatTeam,$B26,pbp_Inning,"2?"))</f>
        <v/>
      </c>
      <c r="E26" s="72" t="str">
        <f>IF($B26="","",SUMIFS(pbp_Runs,pbp_BatTeam,$B26,pbp_Inning,"3?"))</f>
        <v/>
      </c>
      <c r="F26" s="72" t="str">
        <f>IF($B26="","",SUMIFS(pbp_Runs,pbp_BatTeam,$B26,pbp_Inning,"4?"))</f>
        <v/>
      </c>
      <c r="G26" s="72" t="str">
        <f>IF($B26="","",SUMIFS(pbp_Runs,pbp_BatTeam,$B26,pbp_Inning,"5?"))</f>
        <v/>
      </c>
      <c r="H26" s="72" t="str">
        <f>IF($B26="","",SUMIFS(pbp_Runs,pbp_BatTeam,$B26,pbp_Inning,"6?"))</f>
        <v/>
      </c>
      <c r="I26" s="72" t="str">
        <f>IF($B26="","",SUMIFS(pbp_Runs,pbp_BatTeam,$B26,pbp_Inning,"7?"))</f>
        <v/>
      </c>
      <c r="J26" s="72" t="str">
        <f>IF($B26="","",SUMIFS(pbp_Runs,pbp_BatTeam,$B26,pbp_Inning,"8?"))</f>
        <v/>
      </c>
      <c r="K26" s="72" t="str">
        <f>IF($B26="","",SUMIFS(pbp_Runs,pbp_BatTeam,$B26,pbp_Inning,"9?"))</f>
        <v/>
      </c>
      <c r="L26" s="72" t="str">
        <f>IF($B26="","",SUMIFS(pbp_Runs,pbp_BatTeam,$B26,pbp_Inning,"1??"))</f>
        <v/>
      </c>
      <c r="M26" s="77" t="str">
        <f t="shared" si="0"/>
        <v/>
      </c>
      <c r="N26" s="78" t="str">
        <f>'Team Offense'!G26</f>
        <v/>
      </c>
      <c r="O26" s="78" t="str">
        <f>'Team Offense'!K26</f>
        <v/>
      </c>
      <c r="P26" s="52" t="str">
        <f>IF($B26="","",IF('Team Offense'!C26=0,"",M26/'Team Offense'!C26))</f>
        <v/>
      </c>
    </row>
    <row r="27" spans="2:16" x14ac:dyDescent="0.2">
      <c r="B27" s="76" t="str">
        <f>'Team Offense'!B27</f>
        <v/>
      </c>
      <c r="C27" s="72" t="str">
        <f>IF($B27="","",SUMIFS(pbp_Runs,pbp_BatTeam,$B27,pbp_Inning,"1?"))</f>
        <v/>
      </c>
      <c r="D27" s="72" t="str">
        <f>IF($B27="","",SUMIFS(pbp_Runs,pbp_BatTeam,$B27,pbp_Inning,"2?"))</f>
        <v/>
      </c>
      <c r="E27" s="72" t="str">
        <f>IF($B27="","",SUMIFS(pbp_Runs,pbp_BatTeam,$B27,pbp_Inning,"3?"))</f>
        <v/>
      </c>
      <c r="F27" s="72" t="str">
        <f>IF($B27="","",SUMIFS(pbp_Runs,pbp_BatTeam,$B27,pbp_Inning,"4?"))</f>
        <v/>
      </c>
      <c r="G27" s="72" t="str">
        <f>IF($B27="","",SUMIFS(pbp_Runs,pbp_BatTeam,$B27,pbp_Inning,"5?"))</f>
        <v/>
      </c>
      <c r="H27" s="72" t="str">
        <f>IF($B27="","",SUMIFS(pbp_Runs,pbp_BatTeam,$B27,pbp_Inning,"6?"))</f>
        <v/>
      </c>
      <c r="I27" s="72" t="str">
        <f>IF($B27="","",SUMIFS(pbp_Runs,pbp_BatTeam,$B27,pbp_Inning,"7?"))</f>
        <v/>
      </c>
      <c r="J27" s="72" t="str">
        <f>IF($B27="","",SUMIFS(pbp_Runs,pbp_BatTeam,$B27,pbp_Inning,"8?"))</f>
        <v/>
      </c>
      <c r="K27" s="72" t="str">
        <f>IF($B27="","",SUMIFS(pbp_Runs,pbp_BatTeam,$B27,pbp_Inning,"9?"))</f>
        <v/>
      </c>
      <c r="L27" s="72" t="str">
        <f>IF($B27="","",SUMIFS(pbp_Runs,pbp_BatTeam,$B27,pbp_Inning,"1??"))</f>
        <v/>
      </c>
      <c r="M27" s="77" t="str">
        <f t="shared" si="0"/>
        <v/>
      </c>
      <c r="N27" s="78" t="str">
        <f>'Team Offense'!G27</f>
        <v/>
      </c>
      <c r="O27" s="78" t="str">
        <f>'Team Offense'!K27</f>
        <v/>
      </c>
      <c r="P27" s="52" t="str">
        <f>IF($B27="","",IF('Team Offense'!C27=0,"",M27/'Team Offense'!C27))</f>
        <v/>
      </c>
    </row>
    <row r="28" spans="2:16" x14ac:dyDescent="0.2">
      <c r="B28" s="76" t="str">
        <f>'Team Offense'!B28</f>
        <v/>
      </c>
      <c r="C28" s="72" t="str">
        <f>IF($B28="","",SUMIFS(pbp_Runs,pbp_BatTeam,$B28,pbp_Inning,"1?"))</f>
        <v/>
      </c>
      <c r="D28" s="72" t="str">
        <f>IF($B28="","",SUMIFS(pbp_Runs,pbp_BatTeam,$B28,pbp_Inning,"2?"))</f>
        <v/>
      </c>
      <c r="E28" s="72" t="str">
        <f>IF($B28="","",SUMIFS(pbp_Runs,pbp_BatTeam,$B28,pbp_Inning,"3?"))</f>
        <v/>
      </c>
      <c r="F28" s="72" t="str">
        <f>IF($B28="","",SUMIFS(pbp_Runs,pbp_BatTeam,$B28,pbp_Inning,"4?"))</f>
        <v/>
      </c>
      <c r="G28" s="72" t="str">
        <f>IF($B28="","",SUMIFS(pbp_Runs,pbp_BatTeam,$B28,pbp_Inning,"5?"))</f>
        <v/>
      </c>
      <c r="H28" s="72" t="str">
        <f>IF($B28="","",SUMIFS(pbp_Runs,pbp_BatTeam,$B28,pbp_Inning,"6?"))</f>
        <v/>
      </c>
      <c r="I28" s="72" t="str">
        <f>IF($B28="","",SUMIFS(pbp_Runs,pbp_BatTeam,$B28,pbp_Inning,"7?"))</f>
        <v/>
      </c>
      <c r="J28" s="72" t="str">
        <f>IF($B28="","",SUMIFS(pbp_Runs,pbp_BatTeam,$B28,pbp_Inning,"8?"))</f>
        <v/>
      </c>
      <c r="K28" s="72" t="str">
        <f>IF($B28="","",SUMIFS(pbp_Runs,pbp_BatTeam,$B28,pbp_Inning,"9?"))</f>
        <v/>
      </c>
      <c r="L28" s="72" t="str">
        <f>IF($B28="","",SUMIFS(pbp_Runs,pbp_BatTeam,$B28,pbp_Inning,"1??"))</f>
        <v/>
      </c>
      <c r="M28" s="77" t="str">
        <f t="shared" si="0"/>
        <v/>
      </c>
      <c r="N28" s="78" t="str">
        <f>'Team Offense'!G28</f>
        <v/>
      </c>
      <c r="O28" s="78" t="str">
        <f>'Team Offense'!K28</f>
        <v/>
      </c>
      <c r="P28" s="52" t="str">
        <f>IF($B28="","",IF('Team Offense'!C28=0,"",M28/'Team Offense'!C28))</f>
        <v/>
      </c>
    </row>
    <row r="29" spans="2:16" x14ac:dyDescent="0.2">
      <c r="B29" s="76" t="str">
        <f>'Team Offense'!B29</f>
        <v/>
      </c>
      <c r="C29" s="72" t="str">
        <f>IF($B29="","",SUMIFS(pbp_Runs,pbp_BatTeam,$B29,pbp_Inning,"1?"))</f>
        <v/>
      </c>
      <c r="D29" s="72" t="str">
        <f>IF($B29="","",SUMIFS(pbp_Runs,pbp_BatTeam,$B29,pbp_Inning,"2?"))</f>
        <v/>
      </c>
      <c r="E29" s="72" t="str">
        <f>IF($B29="","",SUMIFS(pbp_Runs,pbp_BatTeam,$B29,pbp_Inning,"3?"))</f>
        <v/>
      </c>
      <c r="F29" s="72" t="str">
        <f>IF($B29="","",SUMIFS(pbp_Runs,pbp_BatTeam,$B29,pbp_Inning,"4?"))</f>
        <v/>
      </c>
      <c r="G29" s="72" t="str">
        <f>IF($B29="","",SUMIFS(pbp_Runs,pbp_BatTeam,$B29,pbp_Inning,"5?"))</f>
        <v/>
      </c>
      <c r="H29" s="72" t="str">
        <f>IF($B29="","",SUMIFS(pbp_Runs,pbp_BatTeam,$B29,pbp_Inning,"6?"))</f>
        <v/>
      </c>
      <c r="I29" s="72" t="str">
        <f>IF($B29="","",SUMIFS(pbp_Runs,pbp_BatTeam,$B29,pbp_Inning,"7?"))</f>
        <v/>
      </c>
      <c r="J29" s="72" t="str">
        <f>IF($B29="","",SUMIFS(pbp_Runs,pbp_BatTeam,$B29,pbp_Inning,"8?"))</f>
        <v/>
      </c>
      <c r="K29" s="72" t="str">
        <f>IF($B29="","",SUMIFS(pbp_Runs,pbp_BatTeam,$B29,pbp_Inning,"9?"))</f>
        <v/>
      </c>
      <c r="L29" s="72" t="str">
        <f>IF($B29="","",SUMIFS(pbp_Runs,pbp_BatTeam,$B29,pbp_Inning,"1??"))</f>
        <v/>
      </c>
      <c r="M29" s="77" t="str">
        <f t="shared" si="0"/>
        <v/>
      </c>
      <c r="N29" s="78" t="str">
        <f>'Team Offense'!G29</f>
        <v/>
      </c>
      <c r="O29" s="78" t="str">
        <f>'Team Offense'!K29</f>
        <v/>
      </c>
      <c r="P29" s="52" t="str">
        <f>IF($B29="","",IF('Team Offense'!C29=0,"",M29/'Team Offense'!C29))</f>
        <v/>
      </c>
    </row>
    <row r="30" spans="2:16" x14ac:dyDescent="0.2">
      <c r="B30" s="76" t="str">
        <f>'Team Offense'!B30</f>
        <v/>
      </c>
      <c r="C30" s="72" t="str">
        <f>IF($B30="","",SUMIFS(pbp_Runs,pbp_BatTeam,$B30,pbp_Inning,"1?"))</f>
        <v/>
      </c>
      <c r="D30" s="72" t="str">
        <f>IF($B30="","",SUMIFS(pbp_Runs,pbp_BatTeam,$B30,pbp_Inning,"2?"))</f>
        <v/>
      </c>
      <c r="E30" s="72" t="str">
        <f>IF($B30="","",SUMIFS(pbp_Runs,pbp_BatTeam,$B30,pbp_Inning,"3?"))</f>
        <v/>
      </c>
      <c r="F30" s="72" t="str">
        <f>IF($B30="","",SUMIFS(pbp_Runs,pbp_BatTeam,$B30,pbp_Inning,"4?"))</f>
        <v/>
      </c>
      <c r="G30" s="72" t="str">
        <f>IF($B30="","",SUMIFS(pbp_Runs,pbp_BatTeam,$B30,pbp_Inning,"5?"))</f>
        <v/>
      </c>
      <c r="H30" s="72" t="str">
        <f>IF($B30="","",SUMIFS(pbp_Runs,pbp_BatTeam,$B30,pbp_Inning,"6?"))</f>
        <v/>
      </c>
      <c r="I30" s="72" t="str">
        <f>IF($B30="","",SUMIFS(pbp_Runs,pbp_BatTeam,$B30,pbp_Inning,"7?"))</f>
        <v/>
      </c>
      <c r="J30" s="72" t="str">
        <f>IF($B30="","",SUMIFS(pbp_Runs,pbp_BatTeam,$B30,pbp_Inning,"8?"))</f>
        <v/>
      </c>
      <c r="K30" s="72" t="str">
        <f>IF($B30="","",SUMIFS(pbp_Runs,pbp_BatTeam,$B30,pbp_Inning,"9?"))</f>
        <v/>
      </c>
      <c r="L30" s="72" t="str">
        <f>IF($B30="","",SUMIFS(pbp_Runs,pbp_BatTeam,$B30,pbp_Inning,"1??"))</f>
        <v/>
      </c>
      <c r="M30" s="77" t="str">
        <f t="shared" si="0"/>
        <v/>
      </c>
      <c r="N30" s="78" t="str">
        <f>'Team Offense'!G30</f>
        <v/>
      </c>
      <c r="O30" s="78" t="str">
        <f>'Team Offense'!K30</f>
        <v/>
      </c>
      <c r="P30" s="52" t="str">
        <f>IF($B30="","",IF('Team Offense'!C30=0,"",M30/'Team Offense'!C30))</f>
        <v/>
      </c>
    </row>
    <row r="31" spans="2:16" x14ac:dyDescent="0.2">
      <c r="B31" s="76" t="str">
        <f>'Team Offense'!B31</f>
        <v/>
      </c>
      <c r="C31" s="72" t="str">
        <f>IF($B31="","",SUMIFS(pbp_Runs,pbp_BatTeam,$B31,pbp_Inning,"1?"))</f>
        <v/>
      </c>
      <c r="D31" s="72" t="str">
        <f>IF($B31="","",SUMIFS(pbp_Runs,pbp_BatTeam,$B31,pbp_Inning,"2?"))</f>
        <v/>
      </c>
      <c r="E31" s="72" t="str">
        <f>IF($B31="","",SUMIFS(pbp_Runs,pbp_BatTeam,$B31,pbp_Inning,"3?"))</f>
        <v/>
      </c>
      <c r="F31" s="72" t="str">
        <f>IF($B31="","",SUMIFS(pbp_Runs,pbp_BatTeam,$B31,pbp_Inning,"4?"))</f>
        <v/>
      </c>
      <c r="G31" s="72" t="str">
        <f>IF($B31="","",SUMIFS(pbp_Runs,pbp_BatTeam,$B31,pbp_Inning,"5?"))</f>
        <v/>
      </c>
      <c r="H31" s="72" t="str">
        <f>IF($B31="","",SUMIFS(pbp_Runs,pbp_BatTeam,$B31,pbp_Inning,"6?"))</f>
        <v/>
      </c>
      <c r="I31" s="72" t="str">
        <f>IF($B31="","",SUMIFS(pbp_Runs,pbp_BatTeam,$B31,pbp_Inning,"7?"))</f>
        <v/>
      </c>
      <c r="J31" s="72" t="str">
        <f>IF($B31="","",SUMIFS(pbp_Runs,pbp_BatTeam,$B31,pbp_Inning,"8?"))</f>
        <v/>
      </c>
      <c r="K31" s="72" t="str">
        <f>IF($B31="","",SUMIFS(pbp_Runs,pbp_BatTeam,$B31,pbp_Inning,"9?"))</f>
        <v/>
      </c>
      <c r="L31" s="72" t="str">
        <f>IF($B31="","",SUMIFS(pbp_Runs,pbp_BatTeam,$B31,pbp_Inning,"1??"))</f>
        <v/>
      </c>
      <c r="M31" s="77" t="str">
        <f t="shared" si="0"/>
        <v/>
      </c>
      <c r="N31" s="78" t="str">
        <f>'Team Offense'!G31</f>
        <v/>
      </c>
      <c r="O31" s="78" t="str">
        <f>'Team Offense'!K31</f>
        <v/>
      </c>
      <c r="P31" s="52" t="str">
        <f>IF($B31="","",IF('Team Offense'!C31=0,"",M31/'Team Offense'!C31))</f>
        <v/>
      </c>
    </row>
    <row r="32" spans="2:16" x14ac:dyDescent="0.2">
      <c r="B32" s="76" t="str">
        <f>'Team Offense'!B32</f>
        <v/>
      </c>
      <c r="C32" s="72" t="str">
        <f>IF($B32="","",SUMIFS(pbp_Runs,pbp_BatTeam,$B32,pbp_Inning,"1?"))</f>
        <v/>
      </c>
      <c r="D32" s="72" t="str">
        <f>IF($B32="","",SUMIFS(pbp_Runs,pbp_BatTeam,$B32,pbp_Inning,"2?"))</f>
        <v/>
      </c>
      <c r="E32" s="72" t="str">
        <f>IF($B32="","",SUMIFS(pbp_Runs,pbp_BatTeam,$B32,pbp_Inning,"3?"))</f>
        <v/>
      </c>
      <c r="F32" s="72" t="str">
        <f>IF($B32="","",SUMIFS(pbp_Runs,pbp_BatTeam,$B32,pbp_Inning,"4?"))</f>
        <v/>
      </c>
      <c r="G32" s="72" t="str">
        <f>IF($B32="","",SUMIFS(pbp_Runs,pbp_BatTeam,$B32,pbp_Inning,"5?"))</f>
        <v/>
      </c>
      <c r="H32" s="72" t="str">
        <f>IF($B32="","",SUMIFS(pbp_Runs,pbp_BatTeam,$B32,pbp_Inning,"6?"))</f>
        <v/>
      </c>
      <c r="I32" s="72" t="str">
        <f>IF($B32="","",SUMIFS(pbp_Runs,pbp_BatTeam,$B32,pbp_Inning,"7?"))</f>
        <v/>
      </c>
      <c r="J32" s="72" t="str">
        <f>IF($B32="","",SUMIFS(pbp_Runs,pbp_BatTeam,$B32,pbp_Inning,"8?"))</f>
        <v/>
      </c>
      <c r="K32" s="72" t="str">
        <f>IF($B32="","",SUMIFS(pbp_Runs,pbp_BatTeam,$B32,pbp_Inning,"9?"))</f>
        <v/>
      </c>
      <c r="L32" s="72" t="str">
        <f>IF($B32="","",SUMIFS(pbp_Runs,pbp_BatTeam,$B32,pbp_Inning,"1??"))</f>
        <v/>
      </c>
      <c r="M32" s="77" t="str">
        <f t="shared" si="0"/>
        <v/>
      </c>
      <c r="N32" s="78" t="str">
        <f>'Team Offense'!G32</f>
        <v/>
      </c>
      <c r="O32" s="78" t="str">
        <f>'Team Offense'!K32</f>
        <v/>
      </c>
      <c r="P32" s="52" t="str">
        <f>IF($B32="","",IF('Team Offense'!C32=0,"",M32/'Team Offense'!C32))</f>
        <v/>
      </c>
    </row>
    <row r="33" spans="2:16" x14ac:dyDescent="0.2">
      <c r="B33" s="76" t="str">
        <f>'Team Offense'!B33</f>
        <v/>
      </c>
      <c r="C33" s="72" t="str">
        <f>IF($B33="","",SUMIFS(pbp_Runs,pbp_BatTeam,$B33,pbp_Inning,"1?"))</f>
        <v/>
      </c>
      <c r="D33" s="72" t="str">
        <f>IF($B33="","",SUMIFS(pbp_Runs,pbp_BatTeam,$B33,pbp_Inning,"2?"))</f>
        <v/>
      </c>
      <c r="E33" s="72" t="str">
        <f>IF($B33="","",SUMIFS(pbp_Runs,pbp_BatTeam,$B33,pbp_Inning,"3?"))</f>
        <v/>
      </c>
      <c r="F33" s="72" t="str">
        <f>IF($B33="","",SUMIFS(pbp_Runs,pbp_BatTeam,$B33,pbp_Inning,"4?"))</f>
        <v/>
      </c>
      <c r="G33" s="72" t="str">
        <f>IF($B33="","",SUMIFS(pbp_Runs,pbp_BatTeam,$B33,pbp_Inning,"5?"))</f>
        <v/>
      </c>
      <c r="H33" s="72" t="str">
        <f>IF($B33="","",SUMIFS(pbp_Runs,pbp_BatTeam,$B33,pbp_Inning,"6?"))</f>
        <v/>
      </c>
      <c r="I33" s="72" t="str">
        <f>IF($B33="","",SUMIFS(pbp_Runs,pbp_BatTeam,$B33,pbp_Inning,"7?"))</f>
        <v/>
      </c>
      <c r="J33" s="72" t="str">
        <f>IF($B33="","",SUMIFS(pbp_Runs,pbp_BatTeam,$B33,pbp_Inning,"8?"))</f>
        <v/>
      </c>
      <c r="K33" s="72" t="str">
        <f>IF($B33="","",SUMIFS(pbp_Runs,pbp_BatTeam,$B33,pbp_Inning,"9?"))</f>
        <v/>
      </c>
      <c r="L33" s="72" t="str">
        <f>IF($B33="","",SUMIFS(pbp_Runs,pbp_BatTeam,$B33,pbp_Inning,"1??"))</f>
        <v/>
      </c>
      <c r="M33" s="77" t="str">
        <f t="shared" si="0"/>
        <v/>
      </c>
      <c r="N33" s="78" t="str">
        <f>'Team Offense'!G33</f>
        <v/>
      </c>
      <c r="O33" s="78" t="str">
        <f>'Team Offense'!K33</f>
        <v/>
      </c>
      <c r="P33" s="52" t="str">
        <f>IF($B33="","",IF('Team Offense'!C33=0,"",M33/'Team Offense'!C33))</f>
        <v/>
      </c>
    </row>
    <row r="34" spans="2:16" x14ac:dyDescent="0.2">
      <c r="B34" s="76" t="str">
        <f>'Team Offense'!B34</f>
        <v/>
      </c>
      <c r="C34" s="72" t="str">
        <f>IF($B34="","",SUMIFS(pbp_Runs,pbp_BatTeam,$B34,pbp_Inning,"1?"))</f>
        <v/>
      </c>
      <c r="D34" s="72" t="str">
        <f>IF($B34="","",SUMIFS(pbp_Runs,pbp_BatTeam,$B34,pbp_Inning,"2?"))</f>
        <v/>
      </c>
      <c r="E34" s="72" t="str">
        <f>IF($B34="","",SUMIFS(pbp_Runs,pbp_BatTeam,$B34,pbp_Inning,"3?"))</f>
        <v/>
      </c>
      <c r="F34" s="72" t="str">
        <f>IF($B34="","",SUMIFS(pbp_Runs,pbp_BatTeam,$B34,pbp_Inning,"4?"))</f>
        <v/>
      </c>
      <c r="G34" s="72" t="str">
        <f>IF($B34="","",SUMIFS(pbp_Runs,pbp_BatTeam,$B34,pbp_Inning,"5?"))</f>
        <v/>
      </c>
      <c r="H34" s="72" t="str">
        <f>IF($B34="","",SUMIFS(pbp_Runs,pbp_BatTeam,$B34,pbp_Inning,"6?"))</f>
        <v/>
      </c>
      <c r="I34" s="72" t="str">
        <f>IF($B34="","",SUMIFS(pbp_Runs,pbp_BatTeam,$B34,pbp_Inning,"7?"))</f>
        <v/>
      </c>
      <c r="J34" s="72" t="str">
        <f>IF($B34="","",SUMIFS(pbp_Runs,pbp_BatTeam,$B34,pbp_Inning,"8?"))</f>
        <v/>
      </c>
      <c r="K34" s="72" t="str">
        <f>IF($B34="","",SUMIFS(pbp_Runs,pbp_BatTeam,$B34,pbp_Inning,"9?"))</f>
        <v/>
      </c>
      <c r="L34" s="72" t="str">
        <f>IF($B34="","",SUMIFS(pbp_Runs,pbp_BatTeam,$B34,pbp_Inning,"1??"))</f>
        <v/>
      </c>
      <c r="M34" s="77" t="str">
        <f t="shared" si="0"/>
        <v/>
      </c>
      <c r="N34" s="78" t="str">
        <f>'Team Offense'!G34</f>
        <v/>
      </c>
      <c r="O34" s="78" t="str">
        <f>'Team Offense'!K34</f>
        <v/>
      </c>
      <c r="P34" s="52" t="str">
        <f>IF($B34="","",IF('Team Offense'!C34=0,"",M34/'Team Offense'!C34))</f>
        <v/>
      </c>
    </row>
    <row r="35" spans="2:16" x14ac:dyDescent="0.2">
      <c r="B35" s="76" t="str">
        <f>'Team Offense'!B35</f>
        <v/>
      </c>
      <c r="C35" s="72" t="str">
        <f>IF($B35="","",SUMIFS(pbp_Runs,pbp_BatTeam,$B35,pbp_Inning,"1?"))</f>
        <v/>
      </c>
      <c r="D35" s="72" t="str">
        <f>IF($B35="","",SUMIFS(pbp_Runs,pbp_BatTeam,$B35,pbp_Inning,"2?"))</f>
        <v/>
      </c>
      <c r="E35" s="72" t="str">
        <f>IF($B35="","",SUMIFS(pbp_Runs,pbp_BatTeam,$B35,pbp_Inning,"3?"))</f>
        <v/>
      </c>
      <c r="F35" s="72" t="str">
        <f>IF($B35="","",SUMIFS(pbp_Runs,pbp_BatTeam,$B35,pbp_Inning,"4?"))</f>
        <v/>
      </c>
      <c r="G35" s="72" t="str">
        <f>IF($B35="","",SUMIFS(pbp_Runs,pbp_BatTeam,$B35,pbp_Inning,"5?"))</f>
        <v/>
      </c>
      <c r="H35" s="72" t="str">
        <f>IF($B35="","",SUMIFS(pbp_Runs,pbp_BatTeam,$B35,pbp_Inning,"6?"))</f>
        <v/>
      </c>
      <c r="I35" s="72" t="str">
        <f>IF($B35="","",SUMIFS(pbp_Runs,pbp_BatTeam,$B35,pbp_Inning,"7?"))</f>
        <v/>
      </c>
      <c r="J35" s="72" t="str">
        <f>IF($B35="","",SUMIFS(pbp_Runs,pbp_BatTeam,$B35,pbp_Inning,"8?"))</f>
        <v/>
      </c>
      <c r="K35" s="72" t="str">
        <f>IF($B35="","",SUMIFS(pbp_Runs,pbp_BatTeam,$B35,pbp_Inning,"9?"))</f>
        <v/>
      </c>
      <c r="L35" s="72" t="str">
        <f>IF($B35="","",SUMIFS(pbp_Runs,pbp_BatTeam,$B35,pbp_Inning,"1??"))</f>
        <v/>
      </c>
      <c r="M35" s="77" t="str">
        <f t="shared" si="0"/>
        <v/>
      </c>
      <c r="N35" s="78" t="str">
        <f>'Team Offense'!G35</f>
        <v/>
      </c>
      <c r="O35" s="78" t="str">
        <f>'Team Offense'!K35</f>
        <v/>
      </c>
      <c r="P35" s="52" t="str">
        <f>IF($B35="","",IF('Team Offense'!C35=0,"",M35/'Team Offense'!C35))</f>
        <v/>
      </c>
    </row>
    <row r="37" spans="2:16" x14ac:dyDescent="0.2">
      <c r="B37" s="38" t="s">
        <v>446</v>
      </c>
    </row>
  </sheetData>
  <conditionalFormatting sqref="C6:K35">
    <cfRule type="colorScale" priority="2">
      <colorScale>
        <cfvo type="num" val="0"/>
        <cfvo type="max"/>
        <color rgb="FFFFFFFF"/>
        <color rgb="FFF4B183"/>
      </colorScale>
    </cfRule>
  </conditionalFormatting>
  <pageMargins left="0.75" right="0.75" top="1" bottom="1" header="0.511811023622047" footer="0.511811023622047"/>
  <pageSetup fitToHeight="0" orientation="landscape"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6A6A6"/>
    <pageSetUpPr fitToPage="1"/>
  </sheetPr>
  <dimension ref="B2:P62"/>
  <sheetViews>
    <sheetView showGridLines="0" zoomScaleNormal="100" workbookViewId="0">
      <pane xSplit="2" ySplit="5" topLeftCell="C6" activePane="bottomRight" state="frozen"/>
      <selection pane="topRight"/>
      <selection pane="bottomLeft"/>
      <selection pane="bottomRight"/>
    </sheetView>
  </sheetViews>
  <sheetFormatPr baseColWidth="10" defaultColWidth="8.6640625" defaultRowHeight="15" x14ac:dyDescent="0.2"/>
  <cols>
    <col min="1" max="1" width="3" customWidth="1"/>
    <col min="2" max="2" width="34" customWidth="1"/>
    <col min="3" max="16" width="6.5" customWidth="1"/>
  </cols>
  <sheetData>
    <row r="2" spans="2:16" ht="21" x14ac:dyDescent="0.25">
      <c r="B2" s="37" t="s">
        <v>447</v>
      </c>
    </row>
    <row r="3" spans="2:16" x14ac:dyDescent="0.2">
      <c r="B3" s="38" t="s">
        <v>448</v>
      </c>
    </row>
    <row r="5" spans="2:16" ht="31.5" customHeight="1" x14ac:dyDescent="0.2">
      <c r="B5" s="43" t="s">
        <v>449</v>
      </c>
      <c r="C5" s="43" t="s">
        <v>310</v>
      </c>
      <c r="D5" s="43" t="s">
        <v>317</v>
      </c>
      <c r="E5" s="43" t="s">
        <v>318</v>
      </c>
      <c r="F5" s="43" t="s">
        <v>25</v>
      </c>
      <c r="G5" s="43" t="s">
        <v>26</v>
      </c>
      <c r="H5" s="43" t="s">
        <v>27</v>
      </c>
      <c r="I5" s="43" t="s">
        <v>319</v>
      </c>
      <c r="J5" s="43" t="s">
        <v>321</v>
      </c>
      <c r="K5" s="43" t="s">
        <v>322</v>
      </c>
      <c r="L5" s="43" t="s">
        <v>323</v>
      </c>
      <c r="M5" s="43" t="s">
        <v>325</v>
      </c>
      <c r="N5" s="43" t="s">
        <v>326</v>
      </c>
      <c r="O5" s="43" t="s">
        <v>327</v>
      </c>
      <c r="P5" s="43" t="s">
        <v>385</v>
      </c>
    </row>
    <row r="6" spans="2:16" x14ac:dyDescent="0.2">
      <c r="B6" s="79" t="s">
        <v>67</v>
      </c>
      <c r="C6" s="80">
        <v>1</v>
      </c>
      <c r="D6" s="80">
        <v>1</v>
      </c>
      <c r="E6" s="80">
        <v>1</v>
      </c>
      <c r="F6" s="80">
        <v>1</v>
      </c>
      <c r="G6" s="80">
        <v>0</v>
      </c>
      <c r="H6" s="80">
        <v>0</v>
      </c>
      <c r="I6" s="80">
        <v>0</v>
      </c>
      <c r="J6" s="80">
        <v>0</v>
      </c>
      <c r="K6" s="80">
        <v>0</v>
      </c>
      <c r="L6" s="80">
        <v>0</v>
      </c>
      <c r="M6" s="80">
        <v>0</v>
      </c>
      <c r="N6" s="80">
        <v>0</v>
      </c>
      <c r="O6" s="80">
        <v>0</v>
      </c>
      <c r="P6" s="80">
        <v>0</v>
      </c>
    </row>
    <row r="7" spans="2:16" x14ac:dyDescent="0.2">
      <c r="B7" s="79" t="s">
        <v>140</v>
      </c>
      <c r="C7" s="80">
        <v>1</v>
      </c>
      <c r="D7" s="80">
        <v>1</v>
      </c>
      <c r="E7" s="80">
        <v>1</v>
      </c>
      <c r="F7" s="80">
        <v>0</v>
      </c>
      <c r="G7" s="80">
        <v>1</v>
      </c>
      <c r="H7" s="80">
        <v>0</v>
      </c>
      <c r="I7" s="80">
        <v>0</v>
      </c>
      <c r="J7" s="80">
        <v>0</v>
      </c>
      <c r="K7" s="80">
        <v>0</v>
      </c>
      <c r="L7" s="80">
        <v>0</v>
      </c>
      <c r="M7" s="80">
        <v>0</v>
      </c>
      <c r="N7" s="80">
        <v>0</v>
      </c>
      <c r="O7" s="80">
        <v>0</v>
      </c>
      <c r="P7" s="80">
        <v>0</v>
      </c>
    </row>
    <row r="8" spans="2:16" x14ac:dyDescent="0.2">
      <c r="B8" s="79" t="s">
        <v>450</v>
      </c>
      <c r="C8" s="80">
        <v>1</v>
      </c>
      <c r="D8" s="80">
        <v>1</v>
      </c>
      <c r="E8" s="80">
        <v>1</v>
      </c>
      <c r="F8" s="80">
        <v>0</v>
      </c>
      <c r="G8" s="80">
        <v>0</v>
      </c>
      <c r="H8" s="80">
        <v>1</v>
      </c>
      <c r="I8" s="80">
        <v>0</v>
      </c>
      <c r="J8" s="80">
        <v>0</v>
      </c>
      <c r="K8" s="80">
        <v>0</v>
      </c>
      <c r="L8" s="80">
        <v>0</v>
      </c>
      <c r="M8" s="80">
        <v>0</v>
      </c>
      <c r="N8" s="80">
        <v>0</v>
      </c>
      <c r="O8" s="80">
        <v>0</v>
      </c>
      <c r="P8" s="80">
        <v>0</v>
      </c>
    </row>
    <row r="9" spans="2:16" x14ac:dyDescent="0.2">
      <c r="B9" s="79" t="s">
        <v>132</v>
      </c>
      <c r="C9" s="80">
        <v>1</v>
      </c>
      <c r="D9" s="80">
        <v>1</v>
      </c>
      <c r="E9" s="80">
        <v>1</v>
      </c>
      <c r="F9" s="80">
        <v>0</v>
      </c>
      <c r="G9" s="80">
        <v>0</v>
      </c>
      <c r="H9" s="80">
        <v>0</v>
      </c>
      <c r="I9" s="80">
        <v>1</v>
      </c>
      <c r="J9" s="80">
        <v>0</v>
      </c>
      <c r="K9" s="80">
        <v>0</v>
      </c>
      <c r="L9" s="80">
        <v>0</v>
      </c>
      <c r="M9" s="80">
        <v>0</v>
      </c>
      <c r="N9" s="80">
        <v>0</v>
      </c>
      <c r="O9" s="80">
        <v>0</v>
      </c>
      <c r="P9" s="80">
        <v>0</v>
      </c>
    </row>
    <row r="10" spans="2:16" x14ac:dyDescent="0.2">
      <c r="B10" s="79" t="s">
        <v>104</v>
      </c>
      <c r="C10" s="80">
        <v>1</v>
      </c>
      <c r="D10" s="80">
        <v>0</v>
      </c>
      <c r="E10" s="80">
        <v>0</v>
      </c>
      <c r="F10" s="80">
        <v>0</v>
      </c>
      <c r="G10" s="80">
        <v>0</v>
      </c>
      <c r="H10" s="80">
        <v>0</v>
      </c>
      <c r="I10" s="80">
        <v>0</v>
      </c>
      <c r="J10" s="80">
        <v>1</v>
      </c>
      <c r="K10" s="80">
        <v>0</v>
      </c>
      <c r="L10" s="80">
        <v>0</v>
      </c>
      <c r="M10" s="80">
        <v>0</v>
      </c>
      <c r="N10" s="80">
        <v>0</v>
      </c>
      <c r="O10" s="80">
        <v>0</v>
      </c>
      <c r="P10" s="80">
        <v>0</v>
      </c>
    </row>
    <row r="11" spans="2:16" x14ac:dyDescent="0.2">
      <c r="B11" s="79" t="s">
        <v>130</v>
      </c>
      <c r="C11" s="80">
        <v>1</v>
      </c>
      <c r="D11" s="80">
        <v>0</v>
      </c>
      <c r="E11" s="80">
        <v>0</v>
      </c>
      <c r="F11" s="80">
        <v>0</v>
      </c>
      <c r="G11" s="80">
        <v>0</v>
      </c>
      <c r="H11" s="80">
        <v>0</v>
      </c>
      <c r="I11" s="80">
        <v>0</v>
      </c>
      <c r="J11" s="80">
        <v>1</v>
      </c>
      <c r="K11" s="80">
        <v>1</v>
      </c>
      <c r="L11" s="80">
        <v>0</v>
      </c>
      <c r="M11" s="80">
        <v>0</v>
      </c>
      <c r="N11" s="80">
        <v>0</v>
      </c>
      <c r="O11" s="80">
        <v>0</v>
      </c>
      <c r="P11" s="80">
        <v>0</v>
      </c>
    </row>
    <row r="12" spans="2:16" x14ac:dyDescent="0.2">
      <c r="B12" s="79" t="s">
        <v>154</v>
      </c>
      <c r="C12" s="80">
        <v>1</v>
      </c>
      <c r="D12" s="80">
        <v>0</v>
      </c>
      <c r="E12" s="80">
        <v>0</v>
      </c>
      <c r="F12" s="80">
        <v>0</v>
      </c>
      <c r="G12" s="80">
        <v>0</v>
      </c>
      <c r="H12" s="80">
        <v>0</v>
      </c>
      <c r="I12" s="80">
        <v>0</v>
      </c>
      <c r="J12" s="80">
        <v>0</v>
      </c>
      <c r="K12" s="80">
        <v>0</v>
      </c>
      <c r="L12" s="80">
        <v>1</v>
      </c>
      <c r="M12" s="80">
        <v>0</v>
      </c>
      <c r="N12" s="80">
        <v>0</v>
      </c>
      <c r="O12" s="80">
        <v>0</v>
      </c>
      <c r="P12" s="80">
        <v>0</v>
      </c>
    </row>
    <row r="13" spans="2:16" x14ac:dyDescent="0.2">
      <c r="B13" s="79" t="s">
        <v>90</v>
      </c>
      <c r="C13" s="80">
        <v>1</v>
      </c>
      <c r="D13" s="80">
        <v>1</v>
      </c>
      <c r="E13" s="80">
        <v>0</v>
      </c>
      <c r="F13" s="80">
        <v>0</v>
      </c>
      <c r="G13" s="80">
        <v>0</v>
      </c>
      <c r="H13" s="80">
        <v>0</v>
      </c>
      <c r="I13" s="80">
        <v>0</v>
      </c>
      <c r="J13" s="80">
        <v>0</v>
      </c>
      <c r="K13" s="80">
        <v>0</v>
      </c>
      <c r="L13" s="80">
        <v>0</v>
      </c>
      <c r="M13" s="80">
        <v>0</v>
      </c>
      <c r="N13" s="80">
        <v>0</v>
      </c>
      <c r="O13" s="80">
        <v>0</v>
      </c>
      <c r="P13" s="80">
        <v>0</v>
      </c>
    </row>
    <row r="14" spans="2:16" x14ac:dyDescent="0.2">
      <c r="B14" s="79" t="s">
        <v>451</v>
      </c>
      <c r="C14" s="80">
        <v>1</v>
      </c>
      <c r="D14" s="80">
        <v>1</v>
      </c>
      <c r="E14" s="80">
        <v>0</v>
      </c>
      <c r="F14" s="80">
        <v>0</v>
      </c>
      <c r="G14" s="80">
        <v>0</v>
      </c>
      <c r="H14" s="80">
        <v>0</v>
      </c>
      <c r="I14" s="80">
        <v>0</v>
      </c>
      <c r="J14" s="80">
        <v>0</v>
      </c>
      <c r="K14" s="80">
        <v>0</v>
      </c>
      <c r="L14" s="80">
        <v>0</v>
      </c>
      <c r="M14" s="80">
        <v>0</v>
      </c>
      <c r="N14" s="80">
        <v>0</v>
      </c>
      <c r="O14" s="80">
        <v>1</v>
      </c>
      <c r="P14" s="80">
        <v>0</v>
      </c>
    </row>
    <row r="15" spans="2:16" x14ac:dyDescent="0.2">
      <c r="B15" s="79" t="s">
        <v>452</v>
      </c>
      <c r="C15" s="80">
        <v>1</v>
      </c>
      <c r="D15" s="80">
        <v>1</v>
      </c>
      <c r="E15" s="80">
        <v>0</v>
      </c>
      <c r="F15" s="80">
        <v>0</v>
      </c>
      <c r="G15" s="80">
        <v>0</v>
      </c>
      <c r="H15" s="80">
        <v>0</v>
      </c>
      <c r="I15" s="80">
        <v>0</v>
      </c>
      <c r="J15" s="80">
        <v>0</v>
      </c>
      <c r="K15" s="80">
        <v>0</v>
      </c>
      <c r="L15" s="80">
        <v>0</v>
      </c>
      <c r="M15" s="80">
        <v>0</v>
      </c>
      <c r="N15" s="80">
        <v>0</v>
      </c>
      <c r="O15" s="80">
        <v>1</v>
      </c>
      <c r="P15" s="80">
        <v>0</v>
      </c>
    </row>
    <row r="16" spans="2:16" x14ac:dyDescent="0.2">
      <c r="B16" s="79" t="s">
        <v>71</v>
      </c>
      <c r="C16" s="80">
        <v>1</v>
      </c>
      <c r="D16" s="80">
        <v>1</v>
      </c>
      <c r="E16" s="80">
        <v>0</v>
      </c>
      <c r="F16" s="80">
        <v>0</v>
      </c>
      <c r="G16" s="80">
        <v>0</v>
      </c>
      <c r="H16" s="80">
        <v>0</v>
      </c>
      <c r="I16" s="80">
        <v>0</v>
      </c>
      <c r="J16" s="80">
        <v>0</v>
      </c>
      <c r="K16" s="80">
        <v>0</v>
      </c>
      <c r="L16" s="80">
        <v>0</v>
      </c>
      <c r="M16" s="80">
        <v>0</v>
      </c>
      <c r="N16" s="80">
        <v>0</v>
      </c>
      <c r="O16" s="80">
        <v>0</v>
      </c>
      <c r="P16" s="80">
        <v>0</v>
      </c>
    </row>
    <row r="17" spans="2:16" x14ac:dyDescent="0.2">
      <c r="B17" s="79" t="s">
        <v>76</v>
      </c>
      <c r="C17" s="80">
        <v>1</v>
      </c>
      <c r="D17" s="80">
        <v>1</v>
      </c>
      <c r="E17" s="80">
        <v>0</v>
      </c>
      <c r="F17" s="80">
        <v>0</v>
      </c>
      <c r="G17" s="80">
        <v>0</v>
      </c>
      <c r="H17" s="80">
        <v>0</v>
      </c>
      <c r="I17" s="80">
        <v>0</v>
      </c>
      <c r="J17" s="80">
        <v>0</v>
      </c>
      <c r="K17" s="80">
        <v>0</v>
      </c>
      <c r="L17" s="80">
        <v>0</v>
      </c>
      <c r="M17" s="80">
        <v>0</v>
      </c>
      <c r="N17" s="80">
        <v>0</v>
      </c>
      <c r="O17" s="80">
        <v>0</v>
      </c>
      <c r="P17" s="80">
        <v>0</v>
      </c>
    </row>
    <row r="18" spans="2:16" x14ac:dyDescent="0.2">
      <c r="B18" s="79" t="s">
        <v>122</v>
      </c>
      <c r="C18" s="80">
        <v>1</v>
      </c>
      <c r="D18" s="80">
        <v>1</v>
      </c>
      <c r="E18" s="80">
        <v>0</v>
      </c>
      <c r="F18" s="80">
        <v>0</v>
      </c>
      <c r="G18" s="80">
        <v>0</v>
      </c>
      <c r="H18" s="80">
        <v>0</v>
      </c>
      <c r="I18" s="80">
        <v>0</v>
      </c>
      <c r="J18" s="80">
        <v>0</v>
      </c>
      <c r="K18" s="80">
        <v>0</v>
      </c>
      <c r="L18" s="80">
        <v>0</v>
      </c>
      <c r="M18" s="80">
        <v>0</v>
      </c>
      <c r="N18" s="80">
        <v>0</v>
      </c>
      <c r="O18" s="80">
        <v>0</v>
      </c>
      <c r="P18" s="80">
        <v>0</v>
      </c>
    </row>
    <row r="19" spans="2:16" x14ac:dyDescent="0.2">
      <c r="B19" s="79" t="s">
        <v>109</v>
      </c>
      <c r="C19" s="80">
        <v>1</v>
      </c>
      <c r="D19" s="80">
        <v>1</v>
      </c>
      <c r="E19" s="80">
        <v>0</v>
      </c>
      <c r="F19" s="80">
        <v>0</v>
      </c>
      <c r="G19" s="80">
        <v>0</v>
      </c>
      <c r="H19" s="80">
        <v>0</v>
      </c>
      <c r="I19" s="80">
        <v>0</v>
      </c>
      <c r="J19" s="80">
        <v>0</v>
      </c>
      <c r="K19" s="80">
        <v>0</v>
      </c>
      <c r="L19" s="80">
        <v>0</v>
      </c>
      <c r="M19" s="80">
        <v>0</v>
      </c>
      <c r="N19" s="80">
        <v>0</v>
      </c>
      <c r="O19" s="80">
        <v>0</v>
      </c>
      <c r="P19" s="80">
        <v>0</v>
      </c>
    </row>
    <row r="20" spans="2:16" x14ac:dyDescent="0.2">
      <c r="B20" s="79" t="s">
        <v>453</v>
      </c>
      <c r="C20" s="80">
        <v>1</v>
      </c>
      <c r="D20" s="80">
        <v>1</v>
      </c>
      <c r="E20" s="80">
        <v>0</v>
      </c>
      <c r="F20" s="80">
        <v>0</v>
      </c>
      <c r="G20" s="80">
        <v>0</v>
      </c>
      <c r="H20" s="80">
        <v>0</v>
      </c>
      <c r="I20" s="80">
        <v>0</v>
      </c>
      <c r="J20" s="80">
        <v>0</v>
      </c>
      <c r="K20" s="80">
        <v>0</v>
      </c>
      <c r="L20" s="80">
        <v>0</v>
      </c>
      <c r="M20" s="80">
        <v>0</v>
      </c>
      <c r="N20" s="80">
        <v>0</v>
      </c>
      <c r="O20" s="80">
        <v>0</v>
      </c>
      <c r="P20" s="80">
        <v>0</v>
      </c>
    </row>
    <row r="21" spans="2:16" x14ac:dyDescent="0.2">
      <c r="B21" s="79" t="s">
        <v>454</v>
      </c>
      <c r="C21" s="80">
        <v>1</v>
      </c>
      <c r="D21" s="80">
        <v>1</v>
      </c>
      <c r="E21" s="80">
        <v>0</v>
      </c>
      <c r="F21" s="80">
        <v>0</v>
      </c>
      <c r="G21" s="80">
        <v>0</v>
      </c>
      <c r="H21" s="80">
        <v>0</v>
      </c>
      <c r="I21" s="80">
        <v>0</v>
      </c>
      <c r="J21" s="80">
        <v>0</v>
      </c>
      <c r="K21" s="80">
        <v>0</v>
      </c>
      <c r="L21" s="80">
        <v>0</v>
      </c>
      <c r="M21" s="80">
        <v>0</v>
      </c>
      <c r="N21" s="80">
        <v>0</v>
      </c>
      <c r="O21" s="80">
        <v>0</v>
      </c>
      <c r="P21" s="80">
        <v>0</v>
      </c>
    </row>
    <row r="22" spans="2:16" x14ac:dyDescent="0.2">
      <c r="B22" s="79" t="s">
        <v>455</v>
      </c>
      <c r="C22" s="80">
        <v>1</v>
      </c>
      <c r="D22" s="80">
        <v>1</v>
      </c>
      <c r="E22" s="80">
        <v>0</v>
      </c>
      <c r="F22" s="80">
        <v>0</v>
      </c>
      <c r="G22" s="80">
        <v>0</v>
      </c>
      <c r="H22" s="80">
        <v>0</v>
      </c>
      <c r="I22" s="80">
        <v>0</v>
      </c>
      <c r="J22" s="80">
        <v>0</v>
      </c>
      <c r="K22" s="80">
        <v>0</v>
      </c>
      <c r="L22" s="80">
        <v>0</v>
      </c>
      <c r="M22" s="80">
        <v>0</v>
      </c>
      <c r="N22" s="80">
        <v>0</v>
      </c>
      <c r="O22" s="80">
        <v>0</v>
      </c>
      <c r="P22" s="80">
        <v>0</v>
      </c>
    </row>
    <row r="23" spans="2:16" x14ac:dyDescent="0.2">
      <c r="B23" s="79" t="s">
        <v>182</v>
      </c>
      <c r="C23" s="80">
        <v>1</v>
      </c>
      <c r="D23" s="80">
        <v>1</v>
      </c>
      <c r="E23" s="80">
        <v>0</v>
      </c>
      <c r="F23" s="80">
        <v>0</v>
      </c>
      <c r="G23" s="80">
        <v>0</v>
      </c>
      <c r="H23" s="80">
        <v>0</v>
      </c>
      <c r="I23" s="80">
        <v>0</v>
      </c>
      <c r="J23" s="80">
        <v>0</v>
      </c>
      <c r="K23" s="80">
        <v>0</v>
      </c>
      <c r="L23" s="80">
        <v>0</v>
      </c>
      <c r="M23" s="80">
        <v>0</v>
      </c>
      <c r="N23" s="80">
        <v>0</v>
      </c>
      <c r="O23" s="80">
        <v>0</v>
      </c>
      <c r="P23" s="80">
        <v>0</v>
      </c>
    </row>
    <row r="24" spans="2:16" x14ac:dyDescent="0.2">
      <c r="B24" s="79" t="s">
        <v>456</v>
      </c>
      <c r="C24" s="80">
        <v>1</v>
      </c>
      <c r="D24" s="80">
        <v>1</v>
      </c>
      <c r="E24" s="80">
        <v>0</v>
      </c>
      <c r="F24" s="80">
        <v>0</v>
      </c>
      <c r="G24" s="80">
        <v>0</v>
      </c>
      <c r="H24" s="80">
        <v>0</v>
      </c>
      <c r="I24" s="80">
        <v>0</v>
      </c>
      <c r="J24" s="80">
        <v>0</v>
      </c>
      <c r="K24" s="80">
        <v>0</v>
      </c>
      <c r="L24" s="80">
        <v>0</v>
      </c>
      <c r="M24" s="80">
        <v>0</v>
      </c>
      <c r="N24" s="80">
        <v>0</v>
      </c>
      <c r="O24" s="80">
        <v>0</v>
      </c>
      <c r="P24" s="80">
        <v>0</v>
      </c>
    </row>
    <row r="25" spans="2:16" x14ac:dyDescent="0.2">
      <c r="B25" s="79" t="s">
        <v>457</v>
      </c>
      <c r="C25" s="80">
        <v>1</v>
      </c>
      <c r="D25" s="80">
        <v>1</v>
      </c>
      <c r="E25" s="80">
        <v>0</v>
      </c>
      <c r="F25" s="80">
        <v>0</v>
      </c>
      <c r="G25" s="80">
        <v>0</v>
      </c>
      <c r="H25" s="80">
        <v>0</v>
      </c>
      <c r="I25" s="80">
        <v>0</v>
      </c>
      <c r="J25" s="80">
        <v>0</v>
      </c>
      <c r="K25" s="80">
        <v>0</v>
      </c>
      <c r="L25" s="80">
        <v>0</v>
      </c>
      <c r="M25" s="80">
        <v>0</v>
      </c>
      <c r="N25" s="80">
        <v>0</v>
      </c>
      <c r="O25" s="80">
        <v>0</v>
      </c>
      <c r="P25" s="80">
        <v>0</v>
      </c>
    </row>
    <row r="26" spans="2:16" x14ac:dyDescent="0.2">
      <c r="B26" s="79" t="s">
        <v>206</v>
      </c>
      <c r="C26" s="80">
        <v>1</v>
      </c>
      <c r="D26" s="80">
        <v>1</v>
      </c>
      <c r="E26" s="80">
        <v>0</v>
      </c>
      <c r="F26" s="80">
        <v>0</v>
      </c>
      <c r="G26" s="80">
        <v>0</v>
      </c>
      <c r="H26" s="80">
        <v>0</v>
      </c>
      <c r="I26" s="80">
        <v>0</v>
      </c>
      <c r="J26" s="80">
        <v>0</v>
      </c>
      <c r="K26" s="80">
        <v>0</v>
      </c>
      <c r="L26" s="80">
        <v>0</v>
      </c>
      <c r="M26" s="80">
        <v>0</v>
      </c>
      <c r="N26" s="80">
        <v>0</v>
      </c>
      <c r="O26" s="80">
        <v>1</v>
      </c>
      <c r="P26" s="80">
        <v>0</v>
      </c>
    </row>
    <row r="27" spans="2:16" x14ac:dyDescent="0.2">
      <c r="B27" s="79" t="s">
        <v>93</v>
      </c>
      <c r="C27" s="80">
        <v>1</v>
      </c>
      <c r="D27" s="80">
        <v>1</v>
      </c>
      <c r="E27" s="80">
        <v>0</v>
      </c>
      <c r="F27" s="80">
        <v>0</v>
      </c>
      <c r="G27" s="80">
        <v>0</v>
      </c>
      <c r="H27" s="80">
        <v>0</v>
      </c>
      <c r="I27" s="80">
        <v>0</v>
      </c>
      <c r="J27" s="80">
        <v>0</v>
      </c>
      <c r="K27" s="80">
        <v>0</v>
      </c>
      <c r="L27" s="80">
        <v>0</v>
      </c>
      <c r="M27" s="80">
        <v>0</v>
      </c>
      <c r="N27" s="80">
        <v>0</v>
      </c>
      <c r="O27" s="80">
        <v>1</v>
      </c>
      <c r="P27" s="80">
        <v>0</v>
      </c>
    </row>
    <row r="28" spans="2:16" x14ac:dyDescent="0.2">
      <c r="B28" s="79" t="s">
        <v>458</v>
      </c>
      <c r="C28" s="80">
        <v>1</v>
      </c>
      <c r="D28" s="80">
        <v>1</v>
      </c>
      <c r="E28" s="80">
        <v>0</v>
      </c>
      <c r="F28" s="80">
        <v>0</v>
      </c>
      <c r="G28" s="80">
        <v>0</v>
      </c>
      <c r="H28" s="80">
        <v>0</v>
      </c>
      <c r="I28" s="80">
        <v>0</v>
      </c>
      <c r="J28" s="80">
        <v>0</v>
      </c>
      <c r="K28" s="80">
        <v>0</v>
      </c>
      <c r="L28" s="80">
        <v>0</v>
      </c>
      <c r="M28" s="80">
        <v>0</v>
      </c>
      <c r="N28" s="80">
        <v>0</v>
      </c>
      <c r="O28" s="80">
        <v>1</v>
      </c>
      <c r="P28" s="80">
        <v>0</v>
      </c>
    </row>
    <row r="29" spans="2:16" x14ac:dyDescent="0.2">
      <c r="B29" s="79" t="s">
        <v>147</v>
      </c>
      <c r="C29" s="80">
        <v>1</v>
      </c>
      <c r="D29" s="80">
        <v>0</v>
      </c>
      <c r="E29" s="80">
        <v>0</v>
      </c>
      <c r="F29" s="80">
        <v>0</v>
      </c>
      <c r="G29" s="80">
        <v>0</v>
      </c>
      <c r="H29" s="80">
        <v>0</v>
      </c>
      <c r="I29" s="80">
        <v>0</v>
      </c>
      <c r="J29" s="80">
        <v>0</v>
      </c>
      <c r="K29" s="80">
        <v>0</v>
      </c>
      <c r="L29" s="80">
        <v>0</v>
      </c>
      <c r="M29" s="80">
        <v>1</v>
      </c>
      <c r="N29" s="80">
        <v>0</v>
      </c>
      <c r="O29" s="80">
        <v>0</v>
      </c>
      <c r="P29" s="80">
        <v>0</v>
      </c>
    </row>
    <row r="30" spans="2:16" x14ac:dyDescent="0.2">
      <c r="B30" s="79" t="s">
        <v>125</v>
      </c>
      <c r="C30" s="80">
        <v>1</v>
      </c>
      <c r="D30" s="80">
        <v>0</v>
      </c>
      <c r="E30" s="80">
        <v>0</v>
      </c>
      <c r="F30" s="80">
        <v>0</v>
      </c>
      <c r="G30" s="80">
        <v>0</v>
      </c>
      <c r="H30" s="80">
        <v>0</v>
      </c>
      <c r="I30" s="80">
        <v>0</v>
      </c>
      <c r="J30" s="80">
        <v>0</v>
      </c>
      <c r="K30" s="80">
        <v>0</v>
      </c>
      <c r="L30" s="80">
        <v>0</v>
      </c>
      <c r="M30" s="80">
        <v>0</v>
      </c>
      <c r="N30" s="80">
        <v>1</v>
      </c>
      <c r="O30" s="80">
        <v>0</v>
      </c>
      <c r="P30" s="80">
        <v>0</v>
      </c>
    </row>
    <row r="31" spans="2:16" x14ac:dyDescent="0.2">
      <c r="B31" s="79" t="s">
        <v>459</v>
      </c>
      <c r="C31" s="80">
        <v>1</v>
      </c>
      <c r="D31" s="80">
        <v>0</v>
      </c>
      <c r="E31" s="80">
        <v>0</v>
      </c>
      <c r="F31" s="80">
        <v>0</v>
      </c>
      <c r="G31" s="80">
        <v>0</v>
      </c>
      <c r="H31" s="80">
        <v>0</v>
      </c>
      <c r="I31" s="80">
        <v>0</v>
      </c>
      <c r="J31" s="80">
        <v>0</v>
      </c>
      <c r="K31" s="80">
        <v>0</v>
      </c>
      <c r="L31" s="80">
        <v>0</v>
      </c>
      <c r="M31" s="80">
        <v>1</v>
      </c>
      <c r="N31" s="80">
        <v>0</v>
      </c>
      <c r="O31" s="80">
        <v>1</v>
      </c>
      <c r="P31" s="80">
        <v>0</v>
      </c>
    </row>
    <row r="32" spans="2:16" x14ac:dyDescent="0.2">
      <c r="B32" s="79" t="s">
        <v>460</v>
      </c>
      <c r="C32" s="80">
        <v>1</v>
      </c>
      <c r="D32" s="80">
        <v>0</v>
      </c>
      <c r="E32" s="80">
        <v>0</v>
      </c>
      <c r="F32" s="80">
        <v>0</v>
      </c>
      <c r="G32" s="80">
        <v>0</v>
      </c>
      <c r="H32" s="80">
        <v>0</v>
      </c>
      <c r="I32" s="80">
        <v>0</v>
      </c>
      <c r="J32" s="80">
        <v>0</v>
      </c>
      <c r="K32" s="80">
        <v>0</v>
      </c>
      <c r="L32" s="80">
        <v>0</v>
      </c>
      <c r="M32" s="80">
        <v>0</v>
      </c>
      <c r="N32" s="80">
        <v>1</v>
      </c>
      <c r="O32" s="80">
        <v>1</v>
      </c>
      <c r="P32" s="80">
        <v>0</v>
      </c>
    </row>
    <row r="33" spans="2:16" x14ac:dyDescent="0.2">
      <c r="B33" s="79" t="s">
        <v>461</v>
      </c>
      <c r="C33" s="80">
        <v>1</v>
      </c>
      <c r="D33" s="80">
        <v>1</v>
      </c>
      <c r="E33" s="80">
        <v>0</v>
      </c>
      <c r="F33" s="80">
        <v>0</v>
      </c>
      <c r="G33" s="80">
        <v>0</v>
      </c>
      <c r="H33" s="80">
        <v>0</v>
      </c>
      <c r="I33" s="80">
        <v>0</v>
      </c>
      <c r="J33" s="80">
        <v>0</v>
      </c>
      <c r="K33" s="80">
        <v>0</v>
      </c>
      <c r="L33" s="80">
        <v>0</v>
      </c>
      <c r="M33" s="80">
        <v>0</v>
      </c>
      <c r="N33" s="80">
        <v>0</v>
      </c>
      <c r="O33" s="80">
        <v>0</v>
      </c>
      <c r="P33" s="80">
        <v>1</v>
      </c>
    </row>
    <row r="34" spans="2:16" x14ac:dyDescent="0.2">
      <c r="B34" s="79" t="s">
        <v>462</v>
      </c>
      <c r="C34" s="80">
        <v>1</v>
      </c>
      <c r="D34" s="80">
        <v>0</v>
      </c>
      <c r="E34" s="80">
        <v>0</v>
      </c>
      <c r="F34" s="80">
        <v>0</v>
      </c>
      <c r="G34" s="80">
        <v>0</v>
      </c>
      <c r="H34" s="80">
        <v>0</v>
      </c>
      <c r="I34" s="80">
        <v>0</v>
      </c>
      <c r="J34" s="80">
        <v>0</v>
      </c>
      <c r="K34" s="80">
        <v>0</v>
      </c>
      <c r="L34" s="80">
        <v>0</v>
      </c>
      <c r="M34" s="80">
        <v>0</v>
      </c>
      <c r="N34" s="80">
        <v>0</v>
      </c>
      <c r="O34" s="80">
        <v>0</v>
      </c>
      <c r="P34" s="80">
        <v>0</v>
      </c>
    </row>
    <row r="35" spans="2:16" x14ac:dyDescent="0.2">
      <c r="B35" s="79" t="s">
        <v>41</v>
      </c>
      <c r="C35" s="80">
        <v>0</v>
      </c>
      <c r="D35" s="80">
        <v>0</v>
      </c>
      <c r="E35" s="80">
        <v>0</v>
      </c>
      <c r="F35" s="80">
        <v>0</v>
      </c>
      <c r="G35" s="80">
        <v>0</v>
      </c>
      <c r="H35" s="80">
        <v>0</v>
      </c>
      <c r="I35" s="80">
        <v>0</v>
      </c>
      <c r="J35" s="80">
        <v>0</v>
      </c>
      <c r="K35" s="80">
        <v>0</v>
      </c>
      <c r="L35" s="80">
        <v>0</v>
      </c>
      <c r="M35" s="80">
        <v>0</v>
      </c>
      <c r="N35" s="80">
        <v>0</v>
      </c>
      <c r="O35" s="80">
        <v>0</v>
      </c>
      <c r="P35" s="80">
        <v>0</v>
      </c>
    </row>
    <row r="36" spans="2:16" x14ac:dyDescent="0.2">
      <c r="B36" s="79" t="s">
        <v>463</v>
      </c>
      <c r="C36" s="80">
        <v>0</v>
      </c>
      <c r="D36" s="80">
        <v>0</v>
      </c>
      <c r="E36" s="80">
        <v>0</v>
      </c>
      <c r="F36" s="80">
        <v>0</v>
      </c>
      <c r="G36" s="80">
        <v>0</v>
      </c>
      <c r="H36" s="80">
        <v>0</v>
      </c>
      <c r="I36" s="80">
        <v>0</v>
      </c>
      <c r="J36" s="80">
        <v>0</v>
      </c>
      <c r="K36" s="80">
        <v>0</v>
      </c>
      <c r="L36" s="80">
        <v>0</v>
      </c>
      <c r="M36" s="80">
        <v>0</v>
      </c>
      <c r="N36" s="80">
        <v>0</v>
      </c>
      <c r="O36" s="80">
        <v>0</v>
      </c>
      <c r="P36" s="80">
        <v>0</v>
      </c>
    </row>
    <row r="37" spans="2:16" x14ac:dyDescent="0.2">
      <c r="B37" s="79" t="s">
        <v>464</v>
      </c>
      <c r="C37" s="80">
        <v>0</v>
      </c>
      <c r="D37" s="80">
        <v>0</v>
      </c>
      <c r="E37" s="80">
        <v>0</v>
      </c>
      <c r="F37" s="80">
        <v>0</v>
      </c>
      <c r="G37" s="80">
        <v>0</v>
      </c>
      <c r="H37" s="80">
        <v>0</v>
      </c>
      <c r="I37" s="80">
        <v>0</v>
      </c>
      <c r="J37" s="80">
        <v>0</v>
      </c>
      <c r="K37" s="80">
        <v>0</v>
      </c>
      <c r="L37" s="80">
        <v>0</v>
      </c>
      <c r="M37" s="80">
        <v>0</v>
      </c>
      <c r="N37" s="80">
        <v>0</v>
      </c>
      <c r="O37" s="80">
        <v>0</v>
      </c>
      <c r="P37" s="80">
        <v>0</v>
      </c>
    </row>
    <row r="38" spans="2:16" x14ac:dyDescent="0.2">
      <c r="B38" s="79" t="s">
        <v>44</v>
      </c>
      <c r="C38" s="80">
        <v>0</v>
      </c>
      <c r="D38" s="80">
        <v>0</v>
      </c>
      <c r="E38" s="80">
        <v>0</v>
      </c>
      <c r="F38" s="80">
        <v>0</v>
      </c>
      <c r="G38" s="80">
        <v>0</v>
      </c>
      <c r="H38" s="80">
        <v>0</v>
      </c>
      <c r="I38" s="80">
        <v>0</v>
      </c>
      <c r="J38" s="80">
        <v>0</v>
      </c>
      <c r="K38" s="80">
        <v>0</v>
      </c>
      <c r="L38" s="80">
        <v>0</v>
      </c>
      <c r="M38" s="80">
        <v>0</v>
      </c>
      <c r="N38" s="80">
        <v>0</v>
      </c>
      <c r="O38" s="80">
        <v>0</v>
      </c>
      <c r="P38" s="80">
        <v>0</v>
      </c>
    </row>
    <row r="39" spans="2:16" x14ac:dyDescent="0.2">
      <c r="B39" s="81"/>
      <c r="C39" s="81"/>
      <c r="D39" s="81"/>
      <c r="E39" s="81"/>
      <c r="F39" s="81"/>
      <c r="G39" s="81"/>
      <c r="H39" s="81"/>
      <c r="I39" s="81"/>
      <c r="J39" s="81"/>
      <c r="K39" s="81"/>
      <c r="L39" s="81"/>
      <c r="M39" s="81"/>
      <c r="N39" s="81"/>
      <c r="O39" s="81"/>
      <c r="P39" s="81"/>
    </row>
    <row r="40" spans="2:16" x14ac:dyDescent="0.2">
      <c r="B40" s="81"/>
      <c r="C40" s="81"/>
      <c r="D40" s="81"/>
      <c r="E40" s="81"/>
      <c r="F40" s="81"/>
      <c r="G40" s="81"/>
      <c r="H40" s="81"/>
      <c r="I40" s="81"/>
      <c r="J40" s="81"/>
      <c r="K40" s="81"/>
      <c r="L40" s="81"/>
      <c r="M40" s="81"/>
      <c r="N40" s="81"/>
      <c r="O40" s="81"/>
      <c r="P40" s="81"/>
    </row>
    <row r="41" spans="2:16" x14ac:dyDescent="0.2">
      <c r="B41" s="81"/>
      <c r="C41" s="81"/>
      <c r="D41" s="81"/>
      <c r="E41" s="81"/>
      <c r="F41" s="81"/>
      <c r="G41" s="81"/>
      <c r="H41" s="81"/>
      <c r="I41" s="81"/>
      <c r="J41" s="81"/>
      <c r="K41" s="81"/>
      <c r="L41" s="81"/>
      <c r="M41" s="81"/>
      <c r="N41" s="81"/>
      <c r="O41" s="81"/>
      <c r="P41" s="81"/>
    </row>
    <row r="42" spans="2:16" x14ac:dyDescent="0.2">
      <c r="B42" s="81"/>
      <c r="C42" s="81"/>
      <c r="D42" s="81"/>
      <c r="E42" s="81"/>
      <c r="F42" s="81"/>
      <c r="G42" s="81"/>
      <c r="H42" s="81"/>
      <c r="I42" s="81"/>
      <c r="J42" s="81"/>
      <c r="K42" s="81"/>
      <c r="L42" s="81"/>
      <c r="M42" s="81"/>
      <c r="N42" s="81"/>
      <c r="O42" s="81"/>
      <c r="P42" s="81"/>
    </row>
    <row r="43" spans="2:16" x14ac:dyDescent="0.2">
      <c r="B43" s="81"/>
      <c r="C43" s="81"/>
      <c r="D43" s="81"/>
      <c r="E43" s="81"/>
      <c r="F43" s="81"/>
      <c r="G43" s="81"/>
      <c r="H43" s="81"/>
      <c r="I43" s="81"/>
      <c r="J43" s="81"/>
      <c r="K43" s="81"/>
      <c r="L43" s="81"/>
      <c r="M43" s="81"/>
      <c r="N43" s="81"/>
      <c r="O43" s="81"/>
      <c r="P43" s="81"/>
    </row>
    <row r="44" spans="2:16" x14ac:dyDescent="0.2">
      <c r="B44" s="81"/>
      <c r="C44" s="81"/>
      <c r="D44" s="81"/>
      <c r="E44" s="81"/>
      <c r="F44" s="81"/>
      <c r="G44" s="81"/>
      <c r="H44" s="81"/>
      <c r="I44" s="81"/>
      <c r="J44" s="81"/>
      <c r="K44" s="81"/>
      <c r="L44" s="81"/>
      <c r="M44" s="81"/>
      <c r="N44" s="81"/>
      <c r="O44" s="81"/>
      <c r="P44" s="81"/>
    </row>
    <row r="45" spans="2:16" x14ac:dyDescent="0.2">
      <c r="B45" s="81"/>
      <c r="C45" s="81"/>
      <c r="D45" s="81"/>
      <c r="E45" s="81"/>
      <c r="F45" s="81"/>
      <c r="G45" s="81"/>
      <c r="H45" s="81"/>
      <c r="I45" s="81"/>
      <c r="J45" s="81"/>
      <c r="K45" s="81"/>
      <c r="L45" s="81"/>
      <c r="M45" s="81"/>
      <c r="N45" s="81"/>
      <c r="O45" s="81"/>
      <c r="P45" s="81"/>
    </row>
    <row r="46" spans="2:16" x14ac:dyDescent="0.2">
      <c r="B46" s="81"/>
      <c r="C46" s="81"/>
      <c r="D46" s="81"/>
      <c r="E46" s="81"/>
      <c r="F46" s="81"/>
      <c r="G46" s="81"/>
      <c r="H46" s="81"/>
      <c r="I46" s="81"/>
      <c r="J46" s="81"/>
      <c r="K46" s="81"/>
      <c r="L46" s="81"/>
      <c r="M46" s="81"/>
      <c r="N46" s="81"/>
      <c r="O46" s="81"/>
      <c r="P46" s="81"/>
    </row>
    <row r="47" spans="2:16" x14ac:dyDescent="0.2">
      <c r="B47" s="81"/>
      <c r="C47" s="81"/>
      <c r="D47" s="81"/>
      <c r="E47" s="81"/>
      <c r="F47" s="81"/>
      <c r="G47" s="81"/>
      <c r="H47" s="81"/>
      <c r="I47" s="81"/>
      <c r="J47" s="81"/>
      <c r="K47" s="81"/>
      <c r="L47" s="81"/>
      <c r="M47" s="81"/>
      <c r="N47" s="81"/>
      <c r="O47" s="81"/>
      <c r="P47" s="81"/>
    </row>
    <row r="48" spans="2:16" x14ac:dyDescent="0.2">
      <c r="B48" s="81"/>
      <c r="C48" s="81"/>
      <c r="D48" s="81"/>
      <c r="E48" s="81"/>
      <c r="F48" s="81"/>
      <c r="G48" s="81"/>
      <c r="H48" s="81"/>
      <c r="I48" s="81"/>
      <c r="J48" s="81"/>
      <c r="K48" s="81"/>
      <c r="L48" s="81"/>
      <c r="M48" s="81"/>
      <c r="N48" s="81"/>
      <c r="O48" s="81"/>
      <c r="P48" s="81"/>
    </row>
    <row r="49" spans="2:16" x14ac:dyDescent="0.2">
      <c r="B49" s="81"/>
      <c r="C49" s="81"/>
      <c r="D49" s="81"/>
      <c r="E49" s="81"/>
      <c r="F49" s="81"/>
      <c r="G49" s="81"/>
      <c r="H49" s="81"/>
      <c r="I49" s="81"/>
      <c r="J49" s="81"/>
      <c r="K49" s="81"/>
      <c r="L49" s="81"/>
      <c r="M49" s="81"/>
      <c r="N49" s="81"/>
      <c r="O49" s="81"/>
      <c r="P49" s="81"/>
    </row>
    <row r="50" spans="2:16" x14ac:dyDescent="0.2">
      <c r="B50" s="81"/>
      <c r="C50" s="81"/>
      <c r="D50" s="81"/>
      <c r="E50" s="81"/>
      <c r="F50" s="81"/>
      <c r="G50" s="81"/>
      <c r="H50" s="81"/>
      <c r="I50" s="81"/>
      <c r="J50" s="81"/>
      <c r="K50" s="81"/>
      <c r="L50" s="81"/>
      <c r="M50" s="81"/>
      <c r="N50" s="81"/>
      <c r="O50" s="81"/>
      <c r="P50" s="81"/>
    </row>
    <row r="51" spans="2:16" x14ac:dyDescent="0.2">
      <c r="B51" s="81"/>
      <c r="C51" s="81"/>
      <c r="D51" s="81"/>
      <c r="E51" s="81"/>
      <c r="F51" s="81"/>
      <c r="G51" s="81"/>
      <c r="H51" s="81"/>
      <c r="I51" s="81"/>
      <c r="J51" s="81"/>
      <c r="K51" s="81"/>
      <c r="L51" s="81"/>
      <c r="M51" s="81"/>
      <c r="N51" s="81"/>
      <c r="O51" s="81"/>
      <c r="P51" s="81"/>
    </row>
    <row r="52" spans="2:16" x14ac:dyDescent="0.2">
      <c r="B52" s="81"/>
      <c r="C52" s="81"/>
      <c r="D52" s="81"/>
      <c r="E52" s="81"/>
      <c r="F52" s="81"/>
      <c r="G52" s="81"/>
      <c r="H52" s="81"/>
      <c r="I52" s="81"/>
      <c r="J52" s="81"/>
      <c r="K52" s="81"/>
      <c r="L52" s="81"/>
      <c r="M52" s="81"/>
      <c r="N52" s="81"/>
      <c r="O52" s="81"/>
      <c r="P52" s="81"/>
    </row>
    <row r="53" spans="2:16" x14ac:dyDescent="0.2">
      <c r="B53" s="81"/>
      <c r="C53" s="81"/>
      <c r="D53" s="81"/>
      <c r="E53" s="81"/>
      <c r="F53" s="81"/>
      <c r="G53" s="81"/>
      <c r="H53" s="81"/>
      <c r="I53" s="81"/>
      <c r="J53" s="81"/>
      <c r="K53" s="81"/>
      <c r="L53" s="81"/>
      <c r="M53" s="81"/>
      <c r="N53" s="81"/>
      <c r="O53" s="81"/>
      <c r="P53" s="81"/>
    </row>
    <row r="54" spans="2:16" x14ac:dyDescent="0.2">
      <c r="B54" s="81"/>
      <c r="C54" s="81"/>
      <c r="D54" s="81"/>
      <c r="E54" s="81"/>
      <c r="F54" s="81"/>
      <c r="G54" s="81"/>
      <c r="H54" s="81"/>
      <c r="I54" s="81"/>
      <c r="J54" s="81"/>
      <c r="K54" s="81"/>
      <c r="L54" s="81"/>
      <c r="M54" s="81"/>
      <c r="N54" s="81"/>
      <c r="O54" s="81"/>
      <c r="P54" s="81"/>
    </row>
    <row r="55" spans="2:16" x14ac:dyDescent="0.2">
      <c r="B55" s="81"/>
      <c r="C55" s="81"/>
      <c r="D55" s="81"/>
      <c r="E55" s="81"/>
      <c r="F55" s="81"/>
      <c r="G55" s="81"/>
      <c r="H55" s="81"/>
      <c r="I55" s="81"/>
      <c r="J55" s="81"/>
      <c r="K55" s="81"/>
      <c r="L55" s="81"/>
      <c r="M55" s="81"/>
      <c r="N55" s="81"/>
      <c r="O55" s="81"/>
      <c r="P55" s="81"/>
    </row>
    <row r="56" spans="2:16" x14ac:dyDescent="0.2">
      <c r="B56" s="81"/>
      <c r="C56" s="81"/>
      <c r="D56" s="81"/>
      <c r="E56" s="81"/>
      <c r="F56" s="81"/>
      <c r="G56" s="81"/>
      <c r="H56" s="81"/>
      <c r="I56" s="81"/>
      <c r="J56" s="81"/>
      <c r="K56" s="81"/>
      <c r="L56" s="81"/>
      <c r="M56" s="81"/>
      <c r="N56" s="81"/>
      <c r="O56" s="81"/>
      <c r="P56" s="81"/>
    </row>
    <row r="57" spans="2:16" x14ac:dyDescent="0.2">
      <c r="B57" s="81"/>
      <c r="C57" s="81"/>
      <c r="D57" s="81"/>
      <c r="E57" s="81"/>
      <c r="F57" s="81"/>
      <c r="G57" s="81"/>
      <c r="H57" s="81"/>
      <c r="I57" s="81"/>
      <c r="J57" s="81"/>
      <c r="K57" s="81"/>
      <c r="L57" s="81"/>
      <c r="M57" s="81"/>
      <c r="N57" s="81"/>
      <c r="O57" s="81"/>
      <c r="P57" s="81"/>
    </row>
    <row r="58" spans="2:16" x14ac:dyDescent="0.2">
      <c r="B58" s="81"/>
      <c r="C58" s="81"/>
      <c r="D58" s="81"/>
      <c r="E58" s="81"/>
      <c r="F58" s="81"/>
      <c r="G58" s="81"/>
      <c r="H58" s="81"/>
      <c r="I58" s="81"/>
      <c r="J58" s="81"/>
      <c r="K58" s="81"/>
      <c r="L58" s="81"/>
      <c r="M58" s="81"/>
      <c r="N58" s="81"/>
      <c r="O58" s="81"/>
      <c r="P58" s="81"/>
    </row>
    <row r="59" spans="2:16" x14ac:dyDescent="0.2">
      <c r="B59" s="81"/>
      <c r="C59" s="81"/>
      <c r="D59" s="81"/>
      <c r="E59" s="81"/>
      <c r="F59" s="81"/>
      <c r="G59" s="81"/>
      <c r="H59" s="81"/>
      <c r="I59" s="81"/>
      <c r="J59" s="81"/>
      <c r="K59" s="81"/>
      <c r="L59" s="81"/>
      <c r="M59" s="81"/>
      <c r="N59" s="81"/>
      <c r="O59" s="81"/>
      <c r="P59" s="81"/>
    </row>
    <row r="60" spans="2:16" x14ac:dyDescent="0.2">
      <c r="B60" s="81"/>
      <c r="C60" s="81"/>
      <c r="D60" s="81"/>
      <c r="E60" s="81"/>
      <c r="F60" s="81"/>
      <c r="G60" s="81"/>
      <c r="H60" s="81"/>
      <c r="I60" s="81"/>
      <c r="J60" s="81"/>
      <c r="K60" s="81"/>
      <c r="L60" s="81"/>
      <c r="M60" s="81"/>
      <c r="N60" s="81"/>
      <c r="O60" s="81"/>
      <c r="P60" s="81"/>
    </row>
    <row r="62" spans="2:16" x14ac:dyDescent="0.2">
      <c r="B62" s="38" t="s">
        <v>465</v>
      </c>
    </row>
  </sheetData>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6A6A6"/>
    <pageSetUpPr fitToPage="1"/>
  </sheetPr>
  <dimension ref="B2:H256"/>
  <sheetViews>
    <sheetView showGridLines="0" zoomScaleNormal="100" workbookViewId="0"/>
  </sheetViews>
  <sheetFormatPr baseColWidth="10" defaultColWidth="8.6640625" defaultRowHeight="15" x14ac:dyDescent="0.2"/>
  <cols>
    <col min="1" max="1" width="3" customWidth="1"/>
    <col min="2" max="2" width="44" customWidth="1"/>
    <col min="3" max="3" width="26" customWidth="1"/>
    <col min="5" max="8" width="24" customWidth="1"/>
  </cols>
  <sheetData>
    <row r="2" spans="2:8" ht="21" x14ac:dyDescent="0.25">
      <c r="B2" s="37" t="s">
        <v>466</v>
      </c>
    </row>
    <row r="3" spans="2:8" x14ac:dyDescent="0.2">
      <c r="B3" s="38" t="s">
        <v>467</v>
      </c>
    </row>
    <row r="5" spans="2:8" ht="16" x14ac:dyDescent="0.2">
      <c r="B5" s="39" t="s">
        <v>468</v>
      </c>
      <c r="E5" s="82" t="s">
        <v>469</v>
      </c>
      <c r="F5" s="82" t="s">
        <v>470</v>
      </c>
      <c r="G5" s="82" t="s">
        <v>471</v>
      </c>
      <c r="H5" s="82" t="s">
        <v>472</v>
      </c>
    </row>
    <row r="6" spans="2:8" x14ac:dyDescent="0.2">
      <c r="B6" s="40" t="s">
        <v>473</v>
      </c>
      <c r="C6" s="61">
        <f>MAX(3,COUNTA('MLB-SAMPLE-PbP'!$B:$B)+1)</f>
        <v>103</v>
      </c>
      <c r="E6" s="79" t="s">
        <v>348</v>
      </c>
      <c r="F6" s="79" t="s">
        <v>348</v>
      </c>
      <c r="G6" s="79" t="s">
        <v>350</v>
      </c>
      <c r="H6" s="79" t="s">
        <v>350</v>
      </c>
    </row>
    <row r="7" spans="2:8" x14ac:dyDescent="0.2">
      <c r="B7" s="40" t="s">
        <v>474</v>
      </c>
      <c r="C7" s="61">
        <f>SUMPRODUCT(COUNTIFS(pbp_PlayType,EM_Type)*EM_PA)</f>
        <v>99</v>
      </c>
      <c r="E7" s="76" t="str">
        <f>'Team Offense'!B6</f>
        <v>Los Angeles Dodgers</v>
      </c>
      <c r="F7" s="76" t="str">
        <f>'Team Pitching &amp; Defense'!B6</f>
        <v>Toronto Blue Jays</v>
      </c>
      <c r="G7" s="40" t="str">
        <f>IF('Batter Leaders'!B6="","",'Batter Leaders'!B6)</f>
        <v>Shohei Ohtani</v>
      </c>
      <c r="H7" s="40" t="str">
        <f>IF('Pitcher Leaders'!B6="","",'Pitcher Leaders'!B6)</f>
        <v>Max Scherzer</v>
      </c>
    </row>
    <row r="8" spans="2:8" x14ac:dyDescent="0.2">
      <c r="B8" s="40" t="s">
        <v>475</v>
      </c>
      <c r="C8" s="61">
        <f>pbp_LastRow-2</f>
        <v>101</v>
      </c>
      <c r="E8" s="76" t="str">
        <f>'Team Offense'!B7</f>
        <v>Toronto Blue Jays</v>
      </c>
      <c r="F8" s="76" t="str">
        <f>'Team Pitching &amp; Defense'!B7</f>
        <v>Los Angeles Dodgers</v>
      </c>
      <c r="G8" s="40" t="str">
        <f>IF('Batter Leaders'!B7="","",'Batter Leaders'!B7)</f>
        <v>Will Smith</v>
      </c>
      <c r="H8" s="40" t="str">
        <f>IF('Pitcher Leaders'!B7="","",'Pitcher Leaders'!B7)</f>
        <v>Shohei Ohtani</v>
      </c>
    </row>
    <row r="9" spans="2:8" x14ac:dyDescent="0.2">
      <c r="B9" s="40" t="s">
        <v>476</v>
      </c>
      <c r="C9" s="61">
        <f>SUMPRODUCT((LEN(pbp_PlayType)&gt;0)*(COUNTIF(EM_Type,pbp_PlayType)=0))</f>
        <v>0</v>
      </c>
      <c r="E9" s="76" t="str">
        <f>'Team Offense'!B8</f>
        <v/>
      </c>
      <c r="F9" s="76" t="str">
        <f>'Team Pitching &amp; Defense'!B8</f>
        <v/>
      </c>
      <c r="G9" s="40" t="str">
        <f>IF('Batter Leaders'!B8="","",'Batter Leaders'!B8)</f>
        <v>Freddie Freeman</v>
      </c>
      <c r="H9" s="40" t="str">
        <f>IF('Pitcher Leaders'!B8="","",'Pitcher Leaders'!B8)</f>
        <v>Justin Wrobleski</v>
      </c>
    </row>
    <row r="10" spans="2:8" x14ac:dyDescent="0.2">
      <c r="B10" s="40" t="s">
        <v>477</v>
      </c>
      <c r="C10" s="83">
        <v>3.1</v>
      </c>
      <c r="E10" s="76" t="str">
        <f>'Team Offense'!B9</f>
        <v/>
      </c>
      <c r="F10" s="76" t="str">
        <f>'Team Pitching &amp; Defense'!B9</f>
        <v/>
      </c>
      <c r="G10" s="40" t="str">
        <f>IF('Batter Leaders'!B9="","",'Batter Leaders'!B9)</f>
        <v>Mookie Betts</v>
      </c>
      <c r="H10" s="40" t="str">
        <f>IF('Pitcher Leaders'!B9="","",'Pitcher Leaders'!B9)</f>
        <v>Tyler Glasnow</v>
      </c>
    </row>
    <row r="11" spans="2:8" x14ac:dyDescent="0.2">
      <c r="B11" s="40" t="s">
        <v>478</v>
      </c>
      <c r="C11" s="84">
        <v>3</v>
      </c>
      <c r="E11" s="76" t="str">
        <f>'Team Offense'!B10</f>
        <v/>
      </c>
      <c r="F11" s="76" t="str">
        <f>'Team Pitching &amp; Defense'!B10</f>
        <v/>
      </c>
      <c r="G11" s="40" t="str">
        <f>IF('Batter Leaders'!B10="","",'Batter Leaders'!B10)</f>
        <v>George Springer</v>
      </c>
      <c r="H11" s="40" t="str">
        <f>IF('Pitcher Leaders'!B10="","",'Pitcher Leaders'!B10)</f>
        <v>Louis Varland</v>
      </c>
    </row>
    <row r="12" spans="2:8" x14ac:dyDescent="0.2">
      <c r="B12" s="40" t="s">
        <v>479</v>
      </c>
      <c r="C12" s="84">
        <v>5</v>
      </c>
      <c r="E12" s="76" t="str">
        <f>'Team Offense'!B11</f>
        <v/>
      </c>
      <c r="F12" s="76" t="str">
        <f>'Team Pitching &amp; Defense'!B11</f>
        <v/>
      </c>
      <c r="G12" s="40" t="str">
        <f>IF('Batter Leaders'!B11="","",'Batter Leaders'!B11)</f>
        <v>Nathan Lukes</v>
      </c>
      <c r="H12" s="40" t="str">
        <f>IF('Pitcher Leaders'!B11="","",'Pitcher Leaders'!B11)</f>
        <v>Chris Bassitt</v>
      </c>
    </row>
    <row r="13" spans="2:8" x14ac:dyDescent="0.2">
      <c r="E13" s="76" t="str">
        <f>'Team Offense'!B12</f>
        <v/>
      </c>
      <c r="F13" s="76" t="str">
        <f>'Team Pitching &amp; Defense'!B12</f>
        <v/>
      </c>
      <c r="G13" s="40" t="str">
        <f>IF('Batter Leaders'!B12="","",'Batter Leaders'!B12)</f>
        <v>Vladimir Guerrero Jr.</v>
      </c>
      <c r="H13" s="40" t="str">
        <f>IF('Pitcher Leaders'!B12="","",'Pitcher Leaders'!B12)</f>
        <v>Trey Yesavage</v>
      </c>
    </row>
    <row r="14" spans="2:8" x14ac:dyDescent="0.2">
      <c r="E14" s="76" t="str">
        <f>'Team Offense'!B13</f>
        <v/>
      </c>
      <c r="F14" s="76" t="str">
        <f>'Team Pitching &amp; Defense'!B13</f>
        <v/>
      </c>
      <c r="G14" s="40" t="str">
        <f>IF('Batter Leaders'!B13="","",'Batter Leaders'!B13)</f>
        <v>Max Muncy</v>
      </c>
      <c r="H14" s="40" t="str">
        <f>IF('Pitcher Leaders'!B13="","",'Pitcher Leaders'!B13)</f>
        <v>Emmet Sheehan</v>
      </c>
    </row>
    <row r="15" spans="2:8" x14ac:dyDescent="0.2">
      <c r="E15" s="76" t="str">
        <f>'Team Offense'!B14</f>
        <v/>
      </c>
      <c r="F15" s="76" t="str">
        <f>'Team Pitching &amp; Defense'!B14</f>
        <v/>
      </c>
      <c r="G15" s="40" t="str">
        <f>IF('Batter Leaders'!B14="","",'Batter Leaders'!B14)</f>
        <v>Teoscar Hernandez</v>
      </c>
      <c r="H15" s="40" t="str">
        <f>IF('Pitcher Leaders'!B14="","",'Pitcher Leaders'!B14)</f>
        <v>Jeff Hoffman</v>
      </c>
    </row>
    <row r="16" spans="2:8" x14ac:dyDescent="0.2">
      <c r="E16" s="76" t="str">
        <f>'Team Offense'!B15</f>
        <v/>
      </c>
      <c r="F16" s="76" t="str">
        <f>'Team Pitching &amp; Defense'!B15</f>
        <v/>
      </c>
      <c r="G16" s="40" t="str">
        <f>IF('Batter Leaders'!B15="","",'Batter Leaders'!B15)</f>
        <v>Tommy Edman</v>
      </c>
      <c r="H16" s="40" t="str">
        <f>IF('Pitcher Leaders'!B15="","",'Pitcher Leaders'!B15)</f>
        <v>Blake Snell</v>
      </c>
    </row>
    <row r="17" spans="5:8" x14ac:dyDescent="0.2">
      <c r="E17" s="76" t="str">
        <f>'Team Offense'!B16</f>
        <v/>
      </c>
      <c r="F17" s="76" t="str">
        <f>'Team Pitching &amp; Defense'!B16</f>
        <v/>
      </c>
      <c r="G17" s="40" t="str">
        <f>IF('Batter Leaders'!B16="","",'Batter Leaders'!B16)</f>
        <v>Bo Bichette</v>
      </c>
      <c r="H17" s="40" t="str">
        <f>IF('Pitcher Leaders'!B16="","",'Pitcher Leaders'!B16)</f>
        <v>Yoshinobu Yamamoto</v>
      </c>
    </row>
    <row r="18" spans="5:8" x14ac:dyDescent="0.2">
      <c r="E18" s="76" t="str">
        <f>'Team Offense'!B17</f>
        <v/>
      </c>
      <c r="F18" s="76" t="str">
        <f>'Team Pitching &amp; Defense'!B17</f>
        <v/>
      </c>
      <c r="G18" s="40" t="str">
        <f>IF('Batter Leaders'!B17="","",'Batter Leaders'!B17)</f>
        <v>Addison Barger</v>
      </c>
      <c r="H18" s="40" t="str">
        <f>IF('Pitcher Leaders'!B17="","",'Pitcher Leaders'!B17)</f>
        <v>Seranthony Dominguez</v>
      </c>
    </row>
    <row r="19" spans="5:8" x14ac:dyDescent="0.2">
      <c r="E19" s="76" t="str">
        <f>'Team Offense'!B18</f>
        <v/>
      </c>
      <c r="F19" s="76" t="str">
        <f>'Team Pitching &amp; Defense'!B18</f>
        <v/>
      </c>
      <c r="G19" s="40" t="str">
        <f>IF('Batter Leaders'!B18="","",'Batter Leaders'!B18)</f>
        <v>Alejandro Kirk</v>
      </c>
      <c r="H19" s="40" t="str">
        <f>IF('Pitcher Leaders'!B18="","",'Pitcher Leaders'!B18)</f>
        <v>Shane Bieber</v>
      </c>
    </row>
    <row r="20" spans="5:8" x14ac:dyDescent="0.2">
      <c r="E20" s="76" t="str">
        <f>'Team Offense'!B19</f>
        <v/>
      </c>
      <c r="F20" s="76" t="str">
        <f>'Team Pitching &amp; Defense'!B19</f>
        <v/>
      </c>
      <c r="G20" s="40" t="str">
        <f>IF('Batter Leaders'!B19="","",'Batter Leaders'!B19)</f>
        <v>Daulton Varsho</v>
      </c>
      <c r="H20" s="40" t="str">
        <f>IF('Pitcher Leaders'!B19="","",'Pitcher Leaders'!B19)</f>
        <v/>
      </c>
    </row>
    <row r="21" spans="5:8" x14ac:dyDescent="0.2">
      <c r="E21" s="76" t="str">
        <f>'Team Offense'!B20</f>
        <v/>
      </c>
      <c r="F21" s="76" t="str">
        <f>'Team Pitching &amp; Defense'!B20</f>
        <v/>
      </c>
      <c r="G21" s="40" t="str">
        <f>IF('Batter Leaders'!B20="","",'Batter Leaders'!B20)</f>
        <v>Ernie Clement</v>
      </c>
      <c r="H21" s="40" t="str">
        <f>IF('Pitcher Leaders'!B20="","",'Pitcher Leaders'!B20)</f>
        <v/>
      </c>
    </row>
    <row r="22" spans="5:8" x14ac:dyDescent="0.2">
      <c r="E22" s="76" t="str">
        <f>'Team Offense'!B21</f>
        <v/>
      </c>
      <c r="F22" s="76" t="str">
        <f>'Team Pitching &amp; Defense'!B21</f>
        <v/>
      </c>
      <c r="G22" s="40" t="str">
        <f>IF('Batter Leaders'!B21="","",'Batter Leaders'!B21)</f>
        <v>Andres Gimenez</v>
      </c>
      <c r="H22" s="40" t="str">
        <f>IF('Pitcher Leaders'!B21="","",'Pitcher Leaders'!B21)</f>
        <v/>
      </c>
    </row>
    <row r="23" spans="5:8" x14ac:dyDescent="0.2">
      <c r="E23" s="76" t="str">
        <f>'Team Offense'!B22</f>
        <v/>
      </c>
      <c r="F23" s="76" t="str">
        <f>'Team Pitching &amp; Defense'!B22</f>
        <v/>
      </c>
      <c r="G23" s="40" t="str">
        <f>IF('Batter Leaders'!B22="","",'Batter Leaders'!B22)</f>
        <v>Enrique Hernandez</v>
      </c>
      <c r="H23" s="40" t="str">
        <f>IF('Pitcher Leaders'!B22="","",'Pitcher Leaders'!B22)</f>
        <v/>
      </c>
    </row>
    <row r="24" spans="5:8" x14ac:dyDescent="0.2">
      <c r="E24" s="76" t="str">
        <f>'Team Offense'!B23</f>
        <v/>
      </c>
      <c r="F24" s="76" t="str">
        <f>'Team Pitching &amp; Defense'!B23</f>
        <v/>
      </c>
      <c r="G24" s="40" t="str">
        <f>IF('Batter Leaders'!B23="","",'Batter Leaders'!B23)</f>
        <v>Miguel Rojas</v>
      </c>
      <c r="H24" s="40" t="str">
        <f>IF('Pitcher Leaders'!B23="","",'Pitcher Leaders'!B23)</f>
        <v/>
      </c>
    </row>
    <row r="25" spans="5:8" x14ac:dyDescent="0.2">
      <c r="E25" s="76" t="str">
        <f>'Team Offense'!B24</f>
        <v/>
      </c>
      <c r="F25" s="76" t="str">
        <f>'Team Pitching &amp; Defense'!B24</f>
        <v/>
      </c>
      <c r="G25" s="40" t="str">
        <f>IF('Batter Leaders'!B24="","",'Batter Leaders'!B24)</f>
        <v>Davis Schneider</v>
      </c>
      <c r="H25" s="40" t="str">
        <f>IF('Pitcher Leaders'!B24="","",'Pitcher Leaders'!B24)</f>
        <v/>
      </c>
    </row>
    <row r="26" spans="5:8" x14ac:dyDescent="0.2">
      <c r="E26" s="76" t="str">
        <f>'Team Offense'!B25</f>
        <v/>
      </c>
      <c r="F26" s="76" t="str">
        <f>'Team Pitching &amp; Defense'!B25</f>
        <v/>
      </c>
      <c r="G26" s="40" t="str">
        <f>IF('Batter Leaders'!B25="","",'Batter Leaders'!B25)</f>
        <v>Andy Pages</v>
      </c>
      <c r="H26" s="40" t="str">
        <f>IF('Pitcher Leaders'!B25="","",'Pitcher Leaders'!B25)</f>
        <v/>
      </c>
    </row>
    <row r="27" spans="5:8" x14ac:dyDescent="0.2">
      <c r="E27" s="76" t="str">
        <f>'Team Offense'!B26</f>
        <v/>
      </c>
      <c r="F27" s="76" t="str">
        <f>'Team Pitching &amp; Defense'!B26</f>
        <v/>
      </c>
      <c r="G27" s="40" t="str">
        <f>IF('Batter Leaders'!B26="","",'Batter Leaders'!B26)</f>
        <v>Myles Straw</v>
      </c>
      <c r="H27" s="40" t="str">
        <f>IF('Pitcher Leaders'!B26="","",'Pitcher Leaders'!B26)</f>
        <v/>
      </c>
    </row>
    <row r="28" spans="5:8" x14ac:dyDescent="0.2">
      <c r="E28" s="76" t="str">
        <f>'Team Offense'!B27</f>
        <v/>
      </c>
      <c r="F28" s="76" t="str">
        <f>'Team Pitching &amp; Defense'!B27</f>
        <v/>
      </c>
      <c r="G28" s="40" t="str">
        <f>IF('Batter Leaders'!B27="","",'Batter Leaders'!B27)</f>
        <v>Isiah Kiner-Falefa</v>
      </c>
      <c r="H28" s="40" t="str">
        <f>IF('Pitcher Leaders'!B27="","",'Pitcher Leaders'!B27)</f>
        <v/>
      </c>
    </row>
    <row r="29" spans="5:8" x14ac:dyDescent="0.2">
      <c r="E29" s="76" t="str">
        <f>'Team Offense'!B28</f>
        <v/>
      </c>
      <c r="F29" s="76" t="str">
        <f>'Team Pitching &amp; Defense'!B28</f>
        <v/>
      </c>
      <c r="G29" s="40" t="str">
        <f>IF('Batter Leaders'!B28="","",'Batter Leaders'!B28)</f>
        <v/>
      </c>
      <c r="H29" s="40" t="str">
        <f>IF('Pitcher Leaders'!B28="","",'Pitcher Leaders'!B28)</f>
        <v/>
      </c>
    </row>
    <row r="30" spans="5:8" x14ac:dyDescent="0.2">
      <c r="E30" s="76" t="str">
        <f>'Team Offense'!B29</f>
        <v/>
      </c>
      <c r="F30" s="76" t="str">
        <f>'Team Pitching &amp; Defense'!B29</f>
        <v/>
      </c>
      <c r="G30" s="40" t="str">
        <f>IF('Batter Leaders'!B29="","",'Batter Leaders'!B29)</f>
        <v/>
      </c>
      <c r="H30" s="40" t="str">
        <f>IF('Pitcher Leaders'!B29="","",'Pitcher Leaders'!B29)</f>
        <v/>
      </c>
    </row>
    <row r="31" spans="5:8" x14ac:dyDescent="0.2">
      <c r="E31" s="76" t="str">
        <f>'Team Offense'!B30</f>
        <v/>
      </c>
      <c r="F31" s="76" t="str">
        <f>'Team Pitching &amp; Defense'!B30</f>
        <v/>
      </c>
      <c r="G31" s="40" t="str">
        <f>IF('Batter Leaders'!B30="","",'Batter Leaders'!B30)</f>
        <v/>
      </c>
      <c r="H31" s="40" t="str">
        <f>IF('Pitcher Leaders'!B30="","",'Pitcher Leaders'!B30)</f>
        <v/>
      </c>
    </row>
    <row r="32" spans="5:8" x14ac:dyDescent="0.2">
      <c r="E32" s="76" t="str">
        <f>'Team Offense'!B31</f>
        <v/>
      </c>
      <c r="F32" s="76" t="str">
        <f>'Team Pitching &amp; Defense'!B31</f>
        <v/>
      </c>
      <c r="G32" s="40" t="str">
        <f>IF('Batter Leaders'!B31="","",'Batter Leaders'!B31)</f>
        <v/>
      </c>
      <c r="H32" s="40" t="str">
        <f>IF('Pitcher Leaders'!B31="","",'Pitcher Leaders'!B31)</f>
        <v/>
      </c>
    </row>
    <row r="33" spans="5:8" x14ac:dyDescent="0.2">
      <c r="E33" s="76" t="str">
        <f>'Team Offense'!B32</f>
        <v/>
      </c>
      <c r="F33" s="76" t="str">
        <f>'Team Pitching &amp; Defense'!B32</f>
        <v/>
      </c>
      <c r="G33" s="40" t="str">
        <f>IF('Batter Leaders'!B32="","",'Batter Leaders'!B32)</f>
        <v/>
      </c>
      <c r="H33" s="40" t="str">
        <f>IF('Pitcher Leaders'!B32="","",'Pitcher Leaders'!B32)</f>
        <v/>
      </c>
    </row>
    <row r="34" spans="5:8" x14ac:dyDescent="0.2">
      <c r="E34" s="76" t="str">
        <f>'Team Offense'!B33</f>
        <v/>
      </c>
      <c r="F34" s="76" t="str">
        <f>'Team Pitching &amp; Defense'!B33</f>
        <v/>
      </c>
      <c r="G34" s="40" t="str">
        <f>IF('Batter Leaders'!B33="","",'Batter Leaders'!B33)</f>
        <v/>
      </c>
      <c r="H34" s="40" t="str">
        <f>IF('Pitcher Leaders'!B33="","",'Pitcher Leaders'!B33)</f>
        <v/>
      </c>
    </row>
    <row r="35" spans="5:8" x14ac:dyDescent="0.2">
      <c r="E35" s="76" t="str">
        <f>'Team Offense'!B34</f>
        <v/>
      </c>
      <c r="F35" s="76" t="str">
        <f>'Team Pitching &amp; Defense'!B34</f>
        <v/>
      </c>
      <c r="G35" s="40" t="str">
        <f>IF('Batter Leaders'!B34="","",'Batter Leaders'!B34)</f>
        <v/>
      </c>
      <c r="H35" s="40" t="str">
        <f>IF('Pitcher Leaders'!B34="","",'Pitcher Leaders'!B34)</f>
        <v/>
      </c>
    </row>
    <row r="36" spans="5:8" x14ac:dyDescent="0.2">
      <c r="E36" s="76" t="str">
        <f>'Team Offense'!B35</f>
        <v/>
      </c>
      <c r="F36" s="76" t="str">
        <f>'Team Pitching &amp; Defense'!B35</f>
        <v/>
      </c>
      <c r="G36" s="40" t="str">
        <f>IF('Batter Leaders'!B35="","",'Batter Leaders'!B35)</f>
        <v/>
      </c>
      <c r="H36" s="40" t="str">
        <f>IF('Pitcher Leaders'!B35="","",'Pitcher Leaders'!B35)</f>
        <v/>
      </c>
    </row>
    <row r="37" spans="5:8" x14ac:dyDescent="0.2">
      <c r="G37" s="40" t="str">
        <f>IF('Batter Leaders'!B36="","",'Batter Leaders'!B36)</f>
        <v/>
      </c>
      <c r="H37" s="40" t="str">
        <f>IF('Pitcher Leaders'!B36="","",'Pitcher Leaders'!B36)</f>
        <v/>
      </c>
    </row>
    <row r="38" spans="5:8" x14ac:dyDescent="0.2">
      <c r="G38" s="40" t="str">
        <f>IF('Batter Leaders'!B37="","",'Batter Leaders'!B37)</f>
        <v/>
      </c>
      <c r="H38" s="40" t="str">
        <f>IF('Pitcher Leaders'!B37="","",'Pitcher Leaders'!B37)</f>
        <v/>
      </c>
    </row>
    <row r="39" spans="5:8" x14ac:dyDescent="0.2">
      <c r="G39" s="40" t="str">
        <f>IF('Batter Leaders'!B38="","",'Batter Leaders'!B38)</f>
        <v/>
      </c>
      <c r="H39" s="40" t="str">
        <f>IF('Pitcher Leaders'!B38="","",'Pitcher Leaders'!B38)</f>
        <v/>
      </c>
    </row>
    <row r="40" spans="5:8" x14ac:dyDescent="0.2">
      <c r="G40" s="40" t="str">
        <f>IF('Batter Leaders'!B39="","",'Batter Leaders'!B39)</f>
        <v/>
      </c>
      <c r="H40" s="40" t="str">
        <f>IF('Pitcher Leaders'!B39="","",'Pitcher Leaders'!B39)</f>
        <v/>
      </c>
    </row>
    <row r="41" spans="5:8" x14ac:dyDescent="0.2">
      <c r="G41" s="40" t="str">
        <f>IF('Batter Leaders'!B40="","",'Batter Leaders'!B40)</f>
        <v/>
      </c>
      <c r="H41" s="40" t="str">
        <f>IF('Pitcher Leaders'!B40="","",'Pitcher Leaders'!B40)</f>
        <v/>
      </c>
    </row>
    <row r="42" spans="5:8" x14ac:dyDescent="0.2">
      <c r="G42" s="40" t="str">
        <f>IF('Batter Leaders'!B41="","",'Batter Leaders'!B41)</f>
        <v/>
      </c>
      <c r="H42" s="40" t="str">
        <f>IF('Pitcher Leaders'!B41="","",'Pitcher Leaders'!B41)</f>
        <v/>
      </c>
    </row>
    <row r="43" spans="5:8" x14ac:dyDescent="0.2">
      <c r="G43" s="40" t="str">
        <f>IF('Batter Leaders'!B42="","",'Batter Leaders'!B42)</f>
        <v/>
      </c>
      <c r="H43" s="40" t="str">
        <f>IF('Pitcher Leaders'!B42="","",'Pitcher Leaders'!B42)</f>
        <v/>
      </c>
    </row>
    <row r="44" spans="5:8" x14ac:dyDescent="0.2">
      <c r="G44" s="40" t="str">
        <f>IF('Batter Leaders'!B43="","",'Batter Leaders'!B43)</f>
        <v/>
      </c>
      <c r="H44" s="40" t="str">
        <f>IF('Pitcher Leaders'!B43="","",'Pitcher Leaders'!B43)</f>
        <v/>
      </c>
    </row>
    <row r="45" spans="5:8" x14ac:dyDescent="0.2">
      <c r="G45" s="40" t="str">
        <f>IF('Batter Leaders'!B44="","",'Batter Leaders'!B44)</f>
        <v/>
      </c>
      <c r="H45" s="40" t="str">
        <f>IF('Pitcher Leaders'!B44="","",'Pitcher Leaders'!B44)</f>
        <v/>
      </c>
    </row>
    <row r="46" spans="5:8" x14ac:dyDescent="0.2">
      <c r="G46" s="40" t="str">
        <f>IF('Batter Leaders'!B45="","",'Batter Leaders'!B45)</f>
        <v/>
      </c>
      <c r="H46" s="40" t="str">
        <f>IF('Pitcher Leaders'!B45="","",'Pitcher Leaders'!B45)</f>
        <v/>
      </c>
    </row>
    <row r="47" spans="5:8" x14ac:dyDescent="0.2">
      <c r="G47" s="40" t="str">
        <f>IF('Batter Leaders'!B46="","",'Batter Leaders'!B46)</f>
        <v/>
      </c>
      <c r="H47" s="40" t="str">
        <f>IF('Pitcher Leaders'!B46="","",'Pitcher Leaders'!B46)</f>
        <v/>
      </c>
    </row>
    <row r="48" spans="5:8" x14ac:dyDescent="0.2">
      <c r="G48" s="40" t="str">
        <f>IF('Batter Leaders'!B47="","",'Batter Leaders'!B47)</f>
        <v/>
      </c>
      <c r="H48" s="40" t="str">
        <f>IF('Pitcher Leaders'!B47="","",'Pitcher Leaders'!B47)</f>
        <v/>
      </c>
    </row>
    <row r="49" spans="7:8" x14ac:dyDescent="0.2">
      <c r="G49" s="40" t="str">
        <f>IF('Batter Leaders'!B48="","",'Batter Leaders'!B48)</f>
        <v/>
      </c>
      <c r="H49" s="40" t="str">
        <f>IF('Pitcher Leaders'!B48="","",'Pitcher Leaders'!B48)</f>
        <v/>
      </c>
    </row>
    <row r="50" spans="7:8" x14ac:dyDescent="0.2">
      <c r="G50" s="40" t="str">
        <f>IF('Batter Leaders'!B49="","",'Batter Leaders'!B49)</f>
        <v/>
      </c>
      <c r="H50" s="40" t="str">
        <f>IF('Pitcher Leaders'!B49="","",'Pitcher Leaders'!B49)</f>
        <v/>
      </c>
    </row>
    <row r="51" spans="7:8" x14ac:dyDescent="0.2">
      <c r="G51" s="40" t="str">
        <f>IF('Batter Leaders'!B50="","",'Batter Leaders'!B50)</f>
        <v/>
      </c>
      <c r="H51" s="40" t="str">
        <f>IF('Pitcher Leaders'!B50="","",'Pitcher Leaders'!B50)</f>
        <v/>
      </c>
    </row>
    <row r="52" spans="7:8" x14ac:dyDescent="0.2">
      <c r="G52" s="40" t="str">
        <f>IF('Batter Leaders'!B51="","",'Batter Leaders'!B51)</f>
        <v/>
      </c>
      <c r="H52" s="40" t="str">
        <f>IF('Pitcher Leaders'!B51="","",'Pitcher Leaders'!B51)</f>
        <v/>
      </c>
    </row>
    <row r="53" spans="7:8" x14ac:dyDescent="0.2">
      <c r="G53" s="40" t="str">
        <f>IF('Batter Leaders'!B52="","",'Batter Leaders'!B52)</f>
        <v/>
      </c>
      <c r="H53" s="40" t="str">
        <f>IF('Pitcher Leaders'!B52="","",'Pitcher Leaders'!B52)</f>
        <v/>
      </c>
    </row>
    <row r="54" spans="7:8" x14ac:dyDescent="0.2">
      <c r="G54" s="40" t="str">
        <f>IF('Batter Leaders'!B53="","",'Batter Leaders'!B53)</f>
        <v/>
      </c>
      <c r="H54" s="40" t="str">
        <f>IF('Pitcher Leaders'!B53="","",'Pitcher Leaders'!B53)</f>
        <v/>
      </c>
    </row>
    <row r="55" spans="7:8" x14ac:dyDescent="0.2">
      <c r="G55" s="40" t="str">
        <f>IF('Batter Leaders'!B54="","",'Batter Leaders'!B54)</f>
        <v/>
      </c>
      <c r="H55" s="40" t="str">
        <f>IF('Pitcher Leaders'!B54="","",'Pitcher Leaders'!B54)</f>
        <v/>
      </c>
    </row>
    <row r="56" spans="7:8" x14ac:dyDescent="0.2">
      <c r="G56" s="40" t="str">
        <f>IF('Batter Leaders'!B55="","",'Batter Leaders'!B55)</f>
        <v/>
      </c>
      <c r="H56" s="40" t="str">
        <f>IF('Pitcher Leaders'!B55="","",'Pitcher Leaders'!B55)</f>
        <v/>
      </c>
    </row>
    <row r="57" spans="7:8" x14ac:dyDescent="0.2">
      <c r="G57" s="40" t="str">
        <f>IF('Batter Leaders'!B56="","",'Batter Leaders'!B56)</f>
        <v/>
      </c>
      <c r="H57" s="40" t="str">
        <f>IF('Pitcher Leaders'!B56="","",'Pitcher Leaders'!B56)</f>
        <v/>
      </c>
    </row>
    <row r="58" spans="7:8" x14ac:dyDescent="0.2">
      <c r="G58" s="40" t="str">
        <f>IF('Batter Leaders'!B57="","",'Batter Leaders'!B57)</f>
        <v/>
      </c>
      <c r="H58" s="40" t="str">
        <f>IF('Pitcher Leaders'!B57="","",'Pitcher Leaders'!B57)</f>
        <v/>
      </c>
    </row>
    <row r="59" spans="7:8" x14ac:dyDescent="0.2">
      <c r="G59" s="40" t="str">
        <f>IF('Batter Leaders'!B58="","",'Batter Leaders'!B58)</f>
        <v/>
      </c>
      <c r="H59" s="40" t="str">
        <f>IF('Pitcher Leaders'!B58="","",'Pitcher Leaders'!B58)</f>
        <v/>
      </c>
    </row>
    <row r="60" spans="7:8" x14ac:dyDescent="0.2">
      <c r="G60" s="40" t="str">
        <f>IF('Batter Leaders'!B59="","",'Batter Leaders'!B59)</f>
        <v/>
      </c>
      <c r="H60" s="40" t="str">
        <f>IF('Pitcher Leaders'!B59="","",'Pitcher Leaders'!B59)</f>
        <v/>
      </c>
    </row>
    <row r="61" spans="7:8" x14ac:dyDescent="0.2">
      <c r="G61" s="40" t="str">
        <f>IF('Batter Leaders'!B60="","",'Batter Leaders'!B60)</f>
        <v/>
      </c>
      <c r="H61" s="40" t="str">
        <f>IF('Pitcher Leaders'!B60="","",'Pitcher Leaders'!B60)</f>
        <v/>
      </c>
    </row>
    <row r="62" spans="7:8" x14ac:dyDescent="0.2">
      <c r="G62" s="40" t="str">
        <f>IF('Batter Leaders'!B61="","",'Batter Leaders'!B61)</f>
        <v/>
      </c>
      <c r="H62" s="40" t="str">
        <f>IF('Pitcher Leaders'!B61="","",'Pitcher Leaders'!B61)</f>
        <v/>
      </c>
    </row>
    <row r="63" spans="7:8" x14ac:dyDescent="0.2">
      <c r="G63" s="40" t="str">
        <f>IF('Batter Leaders'!B62="","",'Batter Leaders'!B62)</f>
        <v/>
      </c>
      <c r="H63" s="40" t="str">
        <f>IF('Pitcher Leaders'!B62="","",'Pitcher Leaders'!B62)</f>
        <v/>
      </c>
    </row>
    <row r="64" spans="7:8" x14ac:dyDescent="0.2">
      <c r="G64" s="40" t="str">
        <f>IF('Batter Leaders'!B63="","",'Batter Leaders'!B63)</f>
        <v/>
      </c>
      <c r="H64" s="40" t="str">
        <f>IF('Pitcher Leaders'!B63="","",'Pitcher Leaders'!B63)</f>
        <v/>
      </c>
    </row>
    <row r="65" spans="7:8" x14ac:dyDescent="0.2">
      <c r="G65" s="40" t="str">
        <f>IF('Batter Leaders'!B64="","",'Batter Leaders'!B64)</f>
        <v/>
      </c>
      <c r="H65" s="40" t="str">
        <f>IF('Pitcher Leaders'!B64="","",'Pitcher Leaders'!B64)</f>
        <v/>
      </c>
    </row>
    <row r="66" spans="7:8" x14ac:dyDescent="0.2">
      <c r="G66" s="40" t="str">
        <f>IF('Batter Leaders'!B65="","",'Batter Leaders'!B65)</f>
        <v/>
      </c>
      <c r="H66" s="40" t="str">
        <f>IF('Pitcher Leaders'!B65="","",'Pitcher Leaders'!B65)</f>
        <v/>
      </c>
    </row>
    <row r="67" spans="7:8" x14ac:dyDescent="0.2">
      <c r="G67" s="40" t="str">
        <f>IF('Batter Leaders'!B66="","",'Batter Leaders'!B66)</f>
        <v/>
      </c>
      <c r="H67" s="40" t="str">
        <f>IF('Pitcher Leaders'!B66="","",'Pitcher Leaders'!B66)</f>
        <v/>
      </c>
    </row>
    <row r="68" spans="7:8" x14ac:dyDescent="0.2">
      <c r="G68" s="40" t="str">
        <f>IF('Batter Leaders'!B67="","",'Batter Leaders'!B67)</f>
        <v/>
      </c>
      <c r="H68" s="40" t="str">
        <f>IF('Pitcher Leaders'!B67="","",'Pitcher Leaders'!B67)</f>
        <v/>
      </c>
    </row>
    <row r="69" spans="7:8" x14ac:dyDescent="0.2">
      <c r="G69" s="40" t="str">
        <f>IF('Batter Leaders'!B68="","",'Batter Leaders'!B68)</f>
        <v/>
      </c>
      <c r="H69" s="40" t="str">
        <f>IF('Pitcher Leaders'!B68="","",'Pitcher Leaders'!B68)</f>
        <v/>
      </c>
    </row>
    <row r="70" spans="7:8" x14ac:dyDescent="0.2">
      <c r="G70" s="40" t="str">
        <f>IF('Batter Leaders'!B69="","",'Batter Leaders'!B69)</f>
        <v/>
      </c>
      <c r="H70" s="40" t="str">
        <f>IF('Pitcher Leaders'!B69="","",'Pitcher Leaders'!B69)</f>
        <v/>
      </c>
    </row>
    <row r="71" spans="7:8" x14ac:dyDescent="0.2">
      <c r="G71" s="40" t="str">
        <f>IF('Batter Leaders'!B70="","",'Batter Leaders'!B70)</f>
        <v/>
      </c>
      <c r="H71" s="40" t="str">
        <f>IF('Pitcher Leaders'!B70="","",'Pitcher Leaders'!B70)</f>
        <v/>
      </c>
    </row>
    <row r="72" spans="7:8" x14ac:dyDescent="0.2">
      <c r="G72" s="40" t="str">
        <f>IF('Batter Leaders'!B71="","",'Batter Leaders'!B71)</f>
        <v/>
      </c>
      <c r="H72" s="40" t="str">
        <f>IF('Pitcher Leaders'!B71="","",'Pitcher Leaders'!B71)</f>
        <v/>
      </c>
    </row>
    <row r="73" spans="7:8" x14ac:dyDescent="0.2">
      <c r="G73" s="40" t="str">
        <f>IF('Batter Leaders'!B72="","",'Batter Leaders'!B72)</f>
        <v/>
      </c>
      <c r="H73" s="40" t="str">
        <f>IF('Pitcher Leaders'!B72="","",'Pitcher Leaders'!B72)</f>
        <v/>
      </c>
    </row>
    <row r="74" spans="7:8" x14ac:dyDescent="0.2">
      <c r="G74" s="40" t="str">
        <f>IF('Batter Leaders'!B73="","",'Batter Leaders'!B73)</f>
        <v/>
      </c>
      <c r="H74" s="40" t="str">
        <f>IF('Pitcher Leaders'!B73="","",'Pitcher Leaders'!B73)</f>
        <v/>
      </c>
    </row>
    <row r="75" spans="7:8" x14ac:dyDescent="0.2">
      <c r="G75" s="40" t="str">
        <f>IF('Batter Leaders'!B74="","",'Batter Leaders'!B74)</f>
        <v/>
      </c>
      <c r="H75" s="40" t="str">
        <f>IF('Pitcher Leaders'!B74="","",'Pitcher Leaders'!B74)</f>
        <v/>
      </c>
    </row>
    <row r="76" spans="7:8" x14ac:dyDescent="0.2">
      <c r="G76" s="40" t="str">
        <f>IF('Batter Leaders'!B75="","",'Batter Leaders'!B75)</f>
        <v/>
      </c>
      <c r="H76" s="40" t="str">
        <f>IF('Pitcher Leaders'!B75="","",'Pitcher Leaders'!B75)</f>
        <v/>
      </c>
    </row>
    <row r="77" spans="7:8" x14ac:dyDescent="0.2">
      <c r="G77" s="40" t="str">
        <f>IF('Batter Leaders'!B76="","",'Batter Leaders'!B76)</f>
        <v/>
      </c>
      <c r="H77" s="40" t="str">
        <f>IF('Pitcher Leaders'!B76="","",'Pitcher Leaders'!B76)</f>
        <v/>
      </c>
    </row>
    <row r="78" spans="7:8" x14ac:dyDescent="0.2">
      <c r="G78" s="40" t="str">
        <f>IF('Batter Leaders'!B77="","",'Batter Leaders'!B77)</f>
        <v/>
      </c>
      <c r="H78" s="40" t="str">
        <f>IF('Pitcher Leaders'!B77="","",'Pitcher Leaders'!B77)</f>
        <v/>
      </c>
    </row>
    <row r="79" spans="7:8" x14ac:dyDescent="0.2">
      <c r="G79" s="40" t="str">
        <f>IF('Batter Leaders'!B78="","",'Batter Leaders'!B78)</f>
        <v/>
      </c>
      <c r="H79" s="40" t="str">
        <f>IF('Pitcher Leaders'!B78="","",'Pitcher Leaders'!B78)</f>
        <v/>
      </c>
    </row>
    <row r="80" spans="7:8" x14ac:dyDescent="0.2">
      <c r="G80" s="40" t="str">
        <f>IF('Batter Leaders'!B79="","",'Batter Leaders'!B79)</f>
        <v/>
      </c>
      <c r="H80" s="40" t="str">
        <f>IF('Pitcher Leaders'!B79="","",'Pitcher Leaders'!B79)</f>
        <v/>
      </c>
    </row>
    <row r="81" spans="7:8" x14ac:dyDescent="0.2">
      <c r="G81" s="40" t="str">
        <f>IF('Batter Leaders'!B80="","",'Batter Leaders'!B80)</f>
        <v/>
      </c>
      <c r="H81" s="40" t="str">
        <f>IF('Pitcher Leaders'!B80="","",'Pitcher Leaders'!B80)</f>
        <v/>
      </c>
    </row>
    <row r="82" spans="7:8" x14ac:dyDescent="0.2">
      <c r="G82" s="40" t="str">
        <f>IF('Batter Leaders'!B81="","",'Batter Leaders'!B81)</f>
        <v/>
      </c>
      <c r="H82" s="40" t="str">
        <f>IF('Pitcher Leaders'!B81="","",'Pitcher Leaders'!B81)</f>
        <v/>
      </c>
    </row>
    <row r="83" spans="7:8" x14ac:dyDescent="0.2">
      <c r="G83" s="40" t="str">
        <f>IF('Batter Leaders'!B82="","",'Batter Leaders'!B82)</f>
        <v/>
      </c>
      <c r="H83" s="40" t="str">
        <f>IF('Pitcher Leaders'!B82="","",'Pitcher Leaders'!B82)</f>
        <v/>
      </c>
    </row>
    <row r="84" spans="7:8" x14ac:dyDescent="0.2">
      <c r="G84" s="40" t="str">
        <f>IF('Batter Leaders'!B83="","",'Batter Leaders'!B83)</f>
        <v/>
      </c>
      <c r="H84" s="40" t="str">
        <f>IF('Pitcher Leaders'!B83="","",'Pitcher Leaders'!B83)</f>
        <v/>
      </c>
    </row>
    <row r="85" spans="7:8" x14ac:dyDescent="0.2">
      <c r="G85" s="40" t="str">
        <f>IF('Batter Leaders'!B84="","",'Batter Leaders'!B84)</f>
        <v/>
      </c>
      <c r="H85" s="40" t="str">
        <f>IF('Pitcher Leaders'!B84="","",'Pitcher Leaders'!B84)</f>
        <v/>
      </c>
    </row>
    <row r="86" spans="7:8" x14ac:dyDescent="0.2">
      <c r="G86" s="40" t="str">
        <f>IF('Batter Leaders'!B85="","",'Batter Leaders'!B85)</f>
        <v/>
      </c>
      <c r="H86" s="40" t="str">
        <f>IF('Pitcher Leaders'!B85="","",'Pitcher Leaders'!B85)</f>
        <v/>
      </c>
    </row>
    <row r="87" spans="7:8" x14ac:dyDescent="0.2">
      <c r="G87" s="40" t="str">
        <f>IF('Batter Leaders'!B86="","",'Batter Leaders'!B86)</f>
        <v/>
      </c>
      <c r="H87" s="40" t="str">
        <f>IF('Pitcher Leaders'!B86="","",'Pitcher Leaders'!B86)</f>
        <v/>
      </c>
    </row>
    <row r="88" spans="7:8" x14ac:dyDescent="0.2">
      <c r="G88" s="40" t="str">
        <f>IF('Batter Leaders'!B87="","",'Batter Leaders'!B87)</f>
        <v/>
      </c>
      <c r="H88" s="40" t="str">
        <f>IF('Pitcher Leaders'!B87="","",'Pitcher Leaders'!B87)</f>
        <v/>
      </c>
    </row>
    <row r="89" spans="7:8" x14ac:dyDescent="0.2">
      <c r="G89" s="40" t="str">
        <f>IF('Batter Leaders'!B88="","",'Batter Leaders'!B88)</f>
        <v/>
      </c>
      <c r="H89" s="40" t="str">
        <f>IF('Pitcher Leaders'!B88="","",'Pitcher Leaders'!B88)</f>
        <v/>
      </c>
    </row>
    <row r="90" spans="7:8" x14ac:dyDescent="0.2">
      <c r="G90" s="40" t="str">
        <f>IF('Batter Leaders'!B89="","",'Batter Leaders'!B89)</f>
        <v/>
      </c>
      <c r="H90" s="40" t="str">
        <f>IF('Pitcher Leaders'!B89="","",'Pitcher Leaders'!B89)</f>
        <v/>
      </c>
    </row>
    <row r="91" spans="7:8" x14ac:dyDescent="0.2">
      <c r="G91" s="40" t="str">
        <f>IF('Batter Leaders'!B90="","",'Batter Leaders'!B90)</f>
        <v/>
      </c>
      <c r="H91" s="40" t="str">
        <f>IF('Pitcher Leaders'!B90="","",'Pitcher Leaders'!B90)</f>
        <v/>
      </c>
    </row>
    <row r="92" spans="7:8" x14ac:dyDescent="0.2">
      <c r="G92" s="40" t="str">
        <f>IF('Batter Leaders'!B91="","",'Batter Leaders'!B91)</f>
        <v/>
      </c>
      <c r="H92" s="40" t="str">
        <f>IF('Pitcher Leaders'!B91="","",'Pitcher Leaders'!B91)</f>
        <v/>
      </c>
    </row>
    <row r="93" spans="7:8" x14ac:dyDescent="0.2">
      <c r="G93" s="40" t="str">
        <f>IF('Batter Leaders'!B92="","",'Batter Leaders'!B92)</f>
        <v/>
      </c>
      <c r="H93" s="40" t="str">
        <f>IF('Pitcher Leaders'!B92="","",'Pitcher Leaders'!B92)</f>
        <v/>
      </c>
    </row>
    <row r="94" spans="7:8" x14ac:dyDescent="0.2">
      <c r="G94" s="40" t="str">
        <f>IF('Batter Leaders'!B93="","",'Batter Leaders'!B93)</f>
        <v/>
      </c>
      <c r="H94" s="40" t="str">
        <f>IF('Pitcher Leaders'!B93="","",'Pitcher Leaders'!B93)</f>
        <v/>
      </c>
    </row>
    <row r="95" spans="7:8" x14ac:dyDescent="0.2">
      <c r="G95" s="40" t="str">
        <f>IF('Batter Leaders'!B94="","",'Batter Leaders'!B94)</f>
        <v/>
      </c>
      <c r="H95" s="40" t="str">
        <f>IF('Pitcher Leaders'!B94="","",'Pitcher Leaders'!B94)</f>
        <v/>
      </c>
    </row>
    <row r="96" spans="7:8" x14ac:dyDescent="0.2">
      <c r="G96" s="40" t="str">
        <f>IF('Batter Leaders'!B95="","",'Batter Leaders'!B95)</f>
        <v/>
      </c>
      <c r="H96" s="40" t="str">
        <f>IF('Pitcher Leaders'!B95="","",'Pitcher Leaders'!B95)</f>
        <v/>
      </c>
    </row>
    <row r="97" spans="7:8" x14ac:dyDescent="0.2">
      <c r="G97" s="40" t="str">
        <f>IF('Batter Leaders'!B96="","",'Batter Leaders'!B96)</f>
        <v/>
      </c>
      <c r="H97" s="40" t="str">
        <f>IF('Pitcher Leaders'!B96="","",'Pitcher Leaders'!B96)</f>
        <v/>
      </c>
    </row>
    <row r="98" spans="7:8" x14ac:dyDescent="0.2">
      <c r="G98" s="40" t="str">
        <f>IF('Batter Leaders'!B97="","",'Batter Leaders'!B97)</f>
        <v/>
      </c>
      <c r="H98" s="40" t="str">
        <f>IF('Pitcher Leaders'!B97="","",'Pitcher Leaders'!B97)</f>
        <v/>
      </c>
    </row>
    <row r="99" spans="7:8" x14ac:dyDescent="0.2">
      <c r="G99" s="40" t="str">
        <f>IF('Batter Leaders'!B98="","",'Batter Leaders'!B98)</f>
        <v/>
      </c>
      <c r="H99" s="40" t="str">
        <f>IF('Pitcher Leaders'!B98="","",'Pitcher Leaders'!B98)</f>
        <v/>
      </c>
    </row>
    <row r="100" spans="7:8" x14ac:dyDescent="0.2">
      <c r="G100" s="40" t="str">
        <f>IF('Batter Leaders'!B99="","",'Batter Leaders'!B99)</f>
        <v/>
      </c>
      <c r="H100" s="40" t="str">
        <f>IF('Pitcher Leaders'!B99="","",'Pitcher Leaders'!B99)</f>
        <v/>
      </c>
    </row>
    <row r="101" spans="7:8" x14ac:dyDescent="0.2">
      <c r="G101" s="40" t="str">
        <f>IF('Batter Leaders'!B100="","",'Batter Leaders'!B100)</f>
        <v/>
      </c>
      <c r="H101" s="40" t="str">
        <f>IF('Pitcher Leaders'!B100="","",'Pitcher Leaders'!B100)</f>
        <v/>
      </c>
    </row>
    <row r="102" spans="7:8" x14ac:dyDescent="0.2">
      <c r="G102" s="40" t="str">
        <f>IF('Batter Leaders'!B101="","",'Batter Leaders'!B101)</f>
        <v/>
      </c>
      <c r="H102" s="40" t="str">
        <f>IF('Pitcher Leaders'!B101="","",'Pitcher Leaders'!B101)</f>
        <v/>
      </c>
    </row>
    <row r="103" spans="7:8" x14ac:dyDescent="0.2">
      <c r="G103" s="40" t="str">
        <f>IF('Batter Leaders'!B102="","",'Batter Leaders'!B102)</f>
        <v/>
      </c>
      <c r="H103" s="40" t="str">
        <f>IF('Pitcher Leaders'!B102="","",'Pitcher Leaders'!B102)</f>
        <v/>
      </c>
    </row>
    <row r="104" spans="7:8" x14ac:dyDescent="0.2">
      <c r="G104" s="40" t="str">
        <f>IF('Batter Leaders'!B103="","",'Batter Leaders'!B103)</f>
        <v/>
      </c>
      <c r="H104" s="40" t="str">
        <f>IF('Pitcher Leaders'!B103="","",'Pitcher Leaders'!B103)</f>
        <v/>
      </c>
    </row>
    <row r="105" spans="7:8" x14ac:dyDescent="0.2">
      <c r="G105" s="40" t="str">
        <f>IF('Batter Leaders'!B104="","",'Batter Leaders'!B104)</f>
        <v/>
      </c>
      <c r="H105" s="40" t="str">
        <f>IF('Pitcher Leaders'!B104="","",'Pitcher Leaders'!B104)</f>
        <v/>
      </c>
    </row>
    <row r="106" spans="7:8" x14ac:dyDescent="0.2">
      <c r="G106" s="40" t="str">
        <f>IF('Batter Leaders'!B105="","",'Batter Leaders'!B105)</f>
        <v/>
      </c>
      <c r="H106" s="40" t="str">
        <f>IF('Pitcher Leaders'!B105="","",'Pitcher Leaders'!B105)</f>
        <v/>
      </c>
    </row>
    <row r="107" spans="7:8" x14ac:dyDescent="0.2">
      <c r="G107" s="40" t="str">
        <f>IF('Batter Leaders'!B106="","",'Batter Leaders'!B106)</f>
        <v/>
      </c>
      <c r="H107" s="40" t="str">
        <f>IF('Pitcher Leaders'!B106="","",'Pitcher Leaders'!B106)</f>
        <v/>
      </c>
    </row>
    <row r="108" spans="7:8" x14ac:dyDescent="0.2">
      <c r="G108" s="40" t="str">
        <f>IF('Batter Leaders'!B107="","",'Batter Leaders'!B107)</f>
        <v/>
      </c>
      <c r="H108" s="40" t="str">
        <f>IF('Pitcher Leaders'!B107="","",'Pitcher Leaders'!B107)</f>
        <v/>
      </c>
    </row>
    <row r="109" spans="7:8" x14ac:dyDescent="0.2">
      <c r="G109" s="40" t="str">
        <f>IF('Batter Leaders'!B108="","",'Batter Leaders'!B108)</f>
        <v/>
      </c>
      <c r="H109" s="40" t="str">
        <f>IF('Pitcher Leaders'!B108="","",'Pitcher Leaders'!B108)</f>
        <v/>
      </c>
    </row>
    <row r="110" spans="7:8" x14ac:dyDescent="0.2">
      <c r="G110" s="40" t="str">
        <f>IF('Batter Leaders'!B109="","",'Batter Leaders'!B109)</f>
        <v/>
      </c>
      <c r="H110" s="40" t="str">
        <f>IF('Pitcher Leaders'!B109="","",'Pitcher Leaders'!B109)</f>
        <v/>
      </c>
    </row>
    <row r="111" spans="7:8" x14ac:dyDescent="0.2">
      <c r="G111" s="40" t="str">
        <f>IF('Batter Leaders'!B110="","",'Batter Leaders'!B110)</f>
        <v/>
      </c>
      <c r="H111" s="40" t="str">
        <f>IF('Pitcher Leaders'!B110="","",'Pitcher Leaders'!B110)</f>
        <v/>
      </c>
    </row>
    <row r="112" spans="7:8" x14ac:dyDescent="0.2">
      <c r="G112" s="40" t="str">
        <f>IF('Batter Leaders'!B111="","",'Batter Leaders'!B111)</f>
        <v/>
      </c>
      <c r="H112" s="40" t="str">
        <f>IF('Pitcher Leaders'!B111="","",'Pitcher Leaders'!B111)</f>
        <v/>
      </c>
    </row>
    <row r="113" spans="7:8" x14ac:dyDescent="0.2">
      <c r="G113" s="40" t="str">
        <f>IF('Batter Leaders'!B112="","",'Batter Leaders'!B112)</f>
        <v/>
      </c>
      <c r="H113" s="40" t="str">
        <f>IF('Pitcher Leaders'!B112="","",'Pitcher Leaders'!B112)</f>
        <v/>
      </c>
    </row>
    <row r="114" spans="7:8" x14ac:dyDescent="0.2">
      <c r="G114" s="40" t="str">
        <f>IF('Batter Leaders'!B113="","",'Batter Leaders'!B113)</f>
        <v/>
      </c>
      <c r="H114" s="40" t="str">
        <f>IF('Pitcher Leaders'!B113="","",'Pitcher Leaders'!B113)</f>
        <v/>
      </c>
    </row>
    <row r="115" spans="7:8" x14ac:dyDescent="0.2">
      <c r="G115" s="40" t="str">
        <f>IF('Batter Leaders'!B114="","",'Batter Leaders'!B114)</f>
        <v/>
      </c>
      <c r="H115" s="40" t="str">
        <f>IF('Pitcher Leaders'!B114="","",'Pitcher Leaders'!B114)</f>
        <v/>
      </c>
    </row>
    <row r="116" spans="7:8" x14ac:dyDescent="0.2">
      <c r="G116" s="40" t="str">
        <f>IF('Batter Leaders'!B115="","",'Batter Leaders'!B115)</f>
        <v/>
      </c>
      <c r="H116" s="40" t="str">
        <f>IF('Pitcher Leaders'!B115="","",'Pitcher Leaders'!B115)</f>
        <v/>
      </c>
    </row>
    <row r="117" spans="7:8" x14ac:dyDescent="0.2">
      <c r="G117" s="40" t="str">
        <f>IF('Batter Leaders'!B116="","",'Batter Leaders'!B116)</f>
        <v/>
      </c>
      <c r="H117" s="40" t="str">
        <f>IF('Pitcher Leaders'!B116="","",'Pitcher Leaders'!B116)</f>
        <v/>
      </c>
    </row>
    <row r="118" spans="7:8" x14ac:dyDescent="0.2">
      <c r="G118" s="40" t="str">
        <f>IF('Batter Leaders'!B117="","",'Batter Leaders'!B117)</f>
        <v/>
      </c>
      <c r="H118" s="40" t="str">
        <f>IF('Pitcher Leaders'!B117="","",'Pitcher Leaders'!B117)</f>
        <v/>
      </c>
    </row>
    <row r="119" spans="7:8" x14ac:dyDescent="0.2">
      <c r="G119" s="40" t="str">
        <f>IF('Batter Leaders'!B118="","",'Batter Leaders'!B118)</f>
        <v/>
      </c>
      <c r="H119" s="40" t="str">
        <f>IF('Pitcher Leaders'!B118="","",'Pitcher Leaders'!B118)</f>
        <v/>
      </c>
    </row>
    <row r="120" spans="7:8" x14ac:dyDescent="0.2">
      <c r="G120" s="40" t="str">
        <f>IF('Batter Leaders'!B119="","",'Batter Leaders'!B119)</f>
        <v/>
      </c>
      <c r="H120" s="40" t="str">
        <f>IF('Pitcher Leaders'!B119="","",'Pitcher Leaders'!B119)</f>
        <v/>
      </c>
    </row>
    <row r="121" spans="7:8" x14ac:dyDescent="0.2">
      <c r="G121" s="40" t="str">
        <f>IF('Batter Leaders'!B120="","",'Batter Leaders'!B120)</f>
        <v/>
      </c>
      <c r="H121" s="40" t="str">
        <f>IF('Pitcher Leaders'!B120="","",'Pitcher Leaders'!B120)</f>
        <v/>
      </c>
    </row>
    <row r="122" spans="7:8" x14ac:dyDescent="0.2">
      <c r="G122" s="40" t="str">
        <f>IF('Batter Leaders'!B121="","",'Batter Leaders'!B121)</f>
        <v/>
      </c>
      <c r="H122" s="40" t="str">
        <f>IF('Pitcher Leaders'!B121="","",'Pitcher Leaders'!B121)</f>
        <v/>
      </c>
    </row>
    <row r="123" spans="7:8" x14ac:dyDescent="0.2">
      <c r="G123" s="40" t="str">
        <f>IF('Batter Leaders'!B122="","",'Batter Leaders'!B122)</f>
        <v/>
      </c>
      <c r="H123" s="40" t="str">
        <f>IF('Pitcher Leaders'!B122="","",'Pitcher Leaders'!B122)</f>
        <v/>
      </c>
    </row>
    <row r="124" spans="7:8" x14ac:dyDescent="0.2">
      <c r="G124" s="40" t="str">
        <f>IF('Batter Leaders'!B123="","",'Batter Leaders'!B123)</f>
        <v/>
      </c>
      <c r="H124" s="40" t="str">
        <f>IF('Pitcher Leaders'!B123="","",'Pitcher Leaders'!B123)</f>
        <v/>
      </c>
    </row>
    <row r="125" spans="7:8" x14ac:dyDescent="0.2">
      <c r="G125" s="40" t="str">
        <f>IF('Batter Leaders'!B124="","",'Batter Leaders'!B124)</f>
        <v/>
      </c>
      <c r="H125" s="40" t="str">
        <f>IF('Pitcher Leaders'!B124="","",'Pitcher Leaders'!B124)</f>
        <v/>
      </c>
    </row>
    <row r="126" spans="7:8" x14ac:dyDescent="0.2">
      <c r="G126" s="40" t="str">
        <f>IF('Batter Leaders'!B125="","",'Batter Leaders'!B125)</f>
        <v/>
      </c>
      <c r="H126" s="40" t="str">
        <f>IF('Pitcher Leaders'!B125="","",'Pitcher Leaders'!B125)</f>
        <v/>
      </c>
    </row>
    <row r="127" spans="7:8" x14ac:dyDescent="0.2">
      <c r="G127" s="40" t="str">
        <f>IF('Batter Leaders'!B126="","",'Batter Leaders'!B126)</f>
        <v/>
      </c>
      <c r="H127" s="40" t="str">
        <f>IF('Pitcher Leaders'!B126="","",'Pitcher Leaders'!B126)</f>
        <v/>
      </c>
    </row>
    <row r="128" spans="7:8" x14ac:dyDescent="0.2">
      <c r="G128" s="40" t="str">
        <f>IF('Batter Leaders'!B127="","",'Batter Leaders'!B127)</f>
        <v/>
      </c>
      <c r="H128" s="40" t="str">
        <f>IF('Pitcher Leaders'!B127="","",'Pitcher Leaders'!B127)</f>
        <v/>
      </c>
    </row>
    <row r="129" spans="7:8" x14ac:dyDescent="0.2">
      <c r="G129" s="40" t="str">
        <f>IF('Batter Leaders'!B128="","",'Batter Leaders'!B128)</f>
        <v/>
      </c>
      <c r="H129" s="40" t="str">
        <f>IF('Pitcher Leaders'!B128="","",'Pitcher Leaders'!B128)</f>
        <v/>
      </c>
    </row>
    <row r="130" spans="7:8" x14ac:dyDescent="0.2">
      <c r="G130" s="40" t="str">
        <f>IF('Batter Leaders'!B129="","",'Batter Leaders'!B129)</f>
        <v/>
      </c>
      <c r="H130" s="40" t="str">
        <f>IF('Pitcher Leaders'!B129="","",'Pitcher Leaders'!B129)</f>
        <v/>
      </c>
    </row>
    <row r="131" spans="7:8" x14ac:dyDescent="0.2">
      <c r="G131" s="40" t="str">
        <f>IF('Batter Leaders'!B130="","",'Batter Leaders'!B130)</f>
        <v/>
      </c>
      <c r="H131" s="40" t="str">
        <f>IF('Pitcher Leaders'!B130="","",'Pitcher Leaders'!B130)</f>
        <v/>
      </c>
    </row>
    <row r="132" spans="7:8" x14ac:dyDescent="0.2">
      <c r="G132" s="40" t="str">
        <f>IF('Batter Leaders'!B131="","",'Batter Leaders'!B131)</f>
        <v/>
      </c>
      <c r="H132" s="40" t="str">
        <f>IF('Pitcher Leaders'!B131="","",'Pitcher Leaders'!B131)</f>
        <v/>
      </c>
    </row>
    <row r="133" spans="7:8" x14ac:dyDescent="0.2">
      <c r="G133" s="40" t="str">
        <f>IF('Batter Leaders'!B132="","",'Batter Leaders'!B132)</f>
        <v/>
      </c>
      <c r="H133" s="40" t="str">
        <f>IF('Pitcher Leaders'!B132="","",'Pitcher Leaders'!B132)</f>
        <v/>
      </c>
    </row>
    <row r="134" spans="7:8" x14ac:dyDescent="0.2">
      <c r="G134" s="40" t="str">
        <f>IF('Batter Leaders'!B133="","",'Batter Leaders'!B133)</f>
        <v/>
      </c>
      <c r="H134" s="40" t="str">
        <f>IF('Pitcher Leaders'!B133="","",'Pitcher Leaders'!B133)</f>
        <v/>
      </c>
    </row>
    <row r="135" spans="7:8" x14ac:dyDescent="0.2">
      <c r="G135" s="40" t="str">
        <f>IF('Batter Leaders'!B134="","",'Batter Leaders'!B134)</f>
        <v/>
      </c>
      <c r="H135" s="40" t="str">
        <f>IF('Pitcher Leaders'!B134="","",'Pitcher Leaders'!B134)</f>
        <v/>
      </c>
    </row>
    <row r="136" spans="7:8" x14ac:dyDescent="0.2">
      <c r="G136" s="40" t="str">
        <f>IF('Batter Leaders'!B135="","",'Batter Leaders'!B135)</f>
        <v/>
      </c>
      <c r="H136" s="40" t="str">
        <f>IF('Pitcher Leaders'!B135="","",'Pitcher Leaders'!B135)</f>
        <v/>
      </c>
    </row>
    <row r="137" spans="7:8" x14ac:dyDescent="0.2">
      <c r="G137" s="40" t="str">
        <f>IF('Batter Leaders'!B136="","",'Batter Leaders'!B136)</f>
        <v/>
      </c>
      <c r="H137" s="40" t="str">
        <f>IF('Pitcher Leaders'!B136="","",'Pitcher Leaders'!B136)</f>
        <v/>
      </c>
    </row>
    <row r="138" spans="7:8" x14ac:dyDescent="0.2">
      <c r="G138" s="40" t="str">
        <f>IF('Batter Leaders'!B137="","",'Batter Leaders'!B137)</f>
        <v/>
      </c>
      <c r="H138" s="40" t="str">
        <f>IF('Pitcher Leaders'!B137="","",'Pitcher Leaders'!B137)</f>
        <v/>
      </c>
    </row>
    <row r="139" spans="7:8" x14ac:dyDescent="0.2">
      <c r="G139" s="40" t="str">
        <f>IF('Batter Leaders'!B138="","",'Batter Leaders'!B138)</f>
        <v/>
      </c>
      <c r="H139" s="40" t="str">
        <f>IF('Pitcher Leaders'!B138="","",'Pitcher Leaders'!B138)</f>
        <v/>
      </c>
    </row>
    <row r="140" spans="7:8" x14ac:dyDescent="0.2">
      <c r="G140" s="40" t="str">
        <f>IF('Batter Leaders'!B139="","",'Batter Leaders'!B139)</f>
        <v/>
      </c>
      <c r="H140" s="40" t="str">
        <f>IF('Pitcher Leaders'!B139="","",'Pitcher Leaders'!B139)</f>
        <v/>
      </c>
    </row>
    <row r="141" spans="7:8" x14ac:dyDescent="0.2">
      <c r="G141" s="40" t="str">
        <f>IF('Batter Leaders'!B140="","",'Batter Leaders'!B140)</f>
        <v/>
      </c>
      <c r="H141" s="40" t="str">
        <f>IF('Pitcher Leaders'!B140="","",'Pitcher Leaders'!B140)</f>
        <v/>
      </c>
    </row>
    <row r="142" spans="7:8" x14ac:dyDescent="0.2">
      <c r="G142" s="40" t="str">
        <f>IF('Batter Leaders'!B141="","",'Batter Leaders'!B141)</f>
        <v/>
      </c>
      <c r="H142" s="40" t="str">
        <f>IF('Pitcher Leaders'!B141="","",'Pitcher Leaders'!B141)</f>
        <v/>
      </c>
    </row>
    <row r="143" spans="7:8" x14ac:dyDescent="0.2">
      <c r="G143" s="40" t="str">
        <f>IF('Batter Leaders'!B142="","",'Batter Leaders'!B142)</f>
        <v/>
      </c>
      <c r="H143" s="40" t="str">
        <f>IF('Pitcher Leaders'!B142="","",'Pitcher Leaders'!B142)</f>
        <v/>
      </c>
    </row>
    <row r="144" spans="7:8" x14ac:dyDescent="0.2">
      <c r="G144" s="40" t="str">
        <f>IF('Batter Leaders'!B143="","",'Batter Leaders'!B143)</f>
        <v/>
      </c>
      <c r="H144" s="40" t="str">
        <f>IF('Pitcher Leaders'!B143="","",'Pitcher Leaders'!B143)</f>
        <v/>
      </c>
    </row>
    <row r="145" spans="7:8" x14ac:dyDescent="0.2">
      <c r="G145" s="40" t="str">
        <f>IF('Batter Leaders'!B144="","",'Batter Leaders'!B144)</f>
        <v/>
      </c>
      <c r="H145" s="40" t="str">
        <f>IF('Pitcher Leaders'!B144="","",'Pitcher Leaders'!B144)</f>
        <v/>
      </c>
    </row>
    <row r="146" spans="7:8" x14ac:dyDescent="0.2">
      <c r="G146" s="40" t="str">
        <f>IF('Batter Leaders'!B145="","",'Batter Leaders'!B145)</f>
        <v/>
      </c>
      <c r="H146" s="40" t="str">
        <f>IF('Pitcher Leaders'!B145="","",'Pitcher Leaders'!B145)</f>
        <v/>
      </c>
    </row>
    <row r="147" spans="7:8" x14ac:dyDescent="0.2">
      <c r="G147" s="40" t="str">
        <f>IF('Batter Leaders'!B146="","",'Batter Leaders'!B146)</f>
        <v/>
      </c>
      <c r="H147" s="40" t="str">
        <f>IF('Pitcher Leaders'!B146="","",'Pitcher Leaders'!B146)</f>
        <v/>
      </c>
    </row>
    <row r="148" spans="7:8" x14ac:dyDescent="0.2">
      <c r="G148" s="40" t="str">
        <f>IF('Batter Leaders'!B147="","",'Batter Leaders'!B147)</f>
        <v/>
      </c>
      <c r="H148" s="40" t="str">
        <f>IF('Pitcher Leaders'!B147="","",'Pitcher Leaders'!B147)</f>
        <v/>
      </c>
    </row>
    <row r="149" spans="7:8" x14ac:dyDescent="0.2">
      <c r="G149" s="40" t="str">
        <f>IF('Batter Leaders'!B148="","",'Batter Leaders'!B148)</f>
        <v/>
      </c>
      <c r="H149" s="40" t="str">
        <f>IF('Pitcher Leaders'!B148="","",'Pitcher Leaders'!B148)</f>
        <v/>
      </c>
    </row>
    <row r="150" spans="7:8" x14ac:dyDescent="0.2">
      <c r="G150" s="40" t="str">
        <f>IF('Batter Leaders'!B149="","",'Batter Leaders'!B149)</f>
        <v/>
      </c>
      <c r="H150" s="40" t="str">
        <f>IF('Pitcher Leaders'!B149="","",'Pitcher Leaders'!B149)</f>
        <v/>
      </c>
    </row>
    <row r="151" spans="7:8" x14ac:dyDescent="0.2">
      <c r="G151" s="40" t="str">
        <f>IF('Batter Leaders'!B150="","",'Batter Leaders'!B150)</f>
        <v/>
      </c>
      <c r="H151" s="40" t="str">
        <f>IF('Pitcher Leaders'!B150="","",'Pitcher Leaders'!B150)</f>
        <v/>
      </c>
    </row>
    <row r="152" spans="7:8" x14ac:dyDescent="0.2">
      <c r="G152" s="40" t="str">
        <f>IF('Batter Leaders'!B151="","",'Batter Leaders'!B151)</f>
        <v/>
      </c>
      <c r="H152" s="40" t="str">
        <f>IF('Pitcher Leaders'!B151="","",'Pitcher Leaders'!B151)</f>
        <v/>
      </c>
    </row>
    <row r="153" spans="7:8" x14ac:dyDescent="0.2">
      <c r="G153" s="40" t="str">
        <f>IF('Batter Leaders'!B152="","",'Batter Leaders'!B152)</f>
        <v/>
      </c>
      <c r="H153" s="40" t="str">
        <f>IF('Pitcher Leaders'!B152="","",'Pitcher Leaders'!B152)</f>
        <v/>
      </c>
    </row>
    <row r="154" spans="7:8" x14ac:dyDescent="0.2">
      <c r="G154" s="40" t="str">
        <f>IF('Batter Leaders'!B153="","",'Batter Leaders'!B153)</f>
        <v/>
      </c>
      <c r="H154" s="40" t="str">
        <f>IF('Pitcher Leaders'!B153="","",'Pitcher Leaders'!B153)</f>
        <v/>
      </c>
    </row>
    <row r="155" spans="7:8" x14ac:dyDescent="0.2">
      <c r="G155" s="40" t="str">
        <f>IF('Batter Leaders'!B154="","",'Batter Leaders'!B154)</f>
        <v/>
      </c>
      <c r="H155" s="40" t="str">
        <f>IF('Pitcher Leaders'!B154="","",'Pitcher Leaders'!B154)</f>
        <v/>
      </c>
    </row>
    <row r="156" spans="7:8" x14ac:dyDescent="0.2">
      <c r="G156" s="40" t="str">
        <f>IF('Batter Leaders'!B155="","",'Batter Leaders'!B155)</f>
        <v/>
      </c>
      <c r="H156" s="40" t="str">
        <f>IF('Pitcher Leaders'!B155="","",'Pitcher Leaders'!B155)</f>
        <v/>
      </c>
    </row>
    <row r="157" spans="7:8" x14ac:dyDescent="0.2">
      <c r="G157" s="40" t="str">
        <f>IF('Batter Leaders'!B156="","",'Batter Leaders'!B156)</f>
        <v/>
      </c>
      <c r="H157" s="40" t="str">
        <f>IF('Pitcher Leaders'!B156="","",'Pitcher Leaders'!B156)</f>
        <v/>
      </c>
    </row>
    <row r="158" spans="7:8" x14ac:dyDescent="0.2">
      <c r="G158" s="40" t="str">
        <f>IF('Batter Leaders'!B157="","",'Batter Leaders'!B157)</f>
        <v/>
      </c>
      <c r="H158" s="40" t="str">
        <f>IF('Pitcher Leaders'!B157="","",'Pitcher Leaders'!B157)</f>
        <v/>
      </c>
    </row>
    <row r="159" spans="7:8" x14ac:dyDescent="0.2">
      <c r="G159" s="40" t="str">
        <f>IF('Batter Leaders'!B158="","",'Batter Leaders'!B158)</f>
        <v/>
      </c>
      <c r="H159" s="40" t="str">
        <f>IF('Pitcher Leaders'!B158="","",'Pitcher Leaders'!B158)</f>
        <v/>
      </c>
    </row>
    <row r="160" spans="7:8" x14ac:dyDescent="0.2">
      <c r="G160" s="40" t="str">
        <f>IF('Batter Leaders'!B159="","",'Batter Leaders'!B159)</f>
        <v/>
      </c>
      <c r="H160" s="40" t="str">
        <f>IF('Pitcher Leaders'!B159="","",'Pitcher Leaders'!B159)</f>
        <v/>
      </c>
    </row>
    <row r="161" spans="7:8" x14ac:dyDescent="0.2">
      <c r="G161" s="40" t="str">
        <f>IF('Batter Leaders'!B160="","",'Batter Leaders'!B160)</f>
        <v/>
      </c>
      <c r="H161" s="40" t="str">
        <f>IF('Pitcher Leaders'!B160="","",'Pitcher Leaders'!B160)</f>
        <v/>
      </c>
    </row>
    <row r="162" spans="7:8" x14ac:dyDescent="0.2">
      <c r="G162" s="40" t="str">
        <f>IF('Batter Leaders'!B161="","",'Batter Leaders'!B161)</f>
        <v/>
      </c>
      <c r="H162" s="40" t="str">
        <f>IF('Pitcher Leaders'!B161="","",'Pitcher Leaders'!B161)</f>
        <v/>
      </c>
    </row>
    <row r="163" spans="7:8" x14ac:dyDescent="0.2">
      <c r="G163" s="40" t="str">
        <f>IF('Batter Leaders'!B162="","",'Batter Leaders'!B162)</f>
        <v/>
      </c>
      <c r="H163" s="40" t="str">
        <f>IF('Pitcher Leaders'!B162="","",'Pitcher Leaders'!B162)</f>
        <v/>
      </c>
    </row>
    <row r="164" spans="7:8" x14ac:dyDescent="0.2">
      <c r="G164" s="40" t="str">
        <f>IF('Batter Leaders'!B163="","",'Batter Leaders'!B163)</f>
        <v/>
      </c>
      <c r="H164" s="40" t="str">
        <f>IF('Pitcher Leaders'!B163="","",'Pitcher Leaders'!B163)</f>
        <v/>
      </c>
    </row>
    <row r="165" spans="7:8" x14ac:dyDescent="0.2">
      <c r="G165" s="40" t="str">
        <f>IF('Batter Leaders'!B164="","",'Batter Leaders'!B164)</f>
        <v/>
      </c>
      <c r="H165" s="40" t="str">
        <f>IF('Pitcher Leaders'!B164="","",'Pitcher Leaders'!B164)</f>
        <v/>
      </c>
    </row>
    <row r="166" spans="7:8" x14ac:dyDescent="0.2">
      <c r="G166" s="40" t="str">
        <f>IF('Batter Leaders'!B165="","",'Batter Leaders'!B165)</f>
        <v/>
      </c>
      <c r="H166" s="40" t="str">
        <f>IF('Pitcher Leaders'!B165="","",'Pitcher Leaders'!B165)</f>
        <v/>
      </c>
    </row>
    <row r="167" spans="7:8" x14ac:dyDescent="0.2">
      <c r="G167" s="40" t="str">
        <f>IF('Batter Leaders'!B166="","",'Batter Leaders'!B166)</f>
        <v/>
      </c>
      <c r="H167" s="40" t="str">
        <f>IF('Pitcher Leaders'!B166="","",'Pitcher Leaders'!B166)</f>
        <v/>
      </c>
    </row>
    <row r="168" spans="7:8" x14ac:dyDescent="0.2">
      <c r="G168" s="40" t="str">
        <f>IF('Batter Leaders'!B167="","",'Batter Leaders'!B167)</f>
        <v/>
      </c>
      <c r="H168" s="40" t="str">
        <f>IF('Pitcher Leaders'!B167="","",'Pitcher Leaders'!B167)</f>
        <v/>
      </c>
    </row>
    <row r="169" spans="7:8" x14ac:dyDescent="0.2">
      <c r="G169" s="40" t="str">
        <f>IF('Batter Leaders'!B168="","",'Batter Leaders'!B168)</f>
        <v/>
      </c>
      <c r="H169" s="40" t="str">
        <f>IF('Pitcher Leaders'!B168="","",'Pitcher Leaders'!B168)</f>
        <v/>
      </c>
    </row>
    <row r="170" spans="7:8" x14ac:dyDescent="0.2">
      <c r="G170" s="40" t="str">
        <f>IF('Batter Leaders'!B169="","",'Batter Leaders'!B169)</f>
        <v/>
      </c>
      <c r="H170" s="40" t="str">
        <f>IF('Pitcher Leaders'!B169="","",'Pitcher Leaders'!B169)</f>
        <v/>
      </c>
    </row>
    <row r="171" spans="7:8" x14ac:dyDescent="0.2">
      <c r="G171" s="40" t="str">
        <f>IF('Batter Leaders'!B170="","",'Batter Leaders'!B170)</f>
        <v/>
      </c>
      <c r="H171" s="40" t="str">
        <f>IF('Pitcher Leaders'!B170="","",'Pitcher Leaders'!B170)</f>
        <v/>
      </c>
    </row>
    <row r="172" spans="7:8" x14ac:dyDescent="0.2">
      <c r="G172" s="40" t="str">
        <f>IF('Batter Leaders'!B171="","",'Batter Leaders'!B171)</f>
        <v/>
      </c>
      <c r="H172" s="40" t="str">
        <f>IF('Pitcher Leaders'!B171="","",'Pitcher Leaders'!B171)</f>
        <v/>
      </c>
    </row>
    <row r="173" spans="7:8" x14ac:dyDescent="0.2">
      <c r="G173" s="40" t="str">
        <f>IF('Batter Leaders'!B172="","",'Batter Leaders'!B172)</f>
        <v/>
      </c>
      <c r="H173" s="40" t="str">
        <f>IF('Pitcher Leaders'!B172="","",'Pitcher Leaders'!B172)</f>
        <v/>
      </c>
    </row>
    <row r="174" spans="7:8" x14ac:dyDescent="0.2">
      <c r="G174" s="40" t="str">
        <f>IF('Batter Leaders'!B173="","",'Batter Leaders'!B173)</f>
        <v/>
      </c>
      <c r="H174" s="40" t="str">
        <f>IF('Pitcher Leaders'!B173="","",'Pitcher Leaders'!B173)</f>
        <v/>
      </c>
    </row>
    <row r="175" spans="7:8" x14ac:dyDescent="0.2">
      <c r="G175" s="40" t="str">
        <f>IF('Batter Leaders'!B174="","",'Batter Leaders'!B174)</f>
        <v/>
      </c>
      <c r="H175" s="40" t="str">
        <f>IF('Pitcher Leaders'!B174="","",'Pitcher Leaders'!B174)</f>
        <v/>
      </c>
    </row>
    <row r="176" spans="7:8" x14ac:dyDescent="0.2">
      <c r="G176" s="40" t="str">
        <f>IF('Batter Leaders'!B175="","",'Batter Leaders'!B175)</f>
        <v/>
      </c>
      <c r="H176" s="40" t="str">
        <f>IF('Pitcher Leaders'!B175="","",'Pitcher Leaders'!B175)</f>
        <v/>
      </c>
    </row>
    <row r="177" spans="7:8" x14ac:dyDescent="0.2">
      <c r="G177" s="40" t="str">
        <f>IF('Batter Leaders'!B176="","",'Batter Leaders'!B176)</f>
        <v/>
      </c>
      <c r="H177" s="40" t="str">
        <f>IF('Pitcher Leaders'!B176="","",'Pitcher Leaders'!B176)</f>
        <v/>
      </c>
    </row>
    <row r="178" spans="7:8" x14ac:dyDescent="0.2">
      <c r="G178" s="40" t="str">
        <f>IF('Batter Leaders'!B177="","",'Batter Leaders'!B177)</f>
        <v/>
      </c>
      <c r="H178" s="40" t="str">
        <f>IF('Pitcher Leaders'!B177="","",'Pitcher Leaders'!B177)</f>
        <v/>
      </c>
    </row>
    <row r="179" spans="7:8" x14ac:dyDescent="0.2">
      <c r="G179" s="40" t="str">
        <f>IF('Batter Leaders'!B178="","",'Batter Leaders'!B178)</f>
        <v/>
      </c>
      <c r="H179" s="40" t="str">
        <f>IF('Pitcher Leaders'!B178="","",'Pitcher Leaders'!B178)</f>
        <v/>
      </c>
    </row>
    <row r="180" spans="7:8" x14ac:dyDescent="0.2">
      <c r="G180" s="40" t="str">
        <f>IF('Batter Leaders'!B179="","",'Batter Leaders'!B179)</f>
        <v/>
      </c>
      <c r="H180" s="40" t="str">
        <f>IF('Pitcher Leaders'!B179="","",'Pitcher Leaders'!B179)</f>
        <v/>
      </c>
    </row>
    <row r="181" spans="7:8" x14ac:dyDescent="0.2">
      <c r="G181" s="40" t="str">
        <f>IF('Batter Leaders'!B180="","",'Batter Leaders'!B180)</f>
        <v/>
      </c>
      <c r="H181" s="40" t="str">
        <f>IF('Pitcher Leaders'!B180="","",'Pitcher Leaders'!B180)</f>
        <v/>
      </c>
    </row>
    <row r="182" spans="7:8" x14ac:dyDescent="0.2">
      <c r="G182" s="40" t="str">
        <f>IF('Batter Leaders'!B181="","",'Batter Leaders'!B181)</f>
        <v/>
      </c>
      <c r="H182" s="40" t="str">
        <f>IF('Pitcher Leaders'!B181="","",'Pitcher Leaders'!B181)</f>
        <v/>
      </c>
    </row>
    <row r="183" spans="7:8" x14ac:dyDescent="0.2">
      <c r="G183" s="40" t="str">
        <f>IF('Batter Leaders'!B182="","",'Batter Leaders'!B182)</f>
        <v/>
      </c>
      <c r="H183" s="40" t="str">
        <f>IF('Pitcher Leaders'!B182="","",'Pitcher Leaders'!B182)</f>
        <v/>
      </c>
    </row>
    <row r="184" spans="7:8" x14ac:dyDescent="0.2">
      <c r="G184" s="40" t="str">
        <f>IF('Batter Leaders'!B183="","",'Batter Leaders'!B183)</f>
        <v/>
      </c>
      <c r="H184" s="40" t="str">
        <f>IF('Pitcher Leaders'!B183="","",'Pitcher Leaders'!B183)</f>
        <v/>
      </c>
    </row>
    <row r="185" spans="7:8" x14ac:dyDescent="0.2">
      <c r="G185" s="40" t="str">
        <f>IF('Batter Leaders'!B184="","",'Batter Leaders'!B184)</f>
        <v/>
      </c>
      <c r="H185" s="40" t="str">
        <f>IF('Pitcher Leaders'!B184="","",'Pitcher Leaders'!B184)</f>
        <v/>
      </c>
    </row>
    <row r="186" spans="7:8" x14ac:dyDescent="0.2">
      <c r="G186" s="40" t="str">
        <f>IF('Batter Leaders'!B185="","",'Batter Leaders'!B185)</f>
        <v/>
      </c>
      <c r="H186" s="40" t="str">
        <f>IF('Pitcher Leaders'!B185="","",'Pitcher Leaders'!B185)</f>
        <v/>
      </c>
    </row>
    <row r="187" spans="7:8" x14ac:dyDescent="0.2">
      <c r="G187" s="40" t="str">
        <f>IF('Batter Leaders'!B186="","",'Batter Leaders'!B186)</f>
        <v/>
      </c>
      <c r="H187" s="40" t="str">
        <f>IF('Pitcher Leaders'!B186="","",'Pitcher Leaders'!B186)</f>
        <v/>
      </c>
    </row>
    <row r="188" spans="7:8" x14ac:dyDescent="0.2">
      <c r="G188" s="40" t="str">
        <f>IF('Batter Leaders'!B187="","",'Batter Leaders'!B187)</f>
        <v/>
      </c>
      <c r="H188" s="40" t="str">
        <f>IF('Pitcher Leaders'!B187="","",'Pitcher Leaders'!B187)</f>
        <v/>
      </c>
    </row>
    <row r="189" spans="7:8" x14ac:dyDescent="0.2">
      <c r="G189" s="40" t="str">
        <f>IF('Batter Leaders'!B188="","",'Batter Leaders'!B188)</f>
        <v/>
      </c>
      <c r="H189" s="40" t="str">
        <f>IF('Pitcher Leaders'!B188="","",'Pitcher Leaders'!B188)</f>
        <v/>
      </c>
    </row>
    <row r="190" spans="7:8" x14ac:dyDescent="0.2">
      <c r="G190" s="40" t="str">
        <f>IF('Batter Leaders'!B189="","",'Batter Leaders'!B189)</f>
        <v/>
      </c>
      <c r="H190" s="40" t="str">
        <f>IF('Pitcher Leaders'!B189="","",'Pitcher Leaders'!B189)</f>
        <v/>
      </c>
    </row>
    <row r="191" spans="7:8" x14ac:dyDescent="0.2">
      <c r="G191" s="40" t="str">
        <f>IF('Batter Leaders'!B190="","",'Batter Leaders'!B190)</f>
        <v/>
      </c>
      <c r="H191" s="40" t="str">
        <f>IF('Pitcher Leaders'!B190="","",'Pitcher Leaders'!B190)</f>
        <v/>
      </c>
    </row>
    <row r="192" spans="7:8" x14ac:dyDescent="0.2">
      <c r="G192" s="40" t="str">
        <f>IF('Batter Leaders'!B191="","",'Batter Leaders'!B191)</f>
        <v/>
      </c>
      <c r="H192" s="40" t="str">
        <f>IF('Pitcher Leaders'!B191="","",'Pitcher Leaders'!B191)</f>
        <v/>
      </c>
    </row>
    <row r="193" spans="7:8" x14ac:dyDescent="0.2">
      <c r="G193" s="40" t="str">
        <f>IF('Batter Leaders'!B192="","",'Batter Leaders'!B192)</f>
        <v/>
      </c>
      <c r="H193" s="40" t="str">
        <f>IF('Pitcher Leaders'!B192="","",'Pitcher Leaders'!B192)</f>
        <v/>
      </c>
    </row>
    <row r="194" spans="7:8" x14ac:dyDescent="0.2">
      <c r="G194" s="40" t="str">
        <f>IF('Batter Leaders'!B193="","",'Batter Leaders'!B193)</f>
        <v/>
      </c>
      <c r="H194" s="40" t="str">
        <f>IF('Pitcher Leaders'!B193="","",'Pitcher Leaders'!B193)</f>
        <v/>
      </c>
    </row>
    <row r="195" spans="7:8" x14ac:dyDescent="0.2">
      <c r="G195" s="40" t="str">
        <f>IF('Batter Leaders'!B194="","",'Batter Leaders'!B194)</f>
        <v/>
      </c>
      <c r="H195" s="40" t="str">
        <f>IF('Pitcher Leaders'!B194="","",'Pitcher Leaders'!B194)</f>
        <v/>
      </c>
    </row>
    <row r="196" spans="7:8" x14ac:dyDescent="0.2">
      <c r="G196" s="40" t="str">
        <f>IF('Batter Leaders'!B195="","",'Batter Leaders'!B195)</f>
        <v/>
      </c>
      <c r="H196" s="40" t="str">
        <f>IF('Pitcher Leaders'!B195="","",'Pitcher Leaders'!B195)</f>
        <v/>
      </c>
    </row>
    <row r="197" spans="7:8" x14ac:dyDescent="0.2">
      <c r="G197" s="40" t="str">
        <f>IF('Batter Leaders'!B196="","",'Batter Leaders'!B196)</f>
        <v/>
      </c>
      <c r="H197" s="40" t="str">
        <f>IF('Pitcher Leaders'!B196="","",'Pitcher Leaders'!B196)</f>
        <v/>
      </c>
    </row>
    <row r="198" spans="7:8" x14ac:dyDescent="0.2">
      <c r="G198" s="40" t="str">
        <f>IF('Batter Leaders'!B197="","",'Batter Leaders'!B197)</f>
        <v/>
      </c>
      <c r="H198" s="40" t="str">
        <f>IF('Pitcher Leaders'!B197="","",'Pitcher Leaders'!B197)</f>
        <v/>
      </c>
    </row>
    <row r="199" spans="7:8" x14ac:dyDescent="0.2">
      <c r="G199" s="40" t="str">
        <f>IF('Batter Leaders'!B198="","",'Batter Leaders'!B198)</f>
        <v/>
      </c>
      <c r="H199" s="40" t="str">
        <f>IF('Pitcher Leaders'!B198="","",'Pitcher Leaders'!B198)</f>
        <v/>
      </c>
    </row>
    <row r="200" spans="7:8" x14ac:dyDescent="0.2">
      <c r="G200" s="40" t="str">
        <f>IF('Batter Leaders'!B199="","",'Batter Leaders'!B199)</f>
        <v/>
      </c>
      <c r="H200" s="40" t="str">
        <f>IF('Pitcher Leaders'!B199="","",'Pitcher Leaders'!B199)</f>
        <v/>
      </c>
    </row>
    <row r="201" spans="7:8" x14ac:dyDescent="0.2">
      <c r="G201" s="40" t="str">
        <f>IF('Batter Leaders'!B200="","",'Batter Leaders'!B200)</f>
        <v/>
      </c>
      <c r="H201" s="40" t="str">
        <f>IF('Pitcher Leaders'!B200="","",'Pitcher Leaders'!B200)</f>
        <v/>
      </c>
    </row>
    <row r="202" spans="7:8" x14ac:dyDescent="0.2">
      <c r="G202" s="40" t="str">
        <f>IF('Batter Leaders'!B201="","",'Batter Leaders'!B201)</f>
        <v/>
      </c>
      <c r="H202" s="40" t="str">
        <f>IF('Pitcher Leaders'!B201="","",'Pitcher Leaders'!B201)</f>
        <v/>
      </c>
    </row>
    <row r="203" spans="7:8" x14ac:dyDescent="0.2">
      <c r="G203" s="40" t="str">
        <f>IF('Batter Leaders'!B202="","",'Batter Leaders'!B202)</f>
        <v/>
      </c>
      <c r="H203" s="40" t="str">
        <f>IF('Pitcher Leaders'!B202="","",'Pitcher Leaders'!B202)</f>
        <v/>
      </c>
    </row>
    <row r="204" spans="7:8" x14ac:dyDescent="0.2">
      <c r="G204" s="40" t="str">
        <f>IF('Batter Leaders'!B203="","",'Batter Leaders'!B203)</f>
        <v/>
      </c>
      <c r="H204" s="40" t="str">
        <f>IF('Pitcher Leaders'!B203="","",'Pitcher Leaders'!B203)</f>
        <v/>
      </c>
    </row>
    <row r="205" spans="7:8" x14ac:dyDescent="0.2">
      <c r="G205" s="40" t="str">
        <f>IF('Batter Leaders'!B204="","",'Batter Leaders'!B204)</f>
        <v/>
      </c>
      <c r="H205" s="40" t="str">
        <f>IF('Pitcher Leaders'!B204="","",'Pitcher Leaders'!B204)</f>
        <v/>
      </c>
    </row>
    <row r="206" spans="7:8" x14ac:dyDescent="0.2">
      <c r="G206" s="40" t="str">
        <f>IF('Batter Leaders'!B205="","",'Batter Leaders'!B205)</f>
        <v/>
      </c>
      <c r="H206" s="40" t="str">
        <f>IF('Pitcher Leaders'!B205="","",'Pitcher Leaders'!B205)</f>
        <v/>
      </c>
    </row>
    <row r="207" spans="7:8" x14ac:dyDescent="0.2">
      <c r="G207" s="40" t="str">
        <f>IF('Batter Leaders'!B206="","",'Batter Leaders'!B206)</f>
        <v/>
      </c>
      <c r="H207" s="40" t="str">
        <f>IF('Pitcher Leaders'!B206="","",'Pitcher Leaders'!B206)</f>
        <v/>
      </c>
    </row>
    <row r="208" spans="7:8" x14ac:dyDescent="0.2">
      <c r="G208" s="40" t="str">
        <f>IF('Batter Leaders'!B207="","",'Batter Leaders'!B207)</f>
        <v/>
      </c>
      <c r="H208" s="40" t="str">
        <f>IF('Pitcher Leaders'!B207="","",'Pitcher Leaders'!B207)</f>
        <v/>
      </c>
    </row>
    <row r="209" spans="7:8" x14ac:dyDescent="0.2">
      <c r="G209" s="40" t="str">
        <f>IF('Batter Leaders'!B208="","",'Batter Leaders'!B208)</f>
        <v/>
      </c>
      <c r="H209" s="40" t="str">
        <f>IF('Pitcher Leaders'!B208="","",'Pitcher Leaders'!B208)</f>
        <v/>
      </c>
    </row>
    <row r="210" spans="7:8" x14ac:dyDescent="0.2">
      <c r="G210" s="40" t="str">
        <f>IF('Batter Leaders'!B209="","",'Batter Leaders'!B209)</f>
        <v/>
      </c>
      <c r="H210" s="40" t="str">
        <f>IF('Pitcher Leaders'!B209="","",'Pitcher Leaders'!B209)</f>
        <v/>
      </c>
    </row>
    <row r="211" spans="7:8" x14ac:dyDescent="0.2">
      <c r="G211" s="40" t="str">
        <f>IF('Batter Leaders'!B210="","",'Batter Leaders'!B210)</f>
        <v/>
      </c>
      <c r="H211" s="40" t="str">
        <f>IF('Pitcher Leaders'!B210="","",'Pitcher Leaders'!B210)</f>
        <v/>
      </c>
    </row>
    <row r="212" spans="7:8" x14ac:dyDescent="0.2">
      <c r="G212" s="40" t="str">
        <f>IF('Batter Leaders'!B211="","",'Batter Leaders'!B211)</f>
        <v/>
      </c>
      <c r="H212" s="40" t="str">
        <f>IF('Pitcher Leaders'!B211="","",'Pitcher Leaders'!B211)</f>
        <v/>
      </c>
    </row>
    <row r="213" spans="7:8" x14ac:dyDescent="0.2">
      <c r="G213" s="40" t="str">
        <f>IF('Batter Leaders'!B212="","",'Batter Leaders'!B212)</f>
        <v/>
      </c>
      <c r="H213" s="40" t="str">
        <f>IF('Pitcher Leaders'!B212="","",'Pitcher Leaders'!B212)</f>
        <v/>
      </c>
    </row>
    <row r="214" spans="7:8" x14ac:dyDescent="0.2">
      <c r="G214" s="40" t="str">
        <f>IF('Batter Leaders'!B213="","",'Batter Leaders'!B213)</f>
        <v/>
      </c>
      <c r="H214" s="40" t="str">
        <f>IF('Pitcher Leaders'!B213="","",'Pitcher Leaders'!B213)</f>
        <v/>
      </c>
    </row>
    <row r="215" spans="7:8" x14ac:dyDescent="0.2">
      <c r="G215" s="40" t="str">
        <f>IF('Batter Leaders'!B214="","",'Batter Leaders'!B214)</f>
        <v/>
      </c>
      <c r="H215" s="40" t="str">
        <f>IF('Pitcher Leaders'!B214="","",'Pitcher Leaders'!B214)</f>
        <v/>
      </c>
    </row>
    <row r="216" spans="7:8" x14ac:dyDescent="0.2">
      <c r="G216" s="40" t="str">
        <f>IF('Batter Leaders'!B215="","",'Batter Leaders'!B215)</f>
        <v/>
      </c>
      <c r="H216" s="40" t="str">
        <f>IF('Pitcher Leaders'!B215="","",'Pitcher Leaders'!B215)</f>
        <v/>
      </c>
    </row>
    <row r="217" spans="7:8" x14ac:dyDescent="0.2">
      <c r="G217" s="40" t="str">
        <f>IF('Batter Leaders'!B216="","",'Batter Leaders'!B216)</f>
        <v/>
      </c>
      <c r="H217" s="40" t="str">
        <f>IF('Pitcher Leaders'!B216="","",'Pitcher Leaders'!B216)</f>
        <v/>
      </c>
    </row>
    <row r="218" spans="7:8" x14ac:dyDescent="0.2">
      <c r="G218" s="40" t="str">
        <f>IF('Batter Leaders'!B217="","",'Batter Leaders'!B217)</f>
        <v/>
      </c>
      <c r="H218" s="40" t="str">
        <f>IF('Pitcher Leaders'!B217="","",'Pitcher Leaders'!B217)</f>
        <v/>
      </c>
    </row>
    <row r="219" spans="7:8" x14ac:dyDescent="0.2">
      <c r="G219" s="40" t="str">
        <f>IF('Batter Leaders'!B218="","",'Batter Leaders'!B218)</f>
        <v/>
      </c>
      <c r="H219" s="40" t="str">
        <f>IF('Pitcher Leaders'!B218="","",'Pitcher Leaders'!B218)</f>
        <v/>
      </c>
    </row>
    <row r="220" spans="7:8" x14ac:dyDescent="0.2">
      <c r="G220" s="40" t="str">
        <f>IF('Batter Leaders'!B219="","",'Batter Leaders'!B219)</f>
        <v/>
      </c>
      <c r="H220" s="40" t="str">
        <f>IF('Pitcher Leaders'!B219="","",'Pitcher Leaders'!B219)</f>
        <v/>
      </c>
    </row>
    <row r="221" spans="7:8" x14ac:dyDescent="0.2">
      <c r="G221" s="40" t="str">
        <f>IF('Batter Leaders'!B220="","",'Batter Leaders'!B220)</f>
        <v/>
      </c>
      <c r="H221" s="40" t="str">
        <f>IF('Pitcher Leaders'!B220="","",'Pitcher Leaders'!B220)</f>
        <v/>
      </c>
    </row>
    <row r="222" spans="7:8" x14ac:dyDescent="0.2">
      <c r="G222" s="40" t="str">
        <f>IF('Batter Leaders'!B221="","",'Batter Leaders'!B221)</f>
        <v/>
      </c>
      <c r="H222" s="40" t="str">
        <f>IF('Pitcher Leaders'!B221="","",'Pitcher Leaders'!B221)</f>
        <v/>
      </c>
    </row>
    <row r="223" spans="7:8" x14ac:dyDescent="0.2">
      <c r="G223" s="40" t="str">
        <f>IF('Batter Leaders'!B222="","",'Batter Leaders'!B222)</f>
        <v/>
      </c>
      <c r="H223" s="40" t="str">
        <f>IF('Pitcher Leaders'!B222="","",'Pitcher Leaders'!B222)</f>
        <v/>
      </c>
    </row>
    <row r="224" spans="7:8" x14ac:dyDescent="0.2">
      <c r="G224" s="40" t="str">
        <f>IF('Batter Leaders'!B223="","",'Batter Leaders'!B223)</f>
        <v/>
      </c>
      <c r="H224" s="40" t="str">
        <f>IF('Pitcher Leaders'!B223="","",'Pitcher Leaders'!B223)</f>
        <v/>
      </c>
    </row>
    <row r="225" spans="7:8" x14ac:dyDescent="0.2">
      <c r="G225" s="40" t="str">
        <f>IF('Batter Leaders'!B224="","",'Batter Leaders'!B224)</f>
        <v/>
      </c>
      <c r="H225" s="40" t="str">
        <f>IF('Pitcher Leaders'!B224="","",'Pitcher Leaders'!B224)</f>
        <v/>
      </c>
    </row>
    <row r="226" spans="7:8" x14ac:dyDescent="0.2">
      <c r="G226" s="40" t="str">
        <f>IF('Batter Leaders'!B225="","",'Batter Leaders'!B225)</f>
        <v/>
      </c>
      <c r="H226" s="40" t="str">
        <f>IF('Pitcher Leaders'!B225="","",'Pitcher Leaders'!B225)</f>
        <v/>
      </c>
    </row>
    <row r="227" spans="7:8" x14ac:dyDescent="0.2">
      <c r="G227" s="40" t="str">
        <f>IF('Batter Leaders'!B226="","",'Batter Leaders'!B226)</f>
        <v/>
      </c>
      <c r="H227" s="40" t="str">
        <f>IF('Pitcher Leaders'!B226="","",'Pitcher Leaders'!B226)</f>
        <v/>
      </c>
    </row>
    <row r="228" spans="7:8" x14ac:dyDescent="0.2">
      <c r="G228" s="40" t="str">
        <f>IF('Batter Leaders'!B227="","",'Batter Leaders'!B227)</f>
        <v/>
      </c>
      <c r="H228" s="40" t="str">
        <f>IF('Pitcher Leaders'!B227="","",'Pitcher Leaders'!B227)</f>
        <v/>
      </c>
    </row>
    <row r="229" spans="7:8" x14ac:dyDescent="0.2">
      <c r="G229" s="40" t="str">
        <f>IF('Batter Leaders'!B228="","",'Batter Leaders'!B228)</f>
        <v/>
      </c>
      <c r="H229" s="40" t="str">
        <f>IF('Pitcher Leaders'!B228="","",'Pitcher Leaders'!B228)</f>
        <v/>
      </c>
    </row>
    <row r="230" spans="7:8" x14ac:dyDescent="0.2">
      <c r="G230" s="40" t="str">
        <f>IF('Batter Leaders'!B229="","",'Batter Leaders'!B229)</f>
        <v/>
      </c>
      <c r="H230" s="40" t="str">
        <f>IF('Pitcher Leaders'!B229="","",'Pitcher Leaders'!B229)</f>
        <v/>
      </c>
    </row>
    <row r="231" spans="7:8" x14ac:dyDescent="0.2">
      <c r="G231" s="40" t="str">
        <f>IF('Batter Leaders'!B230="","",'Batter Leaders'!B230)</f>
        <v/>
      </c>
      <c r="H231" s="40" t="str">
        <f>IF('Pitcher Leaders'!B230="","",'Pitcher Leaders'!B230)</f>
        <v/>
      </c>
    </row>
    <row r="232" spans="7:8" x14ac:dyDescent="0.2">
      <c r="G232" s="40" t="str">
        <f>IF('Batter Leaders'!B231="","",'Batter Leaders'!B231)</f>
        <v/>
      </c>
      <c r="H232" s="40" t="str">
        <f>IF('Pitcher Leaders'!B231="","",'Pitcher Leaders'!B231)</f>
        <v/>
      </c>
    </row>
    <row r="233" spans="7:8" x14ac:dyDescent="0.2">
      <c r="G233" s="40" t="str">
        <f>IF('Batter Leaders'!B232="","",'Batter Leaders'!B232)</f>
        <v/>
      </c>
      <c r="H233" s="40" t="str">
        <f>IF('Pitcher Leaders'!B232="","",'Pitcher Leaders'!B232)</f>
        <v/>
      </c>
    </row>
    <row r="234" spans="7:8" x14ac:dyDescent="0.2">
      <c r="G234" s="40" t="str">
        <f>IF('Batter Leaders'!B233="","",'Batter Leaders'!B233)</f>
        <v/>
      </c>
      <c r="H234" s="40" t="str">
        <f>IF('Pitcher Leaders'!B233="","",'Pitcher Leaders'!B233)</f>
        <v/>
      </c>
    </row>
    <row r="235" spans="7:8" x14ac:dyDescent="0.2">
      <c r="G235" s="40" t="str">
        <f>IF('Batter Leaders'!B234="","",'Batter Leaders'!B234)</f>
        <v/>
      </c>
      <c r="H235" s="40" t="str">
        <f>IF('Pitcher Leaders'!B234="","",'Pitcher Leaders'!B234)</f>
        <v/>
      </c>
    </row>
    <row r="236" spans="7:8" x14ac:dyDescent="0.2">
      <c r="G236" s="40" t="str">
        <f>IF('Batter Leaders'!B235="","",'Batter Leaders'!B235)</f>
        <v/>
      </c>
      <c r="H236" s="40" t="str">
        <f>IF('Pitcher Leaders'!B235="","",'Pitcher Leaders'!B235)</f>
        <v/>
      </c>
    </row>
    <row r="237" spans="7:8" x14ac:dyDescent="0.2">
      <c r="G237" s="40" t="str">
        <f>IF('Batter Leaders'!B236="","",'Batter Leaders'!B236)</f>
        <v/>
      </c>
      <c r="H237" s="40" t="str">
        <f>IF('Pitcher Leaders'!B236="","",'Pitcher Leaders'!B236)</f>
        <v/>
      </c>
    </row>
    <row r="238" spans="7:8" x14ac:dyDescent="0.2">
      <c r="G238" s="40" t="str">
        <f>IF('Batter Leaders'!B237="","",'Batter Leaders'!B237)</f>
        <v/>
      </c>
      <c r="H238" s="40" t="str">
        <f>IF('Pitcher Leaders'!B237="","",'Pitcher Leaders'!B237)</f>
        <v/>
      </c>
    </row>
    <row r="239" spans="7:8" x14ac:dyDescent="0.2">
      <c r="G239" s="40" t="str">
        <f>IF('Batter Leaders'!B238="","",'Batter Leaders'!B238)</f>
        <v/>
      </c>
      <c r="H239" s="40" t="str">
        <f>IF('Pitcher Leaders'!B238="","",'Pitcher Leaders'!B238)</f>
        <v/>
      </c>
    </row>
    <row r="240" spans="7:8" x14ac:dyDescent="0.2">
      <c r="G240" s="40" t="str">
        <f>IF('Batter Leaders'!B239="","",'Batter Leaders'!B239)</f>
        <v/>
      </c>
      <c r="H240" s="40" t="str">
        <f>IF('Pitcher Leaders'!B239="","",'Pitcher Leaders'!B239)</f>
        <v/>
      </c>
    </row>
    <row r="241" spans="7:8" x14ac:dyDescent="0.2">
      <c r="G241" s="40" t="str">
        <f>IF('Batter Leaders'!B240="","",'Batter Leaders'!B240)</f>
        <v/>
      </c>
      <c r="H241" s="40" t="str">
        <f>IF('Pitcher Leaders'!B240="","",'Pitcher Leaders'!B240)</f>
        <v/>
      </c>
    </row>
    <row r="242" spans="7:8" x14ac:dyDescent="0.2">
      <c r="G242" s="40" t="str">
        <f>IF('Batter Leaders'!B241="","",'Batter Leaders'!B241)</f>
        <v/>
      </c>
      <c r="H242" s="40" t="str">
        <f>IF('Pitcher Leaders'!B241="","",'Pitcher Leaders'!B241)</f>
        <v/>
      </c>
    </row>
    <row r="243" spans="7:8" x14ac:dyDescent="0.2">
      <c r="G243" s="40" t="str">
        <f>IF('Batter Leaders'!B242="","",'Batter Leaders'!B242)</f>
        <v/>
      </c>
      <c r="H243" s="40" t="str">
        <f>IF('Pitcher Leaders'!B242="","",'Pitcher Leaders'!B242)</f>
        <v/>
      </c>
    </row>
    <row r="244" spans="7:8" x14ac:dyDescent="0.2">
      <c r="G244" s="40" t="str">
        <f>IF('Batter Leaders'!B243="","",'Batter Leaders'!B243)</f>
        <v/>
      </c>
      <c r="H244" s="40" t="str">
        <f>IF('Pitcher Leaders'!B243="","",'Pitcher Leaders'!B243)</f>
        <v/>
      </c>
    </row>
    <row r="245" spans="7:8" x14ac:dyDescent="0.2">
      <c r="G245" s="40" t="str">
        <f>IF('Batter Leaders'!B244="","",'Batter Leaders'!B244)</f>
        <v/>
      </c>
      <c r="H245" s="40" t="str">
        <f>IF('Pitcher Leaders'!B244="","",'Pitcher Leaders'!B244)</f>
        <v/>
      </c>
    </row>
    <row r="246" spans="7:8" x14ac:dyDescent="0.2">
      <c r="G246" s="40" t="str">
        <f>IF('Batter Leaders'!B245="","",'Batter Leaders'!B245)</f>
        <v/>
      </c>
      <c r="H246" s="40" t="str">
        <f>IF('Pitcher Leaders'!B245="","",'Pitcher Leaders'!B245)</f>
        <v/>
      </c>
    </row>
    <row r="247" spans="7:8" x14ac:dyDescent="0.2">
      <c r="G247" s="40" t="str">
        <f>IF('Batter Leaders'!B246="","",'Batter Leaders'!B246)</f>
        <v/>
      </c>
      <c r="H247" s="40" t="str">
        <f>IF('Pitcher Leaders'!B246="","",'Pitcher Leaders'!B246)</f>
        <v/>
      </c>
    </row>
    <row r="248" spans="7:8" x14ac:dyDescent="0.2">
      <c r="G248" s="40" t="str">
        <f>IF('Batter Leaders'!B247="","",'Batter Leaders'!B247)</f>
        <v/>
      </c>
      <c r="H248" s="40" t="str">
        <f>IF('Pitcher Leaders'!B247="","",'Pitcher Leaders'!B247)</f>
        <v/>
      </c>
    </row>
    <row r="249" spans="7:8" x14ac:dyDescent="0.2">
      <c r="G249" s="40" t="str">
        <f>IF('Batter Leaders'!B248="","",'Batter Leaders'!B248)</f>
        <v/>
      </c>
      <c r="H249" s="40" t="str">
        <f>IF('Pitcher Leaders'!B248="","",'Pitcher Leaders'!B248)</f>
        <v/>
      </c>
    </row>
    <row r="250" spans="7:8" x14ac:dyDescent="0.2">
      <c r="G250" s="40" t="str">
        <f>IF('Batter Leaders'!B249="","",'Batter Leaders'!B249)</f>
        <v/>
      </c>
      <c r="H250" s="40" t="str">
        <f>IF('Pitcher Leaders'!B249="","",'Pitcher Leaders'!B249)</f>
        <v/>
      </c>
    </row>
    <row r="251" spans="7:8" x14ac:dyDescent="0.2">
      <c r="G251" s="40" t="str">
        <f>IF('Batter Leaders'!B250="","",'Batter Leaders'!B250)</f>
        <v/>
      </c>
      <c r="H251" s="40" t="str">
        <f>IF('Pitcher Leaders'!B250="","",'Pitcher Leaders'!B250)</f>
        <v/>
      </c>
    </row>
    <row r="252" spans="7:8" x14ac:dyDescent="0.2">
      <c r="G252" s="40" t="str">
        <f>IF('Batter Leaders'!B251="","",'Batter Leaders'!B251)</f>
        <v/>
      </c>
      <c r="H252" s="40" t="str">
        <f>IF('Pitcher Leaders'!B251="","",'Pitcher Leaders'!B251)</f>
        <v/>
      </c>
    </row>
    <row r="253" spans="7:8" x14ac:dyDescent="0.2">
      <c r="G253" s="40" t="str">
        <f>IF('Batter Leaders'!B252="","",'Batter Leaders'!B252)</f>
        <v/>
      </c>
      <c r="H253" s="40" t="str">
        <f>IF('Pitcher Leaders'!B252="","",'Pitcher Leaders'!B252)</f>
        <v/>
      </c>
    </row>
    <row r="254" spans="7:8" x14ac:dyDescent="0.2">
      <c r="G254" s="40" t="str">
        <f>IF('Batter Leaders'!B253="","",'Batter Leaders'!B253)</f>
        <v/>
      </c>
      <c r="H254" s="40" t="str">
        <f>IF('Pitcher Leaders'!B253="","",'Pitcher Leaders'!B253)</f>
        <v/>
      </c>
    </row>
    <row r="255" spans="7:8" x14ac:dyDescent="0.2">
      <c r="G255" s="40" t="str">
        <f>IF('Batter Leaders'!B254="","",'Batter Leaders'!B254)</f>
        <v/>
      </c>
      <c r="H255" s="40" t="str">
        <f>IF('Pitcher Leaders'!B254="","",'Pitcher Leaders'!B254)</f>
        <v/>
      </c>
    </row>
    <row r="256" spans="7:8" x14ac:dyDescent="0.2">
      <c r="G256" s="40" t="str">
        <f>IF('Batter Leaders'!B255="","",'Batter Leaders'!B255)</f>
        <v/>
      </c>
      <c r="H256" s="40" t="str">
        <f>IF('Pitcher Leaders'!B255="","",'Pitcher Leaders'!B255)</f>
        <v/>
      </c>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12</vt:i4>
      </vt:variant>
      <vt:variant>
        <vt:lpstr>Named Ranges</vt:lpstr>
      </vt:variant>
      <vt:variant>
        <vt:i4>19</vt:i4>
      </vt:variant>
    </vt:vector>
  </HeadingPairs>
  <TitlesOfParts>
    <vt:vector size="31" baseType="lpstr">
      <vt:lpstr>MLB-SAMPLE-PbP</vt:lpstr>
      <vt:lpstr>Analytics Dashboard</vt:lpstr>
      <vt:lpstr>Team Offense</vt:lpstr>
      <vt:lpstr>Batter Leaders</vt:lpstr>
      <vt:lpstr>Offense Splits</vt:lpstr>
      <vt:lpstr>Team Pitching &amp; Defense</vt:lpstr>
      <vt:lpstr>Pitcher Leaders</vt:lpstr>
      <vt:lpstr>Pitching Splits</vt:lpstr>
      <vt:lpstr>Batted Ball &amp; Spray</vt:lpstr>
      <vt:lpstr>Scoring by Inning</vt:lpstr>
      <vt:lpstr>Event Map</vt:lpstr>
      <vt:lpstr>Lists</vt:lpstr>
      <vt:lpstr>EM_1B</vt:lpstr>
      <vt:lpstr>EM_2B</vt:lpstr>
      <vt:lpstr>EM_3B</vt:lpstr>
      <vt:lpstr>EM_AB</vt:lpstr>
      <vt:lpstr>EM_BB</vt:lpstr>
      <vt:lpstr>EM_DP</vt:lpstr>
      <vt:lpstr>EM_H</vt:lpstr>
      <vt:lpstr>EM_HBP</vt:lpstr>
      <vt:lpstr>EM_HR</vt:lpstr>
      <vt:lpstr>EM_IBB</vt:lpstr>
      <vt:lpstr>EM_PA</vt:lpstr>
      <vt:lpstr>EM_ROE</vt:lpstr>
      <vt:lpstr>EM_SF</vt:lpstr>
      <vt:lpstr>EM_SH</vt:lpstr>
      <vt:lpstr>EM_Type</vt:lpstr>
      <vt:lpstr>FIP_C</vt:lpstr>
      <vt:lpstr>MinBF</vt:lpstr>
      <vt:lpstr>MinPA</vt:lpstr>
      <vt:lpstr>pbp_LastRow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MLB Play-by-Play Sample Dataset</dc:title>
  <dc:subject/>
  <dc:creator>BigDataBall</dc:creator>
  <cp:keywords>Non-commercial use only</cp:keywords>
  <dc:description/>
  <cp:lastModifiedBy>Neeloy Bhattacharyya</cp:lastModifiedBy>
  <cp:revision>1</cp:revision>
  <dcterms:created xsi:type="dcterms:W3CDTF">2018-07-22T15:00:33Z</dcterms:created>
  <dcterms:modified xsi:type="dcterms:W3CDTF">2026-09-25T19:11:51Z</dcterms:modified>
  <dc:language>en-US</dc:language>
</cp:coreProperties>
</file>